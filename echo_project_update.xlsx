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C:\Users\Bar\Documents\התמחות- אוניברסיטת תל אביב\דאטה לא מעובדת\"/>
    </mc:Choice>
  </mc:AlternateContent>
  <xr:revisionPtr revIDLastSave="0" documentId="13_ncr:1_{8941800D-0078-4C90-8FB5-7D82D96247E9}"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C646" i="1" l="1"/>
  <c r="BC645" i="1"/>
  <c r="BC644" i="1"/>
  <c r="BC642" i="1"/>
  <c r="BC641" i="1"/>
  <c r="BC640" i="1"/>
  <c r="BC639" i="1"/>
  <c r="BC638" i="1"/>
  <c r="BC637" i="1"/>
  <c r="BC635" i="1"/>
  <c r="BC634" i="1"/>
  <c r="BC633" i="1"/>
  <c r="BC632" i="1"/>
  <c r="BC631" i="1"/>
  <c r="BC630" i="1"/>
  <c r="BC629" i="1"/>
  <c r="BC628" i="1"/>
  <c r="BC627" i="1"/>
  <c r="BC626" i="1"/>
  <c r="BC625" i="1"/>
  <c r="BC624" i="1"/>
  <c r="BC623" i="1"/>
  <c r="BC622" i="1"/>
  <c r="BC620" i="1"/>
  <c r="BC619" i="1"/>
  <c r="BC618" i="1"/>
  <c r="BC617" i="1"/>
  <c r="BC615" i="1"/>
  <c r="BC614" i="1"/>
  <c r="BC613" i="1"/>
  <c r="BC612" i="1"/>
  <c r="BC611" i="1"/>
  <c r="BC610" i="1"/>
  <c r="BC609" i="1"/>
  <c r="BC608" i="1"/>
  <c r="BC607" i="1"/>
  <c r="BC606" i="1"/>
  <c r="BC605" i="1"/>
  <c r="BC604" i="1"/>
  <c r="BC602" i="1"/>
  <c r="BC601" i="1"/>
  <c r="BC600" i="1"/>
  <c r="BC599" i="1"/>
  <c r="BC598" i="1"/>
  <c r="BC597" i="1"/>
  <c r="BC596" i="1"/>
  <c r="BC595" i="1"/>
  <c r="BC594" i="1"/>
  <c r="BC593" i="1"/>
  <c r="BC592" i="1"/>
  <c r="BC590" i="1"/>
  <c r="BC588" i="1"/>
  <c r="BC587" i="1"/>
  <c r="BC586" i="1"/>
  <c r="BC585" i="1"/>
  <c r="BC584" i="1"/>
  <c r="BC583" i="1"/>
  <c r="BC582" i="1"/>
  <c r="BC581" i="1"/>
  <c r="BC580" i="1"/>
  <c r="BC579" i="1"/>
  <c r="BC578" i="1"/>
  <c r="BC577" i="1"/>
  <c r="BC576" i="1"/>
  <c r="BC575" i="1"/>
  <c r="BC574" i="1"/>
  <c r="BC573" i="1"/>
  <c r="BC572" i="1"/>
  <c r="BC570" i="1"/>
  <c r="BC568" i="1"/>
  <c r="BC567" i="1"/>
  <c r="BC566" i="1"/>
  <c r="BC565" i="1"/>
  <c r="BC564" i="1"/>
  <c r="BC563" i="1"/>
  <c r="BC561" i="1"/>
  <c r="BC560" i="1"/>
  <c r="BC559" i="1"/>
  <c r="BC558" i="1"/>
  <c r="BC557" i="1"/>
  <c r="BC556" i="1"/>
  <c r="BC555" i="1"/>
  <c r="BC554" i="1"/>
  <c r="BC553" i="1"/>
  <c r="BC552" i="1"/>
  <c r="BC551" i="1"/>
  <c r="BC550" i="1"/>
  <c r="BC549" i="1"/>
  <c r="BC548" i="1"/>
  <c r="BC546" i="1"/>
  <c r="BC545" i="1"/>
  <c r="BC544" i="1"/>
  <c r="BC543" i="1"/>
  <c r="BC542" i="1"/>
  <c r="BC541" i="1"/>
  <c r="BC540" i="1"/>
  <c r="BC539" i="1"/>
  <c r="BC538" i="1"/>
  <c r="BC537" i="1"/>
  <c r="BC536" i="1"/>
  <c r="BC535" i="1"/>
  <c r="BC534" i="1"/>
  <c r="BC532" i="1"/>
  <c r="BC531" i="1"/>
  <c r="BC530" i="1"/>
  <c r="BC529" i="1"/>
  <c r="BC528" i="1"/>
  <c r="BC527" i="1"/>
  <c r="BC526" i="1"/>
  <c r="BC525" i="1"/>
  <c r="BC524" i="1"/>
  <c r="BC523" i="1"/>
  <c r="BC522" i="1"/>
  <c r="BC521" i="1"/>
  <c r="BC520" i="1"/>
  <c r="BC519" i="1"/>
  <c r="BC517" i="1"/>
  <c r="BC516" i="1"/>
  <c r="BC515" i="1"/>
  <c r="BC514" i="1"/>
  <c r="BC513" i="1"/>
  <c r="BC512" i="1"/>
  <c r="BC510" i="1"/>
  <c r="BC509" i="1"/>
  <c r="BC508" i="1"/>
  <c r="BC507" i="1"/>
  <c r="BC506" i="1"/>
  <c r="BC505" i="1"/>
  <c r="BC504" i="1"/>
  <c r="BC502" i="1"/>
  <c r="BC501" i="1"/>
  <c r="BC500" i="1"/>
  <c r="BC498" i="1"/>
  <c r="BC496" i="1"/>
  <c r="BC495" i="1"/>
  <c r="BC494" i="1"/>
  <c r="BC493" i="1"/>
  <c r="BC492" i="1"/>
  <c r="BC491" i="1"/>
  <c r="BC490" i="1"/>
  <c r="BC488" i="1"/>
  <c r="BC487" i="1"/>
  <c r="BC486" i="1"/>
  <c r="BC485" i="1"/>
  <c r="BC484" i="1"/>
  <c r="BC482" i="1"/>
  <c r="BC481" i="1"/>
  <c r="BC480" i="1"/>
  <c r="BC479" i="1"/>
  <c r="BC478" i="1"/>
  <c r="BC477" i="1"/>
  <c r="BC476" i="1"/>
  <c r="BC475" i="1"/>
  <c r="BC474" i="1"/>
  <c r="BC473" i="1"/>
  <c r="BC472" i="1"/>
  <c r="BC471" i="1"/>
  <c r="BC470" i="1"/>
  <c r="BC468" i="1"/>
  <c r="BC467" i="1"/>
  <c r="BC465" i="1"/>
  <c r="BC464" i="1"/>
  <c r="BC463" i="1"/>
  <c r="BC462" i="1"/>
  <c r="BC461" i="1"/>
  <c r="BC460" i="1"/>
  <c r="BC459" i="1"/>
  <c r="BC458" i="1"/>
  <c r="BC457" i="1"/>
  <c r="BC456" i="1"/>
  <c r="BC455" i="1"/>
  <c r="BC454" i="1"/>
  <c r="BC453" i="1"/>
  <c r="BC452" i="1"/>
  <c r="BC451" i="1"/>
  <c r="BC450" i="1"/>
  <c r="BC449" i="1"/>
  <c r="BC448" i="1"/>
  <c r="BC447" i="1"/>
  <c r="BC446" i="1"/>
  <c r="BC444" i="1"/>
  <c r="BC443" i="1"/>
  <c r="BC442" i="1"/>
  <c r="BC441" i="1"/>
  <c r="BC440" i="1"/>
  <c r="BC439" i="1"/>
  <c r="BC436" i="1"/>
  <c r="BC435" i="1"/>
  <c r="BC434" i="1"/>
  <c r="BC433" i="1"/>
  <c r="BC432" i="1"/>
  <c r="BC431" i="1"/>
  <c r="BC430" i="1"/>
  <c r="BC429" i="1"/>
  <c r="BC428" i="1"/>
  <c r="BC427" i="1"/>
  <c r="BC426" i="1"/>
  <c r="BC425" i="1"/>
  <c r="BC424" i="1"/>
  <c r="BC423" i="1"/>
  <c r="BC420" i="1"/>
  <c r="BC418" i="1"/>
  <c r="BC417" i="1"/>
  <c r="BC416" i="1"/>
  <c r="BC415" i="1"/>
  <c r="BC414" i="1"/>
  <c r="BC413" i="1"/>
  <c r="BC411" i="1"/>
  <c r="BC410" i="1"/>
  <c r="BC409" i="1"/>
  <c r="BC408" i="1"/>
  <c r="BC407" i="1"/>
  <c r="BC406" i="1"/>
  <c r="BC405" i="1"/>
  <c r="BC404" i="1"/>
  <c r="BC403" i="1"/>
  <c r="BC402" i="1"/>
  <c r="BC401" i="1"/>
  <c r="BC400" i="1"/>
  <c r="BC399" i="1"/>
  <c r="BC398" i="1"/>
  <c r="BC397" i="1"/>
  <c r="BC396" i="1"/>
  <c r="BC395" i="1"/>
  <c r="BC394" i="1"/>
  <c r="BC392" i="1"/>
  <c r="BC390" i="1"/>
  <c r="BC389" i="1"/>
  <c r="BC387" i="1"/>
  <c r="BC386" i="1"/>
  <c r="BC385" i="1"/>
  <c r="BC384" i="1"/>
  <c r="BC383" i="1"/>
  <c r="BC382" i="1"/>
  <c r="BC381" i="1"/>
  <c r="BC379" i="1"/>
  <c r="BC377" i="1"/>
  <c r="BC376" i="1"/>
  <c r="BC375" i="1"/>
  <c r="BC374" i="1"/>
  <c r="BC373" i="1"/>
  <c r="BC372" i="1"/>
  <c r="BC371" i="1"/>
  <c r="BC368" i="1"/>
  <c r="BC367" i="1"/>
  <c r="BC366" i="1"/>
  <c r="BC365" i="1"/>
  <c r="BC364" i="1"/>
  <c r="BC363" i="1"/>
  <c r="BC362" i="1"/>
  <c r="BC361" i="1"/>
  <c r="BC360" i="1"/>
  <c r="BC359" i="1"/>
  <c r="BC356" i="1"/>
  <c r="BC355" i="1"/>
  <c r="BC354" i="1"/>
  <c r="BC353" i="1"/>
  <c r="BC352" i="1"/>
  <c r="BC351" i="1"/>
  <c r="BC350" i="1"/>
  <c r="BC349" i="1"/>
  <c r="BC348" i="1"/>
  <c r="BC347" i="1"/>
  <c r="BC346" i="1"/>
  <c r="BC344" i="1"/>
  <c r="BC343" i="1"/>
  <c r="BC342" i="1"/>
  <c r="BC341" i="1"/>
  <c r="BC340" i="1"/>
  <c r="BC339" i="1"/>
  <c r="BC338" i="1"/>
  <c r="BC337" i="1"/>
  <c r="BC336" i="1"/>
  <c r="BC335" i="1"/>
  <c r="BC334" i="1"/>
  <c r="BC333" i="1"/>
  <c r="BC332" i="1"/>
  <c r="BC331" i="1"/>
  <c r="BC330" i="1"/>
  <c r="BC329" i="1"/>
  <c r="BC328" i="1"/>
  <c r="BC327" i="1"/>
  <c r="BC326" i="1"/>
  <c r="BC325" i="1"/>
  <c r="BC324" i="1"/>
  <c r="BC323" i="1"/>
  <c r="BC322" i="1"/>
  <c r="BC321" i="1"/>
  <c r="BC320" i="1"/>
  <c r="BC319" i="1"/>
  <c r="BC318" i="1"/>
  <c r="BC317" i="1"/>
  <c r="BC316" i="1"/>
  <c r="BC315" i="1"/>
  <c r="BC314" i="1"/>
  <c r="BC313" i="1"/>
  <c r="BC311" i="1"/>
  <c r="BC310" i="1"/>
  <c r="BC309" i="1"/>
  <c r="BC307" i="1"/>
  <c r="BC305" i="1"/>
  <c r="BC304" i="1"/>
  <c r="BC303" i="1"/>
  <c r="BC301" i="1"/>
  <c r="BC296" i="1"/>
  <c r="BC295" i="1"/>
  <c r="BC294" i="1"/>
  <c r="BC293" i="1"/>
  <c r="BC291" i="1"/>
  <c r="BC290" i="1"/>
  <c r="BC288" i="1"/>
  <c r="BC287" i="1"/>
  <c r="BC286" i="1"/>
  <c r="BC285" i="1"/>
  <c r="BC282" i="1"/>
  <c r="BC281" i="1"/>
  <c r="BC280" i="1"/>
  <c r="BC279" i="1"/>
  <c r="BC278" i="1"/>
  <c r="BC277" i="1"/>
  <c r="BC276" i="1"/>
  <c r="BC275" i="1"/>
  <c r="BC274" i="1"/>
  <c r="BC273" i="1"/>
  <c r="BC272" i="1"/>
  <c r="BC271" i="1"/>
  <c r="BC270" i="1"/>
  <c r="BC268" i="1"/>
  <c r="BC265" i="1"/>
  <c r="BC264" i="1"/>
  <c r="BC263" i="1"/>
  <c r="BC260" i="1"/>
  <c r="BC259" i="1"/>
  <c r="BC258" i="1"/>
  <c r="BC257" i="1"/>
  <c r="BC255" i="1"/>
  <c r="BC254" i="1"/>
  <c r="BC253" i="1"/>
  <c r="BC252" i="1"/>
  <c r="BC251" i="1"/>
  <c r="BC250" i="1"/>
  <c r="BC249" i="1"/>
  <c r="BC248" i="1"/>
  <c r="BC247" i="1"/>
  <c r="BC245" i="1"/>
  <c r="BC244" i="1"/>
  <c r="BC243" i="1"/>
  <c r="BC242" i="1"/>
  <c r="BC241" i="1"/>
  <c r="BC239" i="1"/>
  <c r="BC238" i="1"/>
  <c r="BC237" i="1"/>
  <c r="BC236" i="1"/>
  <c r="BC235" i="1"/>
  <c r="BC234" i="1"/>
  <c r="BC233" i="1"/>
  <c r="BC232" i="1"/>
  <c r="BC231" i="1"/>
  <c r="BC230" i="1"/>
  <c r="BC229" i="1"/>
  <c r="BC228" i="1"/>
  <c r="BC227" i="1"/>
  <c r="BC226" i="1"/>
  <c r="BC225" i="1"/>
  <c r="BC224" i="1"/>
  <c r="BC223" i="1"/>
  <c r="BC222" i="1"/>
  <c r="BC220" i="1"/>
  <c r="BC218" i="1"/>
  <c r="BC217" i="1"/>
  <c r="BC216" i="1"/>
  <c r="BC215" i="1"/>
  <c r="BC214" i="1"/>
  <c r="BC213" i="1"/>
  <c r="BC212" i="1"/>
  <c r="BC209" i="1"/>
  <c r="BC208" i="1"/>
  <c r="BC206" i="1"/>
  <c r="BC205" i="1"/>
  <c r="BC204" i="1"/>
  <c r="BC203" i="1"/>
  <c r="BC202" i="1"/>
  <c r="BC201" i="1"/>
  <c r="BC200" i="1"/>
  <c r="BC199" i="1"/>
  <c r="BC198" i="1"/>
  <c r="BC197" i="1"/>
  <c r="BC195" i="1"/>
  <c r="BC194" i="1"/>
  <c r="BC193" i="1"/>
  <c r="BC192" i="1"/>
  <c r="BC191" i="1"/>
  <c r="BC190" i="1"/>
  <c r="BC189" i="1"/>
  <c r="BC187" i="1"/>
  <c r="BC186" i="1"/>
  <c r="BC185" i="1"/>
  <c r="BC184" i="1"/>
  <c r="BC182" i="1"/>
  <c r="BC181" i="1"/>
  <c r="BC180" i="1"/>
  <c r="BC179" i="1"/>
  <c r="BC178" i="1"/>
  <c r="BC177" i="1"/>
  <c r="BC175" i="1"/>
  <c r="BC174" i="1"/>
  <c r="BC173" i="1"/>
  <c r="BC171" i="1"/>
  <c r="BC170" i="1"/>
  <c r="BC169" i="1"/>
  <c r="BC168" i="1"/>
  <c r="BC167" i="1"/>
  <c r="BC166" i="1"/>
  <c r="BC165" i="1"/>
  <c r="BC163" i="1"/>
  <c r="BC162" i="1"/>
  <c r="BC161" i="1"/>
  <c r="BC160" i="1"/>
  <c r="BC159" i="1"/>
  <c r="BC158" i="1"/>
  <c r="BC157" i="1"/>
  <c r="BC156" i="1"/>
  <c r="BC155" i="1"/>
  <c r="BC154" i="1"/>
  <c r="BC153" i="1"/>
  <c r="BC152" i="1"/>
  <c r="BC151" i="1"/>
  <c r="BC150" i="1"/>
  <c r="BC149" i="1"/>
  <c r="BC148" i="1"/>
  <c r="BC147" i="1"/>
  <c r="BC145" i="1"/>
  <c r="BC144" i="1"/>
  <c r="BC143" i="1"/>
  <c r="BC142" i="1"/>
  <c r="BC141" i="1"/>
  <c r="BC140" i="1"/>
  <c r="BC138" i="1"/>
  <c r="BC137" i="1"/>
  <c r="BC136" i="1"/>
  <c r="BC135" i="1"/>
  <c r="BC134" i="1"/>
  <c r="BC133" i="1"/>
  <c r="BC132" i="1"/>
  <c r="BC131" i="1"/>
  <c r="BC130" i="1"/>
  <c r="BC129" i="1"/>
  <c r="BC128" i="1"/>
  <c r="BC127" i="1"/>
  <c r="BC126" i="1"/>
  <c r="BC125" i="1"/>
  <c r="BC124" i="1"/>
  <c r="BC123" i="1"/>
  <c r="BC122" i="1"/>
  <c r="BC121" i="1"/>
  <c r="BC120" i="1"/>
  <c r="BC119" i="1"/>
  <c r="BC117" i="1"/>
  <c r="BC116" i="1"/>
  <c r="BC115" i="1"/>
  <c r="BC112" i="1"/>
  <c r="BC111" i="1"/>
  <c r="BC109" i="1"/>
  <c r="BC108" i="1"/>
  <c r="BC107" i="1"/>
  <c r="BC106" i="1"/>
  <c r="BC105" i="1"/>
  <c r="BC104" i="1"/>
  <c r="BC103" i="1"/>
  <c r="BC102" i="1"/>
  <c r="BC100" i="1"/>
  <c r="BC99" i="1"/>
  <c r="BC98" i="1"/>
  <c r="BC97" i="1"/>
  <c r="BC96" i="1"/>
  <c r="BC95" i="1"/>
  <c r="BC94" i="1"/>
  <c r="BC93" i="1"/>
  <c r="BC92" i="1"/>
  <c r="BC91" i="1"/>
  <c r="BC90" i="1"/>
  <c r="BC89" i="1"/>
  <c r="BC88" i="1"/>
  <c r="BC87" i="1"/>
  <c r="BC86" i="1"/>
  <c r="BC85" i="1"/>
  <c r="BC84" i="1"/>
  <c r="BC83" i="1"/>
  <c r="BC82" i="1"/>
  <c r="BC81" i="1"/>
  <c r="BC78" i="1"/>
  <c r="BC76" i="1"/>
  <c r="BC75" i="1"/>
  <c r="BC74" i="1"/>
  <c r="BC73" i="1"/>
  <c r="BC72" i="1"/>
  <c r="BC71" i="1"/>
  <c r="BC70" i="1"/>
  <c r="BC69" i="1"/>
  <c r="BC68" i="1"/>
  <c r="BC67" i="1"/>
  <c r="BC66" i="1"/>
  <c r="BC64" i="1"/>
  <c r="BC63" i="1"/>
  <c r="BC62" i="1"/>
  <c r="BC61" i="1"/>
  <c r="BC59" i="1"/>
  <c r="BC58" i="1"/>
  <c r="BC57" i="1"/>
  <c r="BC56" i="1"/>
  <c r="BC53" i="1"/>
  <c r="BC52" i="1"/>
  <c r="BC51" i="1"/>
  <c r="BC50" i="1"/>
  <c r="BC49" i="1"/>
  <c r="BC48" i="1"/>
  <c r="BC47" i="1"/>
  <c r="BC45" i="1"/>
  <c r="BC44" i="1"/>
  <c r="BC43" i="1"/>
  <c r="BC42" i="1"/>
  <c r="BC40" i="1"/>
  <c r="BC39" i="1"/>
  <c r="BC38" i="1"/>
  <c r="BC37" i="1"/>
  <c r="BC34" i="1"/>
  <c r="BC33" i="1"/>
  <c r="BC32" i="1"/>
  <c r="BC31" i="1"/>
  <c r="BC29" i="1"/>
  <c r="BC28" i="1"/>
  <c r="BC27" i="1"/>
  <c r="BC26" i="1"/>
  <c r="BC25" i="1"/>
  <c r="BC24" i="1"/>
  <c r="BC23" i="1"/>
  <c r="BC22" i="1"/>
  <c r="BC21" i="1"/>
  <c r="BC20" i="1"/>
  <c r="BC19" i="1"/>
  <c r="BC18" i="1"/>
  <c r="BC17" i="1"/>
  <c r="BC16" i="1"/>
  <c r="BC15" i="1"/>
  <c r="BC14" i="1"/>
  <c r="BC13" i="1"/>
  <c r="BC11" i="1"/>
  <c r="BC9" i="1"/>
  <c r="BC8" i="1"/>
  <c r="BC7" i="1"/>
  <c r="BC6" i="1"/>
  <c r="BC5" i="1"/>
  <c r="BC4" i="1"/>
  <c r="BC3" i="1"/>
  <c r="BC2" i="1"/>
</calcChain>
</file>

<file path=xl/sharedStrings.xml><?xml version="1.0" encoding="utf-8"?>
<sst xmlns="http://schemas.openxmlformats.org/spreadsheetml/2006/main" count="13262" uniqueCount="918">
  <si>
    <t>AgeAtFirstHFDate</t>
  </si>
  <si>
    <t>DeathDate</t>
  </si>
  <si>
    <t>Echo_Date</t>
  </si>
  <si>
    <t>Weight</t>
  </si>
  <si>
    <t>BMI</t>
  </si>
  <si>
    <t>MI</t>
  </si>
  <si>
    <t>CABG</t>
  </si>
  <si>
    <t>IHD</t>
  </si>
  <si>
    <t>AFIB</t>
  </si>
  <si>
    <t>GFR</t>
  </si>
  <si>
    <t>HTN</t>
  </si>
  <si>
    <t>DYSLIPIDEMIA</t>
  </si>
  <si>
    <t>COPD</t>
  </si>
  <si>
    <t>OncologicalDiagnosis</t>
  </si>
  <si>
    <t>Mildly reduced</t>
  </si>
  <si>
    <t>Normal</t>
  </si>
  <si>
    <t>NULL</t>
  </si>
  <si>
    <t>Mildly dilated</t>
  </si>
  <si>
    <t>Trivial</t>
  </si>
  <si>
    <t>Mild (I)</t>
  </si>
  <si>
    <t>Severe</t>
  </si>
  <si>
    <t>Oncological diagnosis</t>
  </si>
  <si>
    <t>Mild-moderately reduced</t>
  </si>
  <si>
    <t>Mild-to-moderate (I-II)</t>
  </si>
  <si>
    <t xml:space="preserve">Preserved </t>
  </si>
  <si>
    <t>Moderately dilated</t>
  </si>
  <si>
    <t>Moderately-severe (III)</t>
  </si>
  <si>
    <t xml:space="preserve">Mild </t>
  </si>
  <si>
    <t>Moderately reduced</t>
  </si>
  <si>
    <t>Moderate (II)</t>
  </si>
  <si>
    <t>Moderate-severely reduced</t>
  </si>
  <si>
    <t>Severely dilated</t>
  </si>
  <si>
    <t>Moderate</t>
  </si>
  <si>
    <t>None</t>
  </si>
  <si>
    <t>Severe (IV)</t>
  </si>
  <si>
    <t>Severely reduced</t>
  </si>
  <si>
    <t>Trace</t>
  </si>
  <si>
    <t>Increased (hyperdynamic)</t>
  </si>
  <si>
    <t>Moderate to severe</t>
  </si>
  <si>
    <t>Mild to moderate</t>
  </si>
  <si>
    <t>Dialysis_Start_Date</t>
  </si>
  <si>
    <t>LeftVentricleCavitySize</t>
  </si>
  <si>
    <t>LeftVentricleWallThickness</t>
  </si>
  <si>
    <t>LeftVentricleSystolicFunction</t>
  </si>
  <si>
    <t>LeftVentricleSummary</t>
  </si>
  <si>
    <t>LV_EF</t>
  </si>
  <si>
    <t>RVSize</t>
  </si>
  <si>
    <t>RVSystolicFunction</t>
  </si>
  <si>
    <t>LACavitySize</t>
  </si>
  <si>
    <t>AorticValveStructure</t>
  </si>
  <si>
    <t>AorticValveRegurgitation</t>
  </si>
  <si>
    <t>AorticValveSummary</t>
  </si>
  <si>
    <t>MitralValveStructure</t>
  </si>
  <si>
    <t>MitralRegurgitation</t>
  </si>
  <si>
    <t>MitralValveSummary</t>
  </si>
  <si>
    <t>TricuspidValveStructure</t>
  </si>
  <si>
    <t>TricuspidRegurgitation</t>
  </si>
  <si>
    <t>ECHO_SPAP</t>
  </si>
  <si>
    <t>LeftVentricleEndDiastolicDiameter</t>
  </si>
  <si>
    <t>LeftVentricleEndSystolicDiameter</t>
  </si>
  <si>
    <t>LeftVentricleInterventricularSeptumThickness</t>
  </si>
  <si>
    <t>LeftVentriclePosteriorWallThickness</t>
  </si>
  <si>
    <t>LeftVentricleEstimatedMass</t>
  </si>
  <si>
    <t>LeftVentricleEstimatedMassIndex</t>
  </si>
  <si>
    <t>LeftVentricleScoreIndex</t>
  </si>
  <si>
    <t>EstimatedSysPAPressure</t>
  </si>
  <si>
    <t>MitralInflowPeakEWave</t>
  </si>
  <si>
    <t>TissueDopplerSVelocitySeptal</t>
  </si>
  <si>
    <t>TissueDopplerEVelositySeptal</t>
  </si>
  <si>
    <t>TissueDopplerEERatioSeptal</t>
  </si>
  <si>
    <t>TissueDopplerSVelocityLateral</t>
  </si>
  <si>
    <t>TissueDopplerEVelosityLateral</t>
  </si>
  <si>
    <t>TissueDopplerEERatioLateral</t>
  </si>
  <si>
    <t>ProcedureSummary</t>
  </si>
  <si>
    <t>Normal left ventricle structure and function.</t>
  </si>
  <si>
    <t>Calcified</t>
  </si>
  <si>
    <t>Severe aortic stenosis.</t>
  </si>
  <si>
    <t xml:space="preserve">Hypertrophy of interventricular septum   </t>
  </si>
  <si>
    <t>Mildly increased</t>
  </si>
  <si>
    <t>Dilated</t>
  </si>
  <si>
    <t xml:space="preserve">Moderate-Severe aortic stenosis   </t>
  </si>
  <si>
    <t xml:space="preserve">mild hypertrophy of the septum </t>
  </si>
  <si>
    <t>mild aortic stenosis</t>
  </si>
  <si>
    <t xml:space="preserve">בדיקה בוצעה בשכיבה על הגב.  חדר שמאלי בגודל תקין, ספטום מעובה במדיה קלה, תפקודו הגלובלי הסיסטולי תקין  עם היפוקנזיה ספטלית בלבד.   תבנית מילוי דיאסטולי מתאימה להפרעה דרגה 1 ( הפרעה בהרפיה).   חדר ימין בגודל ותפקוד תקינים   עליה שמאלית מרוחבת במדיה קלה   מסתם אאורטלי מסוייד תלת עלי  מפתחו מוגבלת במידה קלה מאוד עם דלף מנימלי  והצרות קלה.   מסתם מטרלי עם דלף מנימלי   מסתם טריקוספידלי עם דלף מנימלי   לחץף דם ראתי סיסטולי לא ניתן להערכה בהעדר סגנל TR דופלר מספק  IVC אינו מורחב ועובר תמט נשימתי הולם באינספיריום    ללא עדות לתפליט פריקרדיאלי    אאורטה  עולה ברוחב תקין </t>
  </si>
  <si>
    <t xml:space="preserve">C/W LV diastolic dysfunction: Pseudo-normal filling pattern .  </t>
  </si>
  <si>
    <t xml:space="preserve">Thickened </t>
  </si>
  <si>
    <t xml:space="preserve">Mild annular calcification.  </t>
  </si>
  <si>
    <t>Moderately increased</t>
  </si>
  <si>
    <t xml:space="preserve">חדר שמאל בגודל ותפקוד תקין, תבנית המילוי פסאדונורמלית, היפוקינזיה אינפרובזלית ואפיקלית, חדר ימין בגודל ותפקוד תקין, הרחבה של עליה שמאלית, הסתידות בטבעת המסתם המיטרלי, אי ספיקה מיטרלית קלה עם סילון אקסנטרי קדמי, מסתם אאורטלי מעובה, אי ספיקה טריקוספידלית מינימלית, לחץ ראתי מוגבר במידה בינונית, הודגם תפליט פלאורלי מימין. </t>
  </si>
  <si>
    <t>חדר שמאל בגודל תקין, התכווצותו הגלובלית ואיזורית תקינה, חדר ימין עם תפקוד תקין, עליות בגודל תקין, אי ספיקה מיטרלית מינימלית, אי ספיקה טריקוספידלית מינימלית, לא ניתן להעריך לחץ דם ריאתי בשל סינגל TR קלוש.  הודגם נוזל פקרידריאלי בכמות גדולה , עם סימני לחץ על עליה הימנית, והחדר הימני ללא שינוים רספירטוריים משמעותיים. IVC אינו מורחב עם קולפס נשימתי תקין.</t>
  </si>
  <si>
    <t>Severely increased</t>
  </si>
  <si>
    <t xml:space="preserve">Mild aortic stenosis  </t>
  </si>
  <si>
    <t>Thickened / sclerotic</t>
  </si>
  <si>
    <t xml:space="preserve">Normal </t>
  </si>
  <si>
    <t xml:space="preserve">Hypertrophy of LV   </t>
  </si>
  <si>
    <t xml:space="preserve">Moderate mitral annulus calcification.   </t>
  </si>
  <si>
    <t>mitral annular calcification.</t>
  </si>
  <si>
    <t xml:space="preserve">חדר שמאל בגודל תקין ,תפקודו הסיסטולי הגלובלי תקין  עם היפוקינזיה אחורית קלה, תבנית המילוי הדיאסטולי פסאודונורמלית ,עליה שמאל מורחבת במידה קלה. מודגם PFO עם דלף משמאל לימין.   חדר ימין בגודל ותפקוד תקינים , ל"ד ריאתי מוערך מוגבר במידה קלה.   מסתם אאורטלי מסוייד ללא דלף או הצרות, אנולוס מיטראלי מסוייד, דלף מיטראלי וטריקוספידלי מינימלי </t>
  </si>
  <si>
    <t>Mild aortic stenosis.</t>
  </si>
  <si>
    <t>חדר שמאלי מעט מורחב, היפרטרופי, התכווצות גלובלית ואיזורית תקינה, חדר ימני בגודל והתכווצות תקינה, מסתם אורטלי מסוייד עם היצרות קלה, אנולוס מיטרלי מסוייד עם דלף קל מיטרלי על בסיס ה - MAC ניצפה מסה מסויידת ניידת בגודל של 1.1 על 0.7 ס"מ באבחנה מבדלת: מרכיב של ה MAC (במקום ראשון) או וגטציה. דלף קל של טריקספיד, אין עדות ליתר לחץ דם ריאתי, הגדלה קלה של העליה השמאלית.</t>
  </si>
  <si>
    <t>חדר שמאל בגודל תקין, היפרטרופי, תפקודו הגלובלי והאיזורי תקין. חדר ימין תקין. עליה שמאלית מורחבת במידה קלה. מסתם אורטלי מסוייד, היצרות קלה,דלף עד בינוני.אי ספיקה מיטרלית וטריקוספידלית מינימלית. לחץ דם ריאתי מוערך כתקין.  הודגמה אנאוריזמה בינעלתית.</t>
  </si>
  <si>
    <t xml:space="preserve">חדר שמאל עם חלל בגודל תקין, היפרטופי במידה ניכרת במידה ניכרת,תפקודו הסיסטולי הגלובלי תקין ללא הפרעה אזורית, תבנית המילוי הדיאסטולי פסאודונורמלית, עליה שמאל מורחבת במידה קלה.   חדר ימין בגודל ותפקוד תקינים ללא עדות ליל"ד ריאתי (תתכן תת הערכה בשל סיגנל TR חלש) .   מסתם אאורטלי מסוייד עם דלף מינימלי ללא הצרות,דלף מיטראלי וטריקוספידלי מינימלי. </t>
  </si>
  <si>
    <t>Moderate aortic stenosis.</t>
  </si>
  <si>
    <t xml:space="preserve">חדר שמאל בגודל תקין ,תפקודו הסיסטולי הגלובלי תקין ללא הפרעה אזורית ,לא ניתן לקבוע תפקוד דיאסטולי, עליה שמאל מורחבת במידה קלה   חדר ימין בגודל ותפקוד תקינים , ל"ד ריאתי מוערך מוגבר במידה קלה   מסתם אאורטלי מסוייד עם הצרות בינונית ללא דלף, אנולוס מיטראלי מסוייד ללא הצרות, דלף מיטראלי קל ודלף טריקוספידלי מינימלי.   מודגם תפליט פריקרדיאלי קל עד בינוני ללא סימני לחץ על מדורים ימניים </t>
  </si>
  <si>
    <t xml:space="preserve">Significant left ventricular dyssynchrony (intraventricular)  Nonsignificant interventricular dyssynchrony  </t>
  </si>
  <si>
    <t>עליה שמאלית מורחבת. חדר ימין עם תפקוד ירוד במדיה בינונית, אלקטרודה של קוצב בתוכו(FAC=25). חדר שמאל מורחב עם תפקוד גלובלי ירוד במידה קשה. אקינזיה פוסטירורית, אחורית, קידמית, דיסקינזיה אפיקלית. שאר הדפנות היפוקינטיות. מסתם אורטלי מסויד. אס"ק מיטרלית קלה. אס"ק אורטלית קלה. אס"ק טרקיוספידלית בינונית. יל"ד  ריאתי קל.   בדיקת סינכרוניזציה:   חדר ימין מתכווץ 16 מילישניות אחרי חדר שמאל( לא משמעותי)   YU INDEX=32.9( משמעותי)  בסי הקיר הלטרלי מתכווץ 65 מילישניות אחרי בסיס הספטום( משמעותי)    הקיר הלטרלי מתכווץ אחרון.</t>
  </si>
  <si>
    <t xml:space="preserve">C/W LV diastolic dysfunction: impaired relaxation pattern .  </t>
  </si>
  <si>
    <t xml:space="preserve">Mild mitral annular calcification.  </t>
  </si>
  <si>
    <t xml:space="preserve">איכות הדמייה ירודה.  חדר שמאלי בגודל תקין, מעובה במידה קלה, התכווצותו הגלובלית והאיזורית תקינה, חדר ימני בגודל תקין והתכווצותו תקינה, עליות בגודל תקין.  אין עדות לחסימה באפיק המוצא של חדר שמאל, הודגם מפל לחצים מיד ונטריקולורי עד 57 ממ"כ, טבעת המסתם המיטרלי מסויידת, אי ספיקה מיטרלית מינימלית, אי ספיקה טריקוספידלית מינימלית, אין עדות ליתר לחץ דם ריאתי. </t>
  </si>
  <si>
    <t xml:space="preserve">חדר שמאלי מורחב עם התכוווצת גלובלית ירודה מאוד, מערבת את כל הדפנות, תבנית המילוי רסטריקטיבית, איו פעילות מכנית עלייתית בדופלר, חדר ימני מורחב והיפוקינטי, אי ספיקה מיטרלית קלה עד בינונית וטריקוספידלית בינונית קשה עם יתר לחץ דם ריאתי בחומרה בינונית (בנוכחות לחץ דם סיסטולי נמוך), מודגם תפליט פלאורלי ופריטונאלי, עלי שמאלית מורחבת. קוצב מימין. </t>
  </si>
  <si>
    <t xml:space="preserve">mitral annular calcification.   </t>
  </si>
  <si>
    <t>mitral annulus calcification.</t>
  </si>
  <si>
    <t>Focal calcification</t>
  </si>
  <si>
    <t xml:space="preserve">Severe aortic stenosis  </t>
  </si>
  <si>
    <t xml:space="preserve">Nonsignificant interventricular dyssynchrony   Significant left ventricular dyssynchrony (intraventricular)   </t>
  </si>
  <si>
    <t>עליות מורחבות. חדר ימין מורחב והיפוקינטי בינונית(FAC=16). אלקטרודת קוצב בתוכו. חדר שמאל מורחב עם תפקוד גלובלי ירוד במבדיה קשה. דיסקינזיה אפיקלית. אקיזניה  ספטלית, אינפריורית, פוסטריורית, ךטרלית וקידמית. רק הסגמנטים בזלים מתכווצים. אס"ק מיטרלת קלה עד בינונית. מסתם אורטלי מעט מסויד. אס"ק טריקוספידלית בינונית. יל"ד ריאתי קשה. תבנית מילוי רסטריקטיבית.   בדיקת סינכרוניזציה:   חדר ימין מתכווץ 30 מילישניות לפני חדר שמאל ( לא משמעותי)   YU INCEX= 42( משמעותי)   BAX INDEX= 70 ( משמעותי)   הקיר ה אנטריורי מתכווץ אחרון.</t>
  </si>
  <si>
    <t xml:space="preserve">Regional LV dysfunction   </t>
  </si>
  <si>
    <t xml:space="preserve">Mild mitral annulus calcification.  </t>
  </si>
  <si>
    <t xml:space="preserve">mitral annulus calcification.   </t>
  </si>
  <si>
    <t>בדיקה טכנית קשה. עליה שצמאליתתקינה. חדר ימין תקין. חדר שמאל ברוחב תקין, הספטום מעובה, תפקוד היפרדינמי. מסתם אורטלי מעובה עם דלף מימלי. אס"ק מיטרלית מינימלית. אס"ק טרקיוספידלית מינימלית. לחץ ריאתי תקין. תבנית מילוי ספוידו נורמלית. אלקטרודת קוצב מימין.</t>
  </si>
  <si>
    <t>בדיחקה בנוכחות פרפרו פרוזדורים  חדר שמאלי בגודל תקין תפקודו הגלובלי הסיסטולי תקין ללא הפרעה אזורית   חד רימין בגודל ותפקוד תקינים   מסתם אורטלי מסוייד קלות עם דלף מנימלי   מסתם מיטרלי עם טבעת מסויידת עם דלף קל  דרכו    מסתם טריקוספידלי עם דלף בינוני  לחץ דם ראתי סיסטולי מוערך כמוגבר במידה בינונית  וריד נבוב תחתון מורחב ולא עובר תמט נשימתי הול   תפליט פריקרדיאלי קל-בינוני ללא   סימני לחץ על חדר ימין בדיאסטולית  מוקדמת או על עליה ימין בדיאסטולית מאוחרת</t>
  </si>
  <si>
    <t xml:space="preserve">Mild mitral annular calcification.   </t>
  </si>
  <si>
    <t>בדיקה טכנית קשה.פרפור.חדר שמאל בגודל תקין התכוצותו הגלובלית מופחתת במידה קשה בצורה דיפוזית, קשה להתרשם מתבנית מילוי בזמן פרפור פרוזדורים, חדר ימין בגודל ותפקוד תקין, .עליה שמאלית מורחבת.אי ספיקה מיטרלית קלה. אי ספיקה טריקוספדלית קלה. לחץ דם ריאתי מוגבר במידה  קלה-בינונית.</t>
  </si>
  <si>
    <t>חדר שמאל בגודל תקין התכוצותו הגלובלית תקינהץ חדר ימין בגודל ותפקוד תקין .תבנית מילוי תקינה. עליות מורחבות.האורטה העולה מעט מורחבת. מסתם אורטלי מעט מסויד, אי ספיקה מיטרלית מנימלית אי ספיקה אורטלית וטריקוספדלית קלה. לחץ דם ריאתי מוגבר במידה קלה. נוזל פרקירדיאלי בכמות קטנה. נוזל פלוירלי מימין.</t>
  </si>
  <si>
    <t>Bioprosthesis</t>
  </si>
  <si>
    <t>חדר שמאלי מורחב במידה קלה, התכווצותו הגלובלית מופחתת במידה קשה, אקינזיה אחורית, ספטלית, אינפריורית, היפוקנזיה לטרלית, אנטריורית, חדר ימין תקין בגודל תפקודו מופחת במידה בינונית, מסתם אורטלי מסוייד מדגים הצרות בינונית עד קשה, אי ספיקה אורטלית מינימלית, טבעת המסתם המיטרלי מסויידת, אי ספיקה מיטרית בינונית ,אי ספיקה טריקוספידלית בינונית,  לחץ דם ריאתי מוגבר במידה קשה, הגדלה קלה של העליה השמאלית. יכול להתאים ללחצי מילוי גבוהים.</t>
  </si>
  <si>
    <t>Prosthetic</t>
  </si>
  <si>
    <t>Moderate-Severe aortic stenosis.</t>
  </si>
  <si>
    <t xml:space="preserve">חדר שמאל עם חלל בגודל תקין ,הספטום מעובה במידה קלה, תפקודו הסיסטולי הגלובלי של חדר שמאל תקין ללא הפרעה אזורית,   תבנית המילוי הדיאסטולי פסאודונורמלית, עליה שמאל מורחבת במידה קלה, עליה ימין מורחבת   חדר ימין בגודל תקין עם תפקוד סיסטולי מופחת במידה קלה, ל"ד ריאתי מוערך מוגבר במידה קלה (תתכן תת הערכה)   מסתם אאורטלי מסוייד עם הצרות בינונית עד קשה (לפי המפל הסיסטולי על פניו ויחס VTI. השטח המחושב מתאים להצרות קשה אולם יש קושי במדידה טובה של קוטר מוצא חדר שמאל. לשקול קולרציה לCT TAVI) ללא עדות לדלף אאורטלי  . מסתם מיטראלי ואנולוס מיטראלי מסויידים ללא הצרות, דלף מיטראלי קל, דלף טריקוספידלי קל עד בינוני. מודגמת  הרחבה אנאוריזמתית של אאורטה עולה. תפליט פריקרדיאלי מינימלי ותפליט פלאורלי משמאל  </t>
  </si>
  <si>
    <t xml:space="preserve">Hypertrophy of basal interventricular septum   </t>
  </si>
  <si>
    <t xml:space="preserve">חדר שמאל ברוחב תקין, תפקודו הגלובלי והאיזורי תקין. עקומת מילויי מעידה על ליקויי קל בהרפיה, בהתאם לגיל.  חדר ימין בגודל ובתפקוד תקין. עליות מוגדלות קל. הודגמה אנוריזמה של מחיצה בין עלייתית. המסתם האאורטלי מעובה ומסויד קל, דליפה מיטרלית מינימלית, דליפה טריקוספידלית מינימלית, לא ניתן להעריך לחץ ריאתי עקב סיגנל דופלר קלוש.  לא הודגמו וגטציות בשיטת הדמיה זו. </t>
  </si>
  <si>
    <t>Hypertrophy of interventricular septum - mild.</t>
  </si>
  <si>
    <t>Mild mitral annular calcification.</t>
  </si>
  <si>
    <t>See below</t>
  </si>
  <si>
    <t xml:space="preserve">Mild mitral annulus calcification.   </t>
  </si>
  <si>
    <t>עליה שמאלית מורחבת. חדר ימין תקין. חדר שמאל מעט מורחב, הספטום מעובה, תפקוד גלובלי ואזורי תקין. תבנית מילוי פסוידונורמלית.. הסתידות קלה של הטבעת המיטרלית ושל המסתם האורטלי. אס"ק מיטרלית קלה. אס"ק טרקיוספידלית קלה. יל"ד ריאתי בינוני.</t>
  </si>
  <si>
    <t xml:space="preserve">Severe aortic stenosis   </t>
  </si>
  <si>
    <t>S/P Repair</t>
  </si>
  <si>
    <t>חדר שמאלי מורחב, דפנותיו בעובי תקין, תפקודו הגלובלי מופחת במידה קשה. הפוקינזיה דיפוזית ואקינזיה אנפריורית, בתבנית המילוי הפרעה פסאודו-נורמלית, לחצי מילוי מוגברים. רוחב חדר ימין בגבול עליון, תפקודו מופחת. פרוזדור שמאלי מורחב במידה קשה, פרוזדור ימין מעט מורחב.  מסתם אאורטלי מעט מסוייד, ללא הפרעה המודינמית משמעותית. אנולוס מיטרלי מעט מסוייד, דלף מיטרלי קשה, דלף טריקוספידלי  קל עד בינוני, לחץ ריאתי מוגבר במידה בינונית.  הודגמה אלקטרודת הקוצב מימין.</t>
  </si>
  <si>
    <t>Hypertrophy of basal interventricular septum.</t>
  </si>
  <si>
    <t xml:space="preserve"> Severe mitral stenosis.  Severe mitral annular calcification.</t>
  </si>
  <si>
    <t xml:space="preserve">חדר שמאלי בגודל תקין והתכווצותו גלובלית שמורה, אקינזיה פוסטרו-לטרלית. חדר ימני מעט מורחב, תפקודו תקין. מסתם אאורטלי מסויד עם היצרות קלה ודלף מינימלי. אנולוס ומסתם מטרלי מסוידים, עם היצרות קשה. אי ספיקה מיטרלית קלה עד בינונית. דלף טריקוספידלי קל. לחץ דם ריאתי מוגבר במידה קשה.   עליות מורחבות. IVC מורחב עם תמט חלקי.  הודגם PFO עם מעבר צבע דופלר משמאל לימין.  תפליטים פלאורליים דו-צדדיים. </t>
  </si>
  <si>
    <t xml:space="preserve">Minimal aortic stenosis   </t>
  </si>
  <si>
    <t>severely calcified aortic valve with restricted opening</t>
  </si>
  <si>
    <t>חדר שמאלי בגודל תקין, היפרטרופי במידה בינונית, התכווצותו הגלובלית ירודה במידה קלה דיפוזי, חדר ימני בגודל והתכווצות תקינה, מסתם אורטלי מסויד, אי ספיקה אורטלית קלה עד בינונית, הצרות אורטלית קשה (peak velocity 4 m/s, טבעת מסתם מיטרלי מסוידת, היצרות במידה קלה,  אי ספיקה מיטרלית בינונית, אי ספיקה טריקוספידלית בינונית, לחץ דם ריאתי מוגבר במידה קשה, הגדלה בינונית של העליה השמאלית.  Findings of Thick, hyperechoic myocardiumm, small pericardial effusion, thickened valve leaflets are concerning for cardiac amyloidosis</t>
  </si>
  <si>
    <t>Hypertrophy of interventricular septum.</t>
  </si>
  <si>
    <t xml:space="preserve">Mild aortic stenosis   </t>
  </si>
  <si>
    <t>Mitral annular calcification.</t>
  </si>
  <si>
    <t>עליות מורחבות. חדר ימין מורחב והיפוקינטי קשה. חדר שמאל מורחב עם תפקוד גלובלי ירוד במדיה קשה. רק הספטום הקידמי והקיר הקידמי מתכווצים. השאר אקינטי. מסתם אורטלי מסויד עם דלף קל. אס"ק מיטרלית בינונית עד קשה. אס"ק רטקיוספידלית קשה. יל"ד ריאתי קל. מיימת.</t>
  </si>
  <si>
    <t xml:space="preserve">Prosthetic </t>
  </si>
  <si>
    <t xml:space="preserve">חדר שמאלי בגודל תקין והתכווצותו גלובלית שמורה, דפנותיו מעובים במידה קלה. אקינזיה מיד-פוסטריורית, אינפרו-בזאלית ושל הספטום הבזאלי. תבנית המילוי פסאודו-תקינה, אי ספיקה מיטרלית קלה וטריקוספידלית מינימלית. יתר לחץ דם ריאתי קל, הרחבה קלה של העליה השמאלית. יכול להתאים ללחצי מילוי גבוהים. </t>
  </si>
  <si>
    <t>חדר שמאל מורחב התכווצותו הגלובלית מופחתת במידה בינונית-קשה,  ירידה די דיפוזית, חדר ימין בגודל ותפקוד תקין. עליה שמאלית מורחבת. התרחבות קלה של שורש האורטה. אי ספיקה מיטרלית בינונית. אי ספיקה אורטלית קלה. אי ספיקה טריקוספדלית קלה .לחץ דם ריאתי מוגבר במידה קשה.</t>
  </si>
  <si>
    <t>עליה שמאלית מורחבת. ללא עדות לטרומבוס באוזנית.  חדר ימין עם תפקוד ירוד במדיה קשה.. חדר שמאל ברוחב תקין עם תפקוד גלבולי ירוד במדיה קשה ובאופן דיפוזי, כאשר הקיר התחתון אקינטי. אס"ק מיטרלית קלה. אס"ק טריקוספידלית קלה. יל"ד ריאתי בינוני. תבנית מילוי רסטרקיטבית. מחיצה בין עךיתית ללא פגם לפי צבע. אורטה היורדת תקינה. נוזל פריקרדיאלי בכמות קטנה. אציטס.</t>
  </si>
  <si>
    <t>Normal aortic valve structure and function.</t>
  </si>
  <si>
    <t>חדר שמאלי ברוחב תקין, מעט הפרטרופי, תפקודו הגלובלי שמור, אקינזיה אפיקלית. חדר ימין ברוחב ותפקוד תקין. פרוזדורים ברוחב תקין.  מסתם אאוורטלי מסויד, ללא היצרות, דלף קל.  אנולוס מיטרלי מסויד, דלף מיטרלי קל, דלף טריקוספידלי קל עד בינוני, לחץ ריאתי מוגבר קלה לבינונית.</t>
  </si>
  <si>
    <t xml:space="preserve">חדר שמאל בגודל תקין, הפרטרופי, התכווצות גלובלית תקינה, תבנית המילוי פסאודונורמאלית, חדר ימין בגודל ותפקוד תקין, עליה שמאלית מורחבת במידה קלה, טבעת מסתם מיטרלי מסוידת, אי ספיקה מיטרלית קלה, מסתם אאורטלי מסויד, אי ספיקה אאורטלית קלה, הצרות אאורטלית קשה, אי ספיקה טריקוספידלית קלה-בינונית, לחץ דם ריאתי מוגבר במידה קשה. </t>
  </si>
  <si>
    <t xml:space="preserve">חדר שמאלי בגודל תקין, התכווצותו הגלובלית ואיזורית תקינה, חדר ימני בגודל והתכווצות תקינה, מסתם אורטלי מסוייד ללא הצרות, מסתם מיטרלי מעובה וסוייד, אי ספיקה מיטרלית בינונית-קשה, סילון אקסנטרי אחורי, אי ספיקה טריקוספידלית בינונית עד קשה,  לחץ דם ריאתי מוגבר במידה בינונית, הגדלה קלה של העליה השמאלית, הגדלה של העליה הימנית. </t>
  </si>
  <si>
    <t>Regional LV dysfunction.</t>
  </si>
  <si>
    <t>חדר שמאלי בגודל והתכווצות גלובלית ואיזורית תקינה, חדר ימין תקין בגודל ותפקוד,  מסתם אורטלי מסוייד מדגים הצרות קשה, אי ספיקה אורטלית קלה, טבעת המסתם המיטרלי מסויידת, אי ספיקה מיטרלית קלה, אי ספיקה טריקוספידלית קלה, לחץ דם ריאתי מוגבר במידה בינונית, הגדלה ביונית של העליה השמאלית, הגדלה של העליה הימנית.  הודגם תפליט פריקרדיאלי בכמות מינימלית.  יחס E/E' מתאים ללחצי מילוי גבוהים.של חדר שמאל.</t>
  </si>
  <si>
    <t>s/p Repair</t>
  </si>
  <si>
    <t xml:space="preserve">חדר שמאל בגודל תקין, היפרטרופיה קלה, תפקודו הגלובלי תקין, חדר ימין בגודל ותפקוד תקין, הרחבה של עליה שמאלית, מסתם אאורטלי מסוייד, אי ספיקה אאורטלית קלה-בינונית, מסתם מיטרלי מסוייד, אי ספיקה מיטרלית קשה, אי ספיקה טריקוספידלית קלה-בינונית, לחץ דם ראתי מוגבר במידה קשה, תפליט פלאורלי מימין, גרפט באאורטה העולה </t>
  </si>
  <si>
    <t>Hypertrophy of LV.</t>
  </si>
  <si>
    <t>חדר שמאלי בגודל והתכווצות גלובלית ואיזורית תקינה, דפנותיו מעובים  .  תבנית המילוי פסאודו-תקינה, חדר ימניעם התכווצות תקינה, מסתם אאורטלי מסויד, פתיחתו תקינה, אי ספיקה מיטרלית בינונית עד קשה. אי ספיקה טריקוספידלית מינימלית, יתר לחץ דם ריאתי קל, עליות מורחבות.</t>
  </si>
  <si>
    <t>Calcifications in papillary muscles</t>
  </si>
  <si>
    <t xml:space="preserve">חדר שמאל עם חלל בגודל תקין, היפרטרופיה קלה של הדופנות, התכווצות גלובלית תקינה, ללא הפרעה אזורית . שתי עליות מורחבות. יתר ל"ד ראתי קל. </t>
  </si>
  <si>
    <t xml:space="preserve">חדר שמאלי מורחב במידה קשה, התכווצותו הגלובלית ירודה במידה בינונית עד קשה. ישנה אקינזיה תחתונה אחורי ולטרלית. ספטום היפרטרופי. לחצי מילוי גבוהים של חדר שמאל. חדר ימין תקין. מסתם אורטלי מעובה ומסוייד עם דליפה קלה עד בינונית. מסתם מיטרלי עם רסטריקציה של עלה אחורי, דליפה קשה אקסנטרית אחורית לטרלית. עובי העלים 4 מ"מ, קואופטציה נימדדה 4 מ"מ. ניראה כי עיקר הגט הינו מרכזי. (יכול להתאים ל MITRAL CLIP). דליפה קלה עד בינונית של מסתם טריקספידלי. עדות ליתר לחץ דם ריאתי בינוני, הגדלה בינונית של העליה השמאלית. הגדלה של עליה ימין. טרשת משמעותית באורטה היורדת. </t>
  </si>
  <si>
    <t>חדר שמאלי מורחב בינוני, עוביו תקין והתכווצות גלובלית מופחתת בינונית EF-37% - ראו ציור. תבנית המילוי פסודונורמלית. הפרעה דיאסטולית בינונית. חדר ימני מוגדל בינוני והתכווצות מופחתת במידה קלה. תפליט פריקרדיאלי קטן מאד מאחור. אי ספיקה מטרלית בינונית-קשה (בגבול קשה). אין קואפטציה של העלים הטריקוספידלים עם דלף קשה. הסתיידות מסתם אאורטלי עם דלף קל והצרות קשה מפל 40/25 AVA-0.8 סמ"ר. יש עדות ליתר לחץ דם ריאתי קל-בינוני 48 ממ"כ. הגדלה בינונית של העליה השמאלית וקלה של הימנית.   מומלץ להשיג בדיקת אקו קודמת (אין כאן) וייעוץ קרדיולוג.</t>
  </si>
  <si>
    <t xml:space="preserve">Moderate aortic stenosis  </t>
  </si>
  <si>
    <t>חדר שמאלי בגודל תקין, היפרטרופיה של הספטום הבזלי, התכווצותו הגלובלית  תקינה ערה, תבנית המילוי פסאודונורמלית, עלייה שמאלית מוגדלת במידה בינונית, מסתם אורטלי מסוייד, הודגמה הצרות בינונית  של המסתם האורטלי, אי ספיקה אורטלית קלה, הודגם MAC, אי ספיקה מיטרלית קלה עד בינונית, אי ספיקה טריקוספידלית קלה , לחץ דם ריאתי מוגבר במידה בינונית קשה, הרחבה קלה של האורטה העולה.</t>
  </si>
  <si>
    <t xml:space="preserve">חדר שמאל עם  חלל בגודל תקין , הספטום מעובה במידה קלה, תפקודו הסיסטולי הגלובלי של חדר שמאל ער ללא הפרעה אזורית ברורה. מודגמת חסימה דינמית מיד-ונטריקולרית (משנית לתפקוד הער) עם מפל סיסטולי מקסימלי מקסימלי של 36 ממ"כ (לא נצפה שינוי מהותי בולסלבה כנראה טכנית),תבנית  המילוי הדיאסטולי מתאימה להפרעה ברלקסציה  ,עליות בגודל תקין   חדר ימין בגודל ותפקוד תקינים ,לא ניתן להעריך ל"ד ריאתי בהעדר סיגנל TR   מסתם אאורטלי מסוייד ללא עדות לדלף או הצרות, אנולוס מיטראלי מסוייד במידה קשה , מפל לחצים דיאסטולי מעט מוגבר על פניו (מתאים להצרות קלה), מודגם דלף מיטראלי וטריקוספידלי מינימלי   </t>
  </si>
  <si>
    <t>חדר שמאלי בגודל תקין, היפרטרופיה של הספטום , התכווצות גלובלית תקינה, חדר ימני בגודל והתכווצות תקינה, מסתם אאורטלי מעובה, אי ספיקה אאורטלית ומיטרלית מינימלית , אי ספיקה טריקוספידלית קלה,לחץ דם ריאתימוגבר במידה קלה, העליה השמאלית מוגדלת במידה קלה, הודגם נוזל פריקרדיאלי בכמות בינונית עם שינויים רספרטוריים  משמעותיים של הזרימה המיטרלית. הIVC מורחב וללא קופס נשימתי.  לא הודגמו סימני לחץ על חדר ימין.   לאור השינויים ההמודינמים המתארים למעלה יש צורך למעקב אקוקרדיוגרפי צמוד.</t>
  </si>
  <si>
    <t xml:space="preserve">חדר שמאלי תקין בגודלו , הספטום מעובה, תפקוד גלובלי תקין , נצפתה הפרעה קלה אינפרופוסטרובזלית שתוארה כבר בעבר. חדר ימני תקין בגודלו ובתפקודו.  טבעת מסתם מיטרלי מסוידת, אי ספיקה מיטרלית קלה אקסנטרית קדמית. מסתם האאורטלי מסויד ללא היצרות משמעותית. בהעדר אי ספיקה טריקוספידאלית לא ניתן להעריך לחץ ריאתי. עליה שמאלית מורחבת במידה בינונית.   לציין תוך כדי הבדיקה נצפו מספר פאוזות - לא ניתן לומר את אורכן. מומלץ הולטר לב בהקדם. </t>
  </si>
  <si>
    <t xml:space="preserve">בדיקה בוצעה בזמן פרפור.  חדר שמאלי בגודל תקין, דפנותיו בעובי תקין, ללא הפרעה איזורית בוחלטת. עליה שמאלית מורחבת במידה בינונית, עליה ימנית בגודל תקין. חדר ימין תקין בגודל ותפקוד. טבעת המסתם המיטרלית מסויידת, אי ספיקה קלה. מסתם אאורטלי מסוייד, פתיחתו טובה. באספקט החדרי של המסתם האאורטלי, ממצא חוטי ונייד מאוד, מתאים ל-strand. אי ספיקה טריקוספידלית קלה. לח"ד ריאתי תקין. </t>
  </si>
  <si>
    <t>Mild to moderate aortic stenosis</t>
  </si>
  <si>
    <t xml:space="preserve">חדר שמאל בגודל תקין, דפנותיו מעובות, תפקודו הסיסטולי הגלובלי תקין. הפרעה דיאסטולית דרגה 1. חדר ימין בגודל ותפקוד תקינים. עליה שמאל מורחבת. עלי מסתם אאורטלי מסויידים, דרך המסתם דלף קל עד בינוני עם הצרות קלה עד בינונית. אי ספיקה מיטרלית קלה וטריקוספידלית קלה עד בינונית. נימדד יתר לחץ דם ריאתי מוגבר במידה קלה. </t>
  </si>
  <si>
    <t xml:space="preserve">חדר שמאל בגודל תקין התכוצותו הגלובלית שמורה עם חשד להיפוקינזיה תחתונה ואחורית, תני המלוי פסאודו נורמלית, עליה שמאל מורחבת במידה קלה.   חדר ימין בגודל תקין עם תפקוד מופחת במידה עד בינונית  ,ל"ד ריאתי מוגבר במידה בינונית.   מסתם אאורטלי מסוייד ללא דלף או הצרות, הסתיידות טבעת המסתם המיטראלי, דלף מיטראלי מינימלי, דלף טריקוספידלי קל.   </t>
  </si>
  <si>
    <t xml:space="preserve">עליות מוגדלות במידה קלה. חדר שמאלי עם היפרטרופיה קלה, התכווצותו גלובלית ואיזורית תקינה.תבנית זרימה פסאודונורמלית, חדר ימני תקין בגודלו ותיפקודו. אי ספיקה מיטרלית קלה-בינונית, טריקוספידלית קלה. לחץ ריאתי מוגבר במידה קשה. הודגם נוזל פריקרדיאלי מינימלי ונוזל פלאורלי דו צדדי. </t>
  </si>
  <si>
    <t xml:space="preserve">Hypertrophy of basal interventricular septum   C/W LV diastolic dysfunction: Pseudo-normal filling pattern .   </t>
  </si>
  <si>
    <t xml:space="preserve">Moderate mitral annulus calcification.   Thickening in mitral leaflets  </t>
  </si>
  <si>
    <t>חדר שמאל בגודל תקין,היפרטרופיה של הספטום הבזלי, ההתכווצותו הגלובלית ואיזורית היפרדינמית,תבנית מילוי מתאימה להפרעה דיאסטולית , עליה שמאלית מורחבת במידה בינונית, עליה ימנית מורחבת במידה קלה, טבעת של המסתם המיטרלי מסויידת במידה בינונית, עיבוי ממוקם בעלים של המסתם.  אי ספיקה מיטרלית קלה, מסתם אורטלי מעובה, אי ספיקה אורטלית מזערית, אי ספיקה טריקוספידלית קלה, לחץ דם ריאתי מוגבר במידה בינונית, הודגם מפל לחצים דינמי בתוך חדר שמאלי, המתגבר בVALSALVA עד 40 ממיכ, הודגם נוזל פריקארדיאלי בכמות מינימלית.  יש חשד לסטרוקטורה סולידית בצמוד לחלק הצדדי אפיקלי של חדר שמאל שלא גורם ללחץ על הלב.  הממצאים באקו לא מחזקים את החשד של אמילוידוסיס</t>
  </si>
  <si>
    <t xml:space="preserve">בדיקה באיכות טכנית מאוד ירודה לא אבחנתית ברובה. אין תמונות ראויות ממנח אפיקלי והאפקס  וחדר ימין לא הודגמו .   במגבלות הבדיקה רושם כי תפקוד חדר שמאל ירוד במידה קשה עם אקינזיה ספטאלית נרחבת , קדמית ואחורית (ראה תרשים. כאמור אפקס לא נצפה).   לא ניתן להתייחס לתפקוד חדר ימין וגודלו. הודגם ל"ד ריאתי מוגבר במידה קשה.   מסתם אאורטלי מסוייד ללא עדות לדלף, דלף מיטראלי וטריקוספידלי קל עד בינוני.  הIVC מורחב ללא תמט נשימתי.   ממליץ לחזור על הבדיקה עם מכשיר אחר לנסות לשפר את איכות ההדמיה מאחר וכאמור הבדיקה ברובה אינה אחנתית    </t>
  </si>
  <si>
    <t xml:space="preserve">Moderate mitral annular calcification.  </t>
  </si>
  <si>
    <t xml:space="preserve">חדר שמאל בגודל תקין, התכווצותו הגלובלית ירודה במידה קלה לבינונית עם התכווצות אסיכרונית משנית ל CLBBB, אין בידי בדיקה להשוואה, חדר ימין בגודל ותפקוד תקינים, הרחבה קלה של עליה שמאלית, אי ספיקה מיטרלית קלה עד בינונית, אי ספיקה טריקוספידלית מינימלית, עדות ליתר לחץ דם ריאתי קל.  נוזל פריקרדיאלי בכמות קלה, IVC מורחב ללא קולפס נשימתי. אין שינויים נשימתיים בזרימות על פני מסתם מיטרלי. </t>
  </si>
  <si>
    <t xml:space="preserve">חדר שמאל בגודל תקין, ספטום בזלי היפרטרופי, התכווצותו הגלובלית ירודה במידה בינונית עם אקינזיה אפיקלית נרחבת, קדמית וספטאלית, רושם להיפוקינזיה לטראלית (ראה תרשים). תבנית המלוי הדיאסטולי פסאודונורמלית, עליה שמאל מורחבת במידה קלה.    חדר ימין בגודל ותפקוד תקינים עם ל"ד ריאתי מוגבר במידה קשה.  מסתם אאורטלי מסוייד, היצרות קלה, אי ספיקה אאורטלית מינימלית, אי ספיקה מיטרלית קלה, אי ספיקה טריקוספידלית קלה עד בינונית.   מודגמים תפליטים פלאורליים גדולים דו"צ. </t>
  </si>
  <si>
    <t xml:space="preserve">Moderate mitral annulus calcification.  </t>
  </si>
  <si>
    <t xml:space="preserve">פרפור פרוזדורים 110 לדקה   הדמיה קשה מאד טכנית   חדר שמאל בגודל תקין , תפקודו הגלובלי מופחת במידה כנראה קלה-בינונית ללא הפרעה איזורית בולטת, חדר ימין מורחב במידה קלה, תפקודו מופחת במידה בינונית, מסתם אאורטלי מסוייד, אי ספיקה אאורטלית קלה, אי ספיקה מיטרלית קלה-בינונית, אי ספיקה טריקוספידלית קלה, לחץ דם ראתי מוגבר במידה קלה </t>
  </si>
  <si>
    <t xml:space="preserve">Mitral annulus calcification.  </t>
  </si>
  <si>
    <t>חדר שמאלי בגודל תקין, התכווצותו הגלובלית שמורה, היפוקינזיה תחתונה אחורית בזלית ואסינכרוניה ספטו אפיקלית יתכן משניים להפרעת ההולכה. תבנית המילוי מעידה על הפרעה ברלקסציה. חדר ימין תקין בגודל ותפקוד, מסתם אורטלי מסוייד עם הצרות בינונית עד קשה, אי ספיקה אורטלית מינימלית, מסתם מיטרלי מסוייד קלות בעיקר עלה קידמי עם אי ספיקה מיטרלית קלה, אי ספיקה טריקוספידלית מינימלית, אין עדות ליתר לחץ דם ריאתי, ללא הגדלה של העליה השמאלית.</t>
  </si>
  <si>
    <t xml:space="preserve">mitral annulus calcification.  </t>
  </si>
  <si>
    <t>הבדיקה בוצעה בשכיבה, הנבדק לאחר השתלת קוצב מאתמול.  חדר שמאלי מעט מורחב, דפנותיו בעובי תקין, תפקודו הגלובלי והאזורי מופחת במידה בינונית-קשה. חדר ימין ברוחב תקין, תפקודו בגבול הנורמה. פרוזדור שמאלי מורחב. מסתם אאורטלי מסויד ומוצר, שטח מחושב כ 1.3 סמ"ר.  אנולוס מיטרלי מסויד, דלף מיטרלי קל -בינוני. דלף טריקוספידלי קל. לחץ ריאתי מוגבר במידה קלה.   הודגם קוצב בחללי הלב הימני, הודגם תפליט פלאורלי מימין.  הודגמה ציסטה בכבד.</t>
  </si>
  <si>
    <t xml:space="preserve">חדר שמאל בגודל תקין, התכווצותו הגלובלית ,תקינה עם אקינזיה אינפרובזלית, דפנותיו מעובים במידה קלה (יותר הספטום). עליה שמאלית  מורחבת במידה קלה. אי ספיקה מטרלית מינימלית.  </t>
  </si>
  <si>
    <t xml:space="preserve">Moderate mitral annular calcification.   </t>
  </si>
  <si>
    <t xml:space="preserve">Hypertrophy of interventricular septum  Regional LV dysfunction  </t>
  </si>
  <si>
    <t>חדר שמאלי מורחב עם התכווצות גלובלית מופחתתבמידה בינונית, אקינזיה רחבה אינפריורית, אחורית לטרלית, ספטום מעובה, חדר ימני מעט מורחב והיפוקינטי, אי ספיקה מיטרלית קשה, עקב רטרקציה של העלה האחורי, קוטר האנולוס 3.7 סמ במנח 4 מדרים, אי ספיקה טריקוספידלית קלה עד בינונית עם יתר לחץ דם ריאתי ניכר, הרחב של IVC. עליה שמאלית מורחבת.</t>
  </si>
  <si>
    <t xml:space="preserve">חדר שמאלי מורחב, הפרטרופי, תפקודו הגלובלי והאזורי מופחת במידה קשה. השטחה של הספטום בדיאסטולה.   חדר ימין מורחב ומופחת מאוד בתפקודו. פרוזדורים מורחבים.  מסתם אאורטלי מסויד, פתיחתו מאוד מוגבלת, היצרות קשה , שטח מסתם מחושב כ- 0.6 סמ"ר, דלף אאורטלי קל.  מסתם מיטרלי תותב , הודגם דלף מיטרלי כנראה קל+.  הודגם דלף טריקוספידלי   קשה, לחץ ריאתי מוגבר במידה קשה  הודגם תפליט פלאורלי קטן מימין, ואציטס.  הודגמה אלקטרודת הקוצב מימין.  </t>
  </si>
  <si>
    <t>הדמיה קשה טכנית, חדר שמאל בגודל ותפקוד תקין , חדר ימין מורחב תפקודו שמור, הרחבה של עליה שמאלית, מסתם אאורטלי מסוייד, פתיחתו מוגבלת, היצרות אאורטלית  בינונית-קשה (שטח מסתם מתאים להיצרות קשה, מפל לחצים לא בהתאמה כנראה ביטוי לנפח פעימה נמוך בגלל דליפה טריקוספידלית ), אי ספיקה מיטרלית קלה, אי ספיקה טריקוספידלית קשה, IVC מורחב עם היפוך זרימה סיסטולי בורידי הכבד,  לחץ דם ראתי מוגבר במידה בינונית.   ממליץ ביצוע TEE להערכה נוספת של חומרת ההיצרות במסתם האאורטלי</t>
  </si>
  <si>
    <t xml:space="preserve">Rheumatic </t>
  </si>
  <si>
    <t>בדיקה באיכות טכנית ירודה מאוד. הדמיה מאוד מוגבלת   הרחבה קלה של האורטה העולה. עליה שמאלי  מורחבת. חדר ימין תקין. חדר שמאל ברוחבתקיקן עם תפקוד גלוןבלי שמור. היפוקינזיה ספטלית. מסתם אורטלי מעובה עם דלף קל. אס"ק מיטרליתקלה. לא ניתן להעריך לחץ ריאתי. לא ניתץן לקבוע תפקוד דיאסטולי. שומן פריקרדאלי בולט.</t>
  </si>
  <si>
    <t xml:space="preserve">C/W LV diastolic dysfunction: Pseudo-normal filling pattern .   </t>
  </si>
  <si>
    <t>חדר שמאל מורחב עם תפקוד גלובלי ירוד במידה קשה באופן דיפוזי, חדר ימין מורחב עם תפקוד יירוד במידה קשה, הרחבה של עליה שמאלית וימנית, מסתם אאורטלי מסוייד עם היצרות קשה, יתכן PSEUDO SEVERE AS בשל LOW CO, אם כי מראה המסתם חולה, אי ספיקה אאורטלית מינימלית, טבעת המסתם מיטרלית מסויידת, אי ספיקה מיטרלית קלה עד בינונית, אי ספיקה טריקוספידלית קלה עד בינונית, לחץ דם ריאתי מוגבר במידה קשה.  נוזל פלאורלי גדול משמאל.</t>
  </si>
  <si>
    <t xml:space="preserve">חדר שמאלי בגודל והתכווצות גלובלית ואיזורית היפרדינמית. השטחה סיסטולית של ספטום בינחדרי כביטוי למעמסת לחץ על חדר ימין. חדר ימין מורחב במעט עם ירידה קלה עד בינונית בתיפקודו. לחצי מילוי גבוהים של חדר שמאל. דליפה מינימלית של מסתם מיטרלי וקלה של טריקספיד. עדות ליתר לחץ דם ריאתי קשה, הגדלה קלה של העליה השמאלית והימנית. IVC מורחב עם ירידה בשינויים הנשימתיים וזרימה הפוכה בורידי הכבד. מעט נוזל פריקרדיאלי. </t>
  </si>
  <si>
    <t>חדר שמאלי בגודל והתכווצות גלובלית ואיזורית תקינה, חדר ימני בגודל והתכווצות תקינה, מסתם אורטלי מעט מסוייד, אי ספיקה מיטרלית קלה, אס"ק טריקוספידלית קלה, לחץ דם ריאתי מוגבר במידה קלה, הגדלה קלה של העלייה השמאלית. תבנית מילוי פסוידו נורמלית. חשד לנוזל פלוירלי משמאל.</t>
  </si>
  <si>
    <t xml:space="preserve">חדר שמאלי ברוחב תקין, דפנותיו בעובי תקין, תפקודו הגלובלי והאזורי תקינים.  חדר ימין מעט מורחב, תפקודו שמור. פרוזדור ימין מוגדל מינימלית.  מסתם אאורטלי מסויד, הצרות אורטלית קלה ודלף קל. אנולוס מיטרלי מסויד, הודגם דלף מיטרלי קל, דלף טריקוספידלי מינימלי, לחץ ריאתי מוגבר במידה קלה.  </t>
  </si>
  <si>
    <t xml:space="preserve">חדר שמאל בגודל תקין, התכווצותו הגלובלית שמורה, אסינכרונית, ביפוקינזיה אפיקוספטלית, חדר ימין תקין, הודגמה אלקטרודת קוצב בלב ימני, עליה שמאלית מורחבת במידה קלה, אי ספיקה מיטרלית קלה, אי ספיקה טריקוספידלית קלה עד בינונית, לחץ דם ריאתי מוגבר במידה קלה </t>
  </si>
  <si>
    <t xml:space="preserve">הבדיקה בוצעה בשכיבה על הגב   חדר שמאל עם חלל בגודל תקין, הספטום מעובה במידה קלה,תפקודו הסיסטולי הגלובלי של חדר שמאל ירוד במידה קלה עם אקינזיה אפיקלית, תבנית  המילוי הדיאסטולי מתאימה להפרעה ברלקסציה ,עליות בגודל תקין   חדר ימין בגודל ותפקוד תקינים ,לא ניתן להעריך ל"ד ריאתי בהעדר סיגנל TR   מסתם אאורטלי מסוייד עם דלף מינימלי ללא הצרות, אנולוס מיטראלי מסוייד ללא הצרות, דלף מיטראלי וטריקוספידלי מינימלי. </t>
  </si>
  <si>
    <t>MAC</t>
  </si>
  <si>
    <t>חדר שמאלי בגודל תקין, התכווצותו הגלובלית ואיזורית תקינה, תבנית המילוי פסאודו נורמלית, חדר ימני בגודל והתכווצות תקינה, מפל לחצים מוגבר במדה מינימלית על פני המסתם האורטלי. טבעת המסתם המיטרלי מסויידת   עם מפל לחצים מוגבר על פניו במידה קלה-בינונית, אי ספיקה מיטרלית קלה, אי ספיקה טריקוספידלית קלה-בינונית, לחץ דם ריאתי מוגבר במידה בינונית, הגדלה קלה של העליה השמאלית ושל העליה הימנית.  IVC מורחב ללא תמת נשימתי.  הודגמה אלקטרודת קוצב בחללים ימניים.נוזל פריקרדיאלי בכמות קטנה</t>
  </si>
  <si>
    <t xml:space="preserve">חדר שמאלי מעובה, בגודל והתכווצות גלובלית ואיזורית תקינה, תבנית המילוי פסאודו - תקינה, חדר ימני מעט מורחב והיפוקינטי,  אי ספיקה מיטרלית וטריקוספידלית קלה עד בינונית,  עדות ליתר לחץ דם ריאתי קל,  הגדלה קלה  של העליה השמאלית והימנית, הרחבה קלה של האורטה העולה.  </t>
  </si>
  <si>
    <t>חדר שמאל מורחב במידה קלה, דפנותיו מעובים ,תפקודו הגלובלי ירוד במידה  קשה, בולטת יותר אקינזיה פוסטריורית,ספטלית ולטרלית. חדר ימין מורחב, תפקודו ירוד במידה קשה, עליה שמאלית מורחבת בינונית. עליה ימנית מורחבת במידה קלה. מסתם אורטלי מסוייד, מחלה משולבת של היצרות ביונית עד קשה ודליפה קשה, אנולוס מיטרלי מסוייד, דלף בינוני. אי ספיקה טריקוספידלית בינונית. לחץ דם ריאתי מוגבר במידה קשה. IVC ברוחב תקין קולפס חלקי. זרימה פהוכה בורידי הכבד, הודם נוזל פריקרידאלי מנימלי. נוזל פלאורלי מימין ומשמאל.</t>
  </si>
  <si>
    <t>חדר שמאל ברוחב תקין, תפקודו הגלובלי מופחת במידה  קלה-בינונית. אקינזיה פוסטריורית ואינפריורית, היפוקיניזה לטרלית וספטלית,  עקומת המילוי מתאימה לרלקסציה מופחתת. חדר ימין בגודל ותפקוד תקין,  עלי המסתם המיטרלי מעובים, האנולוס המיטרלי מסוייד. דליפה מיטרלית קלה, דליפה טריקוספידלית קלה עם עדות ליתר לחץ דם ריאתי קל,  עליה שמאלית מורחבת במידה קלה.</t>
  </si>
  <si>
    <t>חדר שמאל בגודל תקין, היפרטרופיה קלה של הספטום הבזלי, ההתכווצותו הגלובלית והאיזורית תקינה, אי ספיקה מיטרלית וטריקוספידלית מינימלית, חדר ימין תקין בגודלו ותפקודו, IVC תקין, עם תמט נשימתי מלא, אין עדות ליתר לחץ דם ריאתי.</t>
  </si>
  <si>
    <t>Mild to moderate  mitral annular calcification.</t>
  </si>
  <si>
    <t xml:space="preserve">חדר שמאלי בגודל והתכווצות גלובלית ואיזורית תקינה. דפנותיו  מעובים קונצנטרית  קל לבינוני.  תבנית המילוי מדגימה הפרעה קלה בהרפיה.   חדר ימני בגודל והתכווצות תקינה. טבעת מסתם מיטרלי  מסויידת קל לבינוני. עלימסתם מטראלי סקלרוטים ודרכם אי ספיקה קלה. שלושת עלי מסתם אאורטלי מסויידים ומעובים קל,  פתיחתם טובה, דרכם אי ספיקה קלה+ מאיזור קואפטציה של העלים.  אי ספיקה טריקוספידלית קלה לבינונית, לחץ ריאתי מוגבר במידה בינונית. הרחבה של הפרוזדורים. תפליט פריקרדיאלי בכמות מינימלית. </t>
  </si>
  <si>
    <t>חדר שמאלי מורחב, ספטום בזלי מעובה, תפקודו הגלובלי מופחת במידה קשה. הודגמה אקינזיה של רוב הדפנות פרט לחלקים בזלים. לחצי מילוי מוגברים של חדר שמאל. חדר ימין ברוחב תקין, תפקודו מופחת. פרוזדורים מורחבים. מסתם אורטלי מעט מסויד, דלף קל. שורש האורטה והאורטה העולה מורחבים. עלה קדמי מיטרלי מסויד, דלף מיטרלי דרגה 2 לפחות. הודגם דלף טריקוספידלי קל עד בינוני, לחץ ריאתי מוגבר במידה ניכרת. הודגם תפליט פלאורלי מימין.</t>
  </si>
  <si>
    <t xml:space="preserve">חדר שמאל בגודל תקין, התכווצות גלובלית תקינה, עליה שמאלית מורחבת במידה קלה, חללי הלב ימניים תקינים, אי ספיקה מיטרלית קלה, אי ספיקה טריקוספידלית בינונית, לחץ דם ריאתי מוגבר במידה בינונית, נוזל פריקרדיאלי בכמות מינימלית, לא הודגמו ווגטציות. </t>
  </si>
  <si>
    <t>חדר שמאל תקין בגודלו ותיפקודו, הספטום מעובה מעט, חדר ימין תקין בגודלו ותיפקודו, עליה שמאלית תקינה, עלי מסתם אורטלי ומיטרלי מסויידים פתיחתם תקינה, אי ספיקה מיטרלית קלה לבינונית וטריקוספידלית קלה, תבנית מילוי מתאימה להפרעה ברלקסציה, נוזל פריקרדיאלי בכמות קטנה לבינונית.</t>
  </si>
  <si>
    <t>עליה שמאלית מורחבת. חדר ימין תקין. חדר שמאל אינו מורחב, תפקוד גלובלי ירוד במדיה קשה , אקינזיה אחורית, לטרלית, אינפרןןו בזלית, אפיקלית. השאר היפוקינטי. הסתיידות קלה של הטבעת המיטרלית ושל המסתם האורטלי. אס"ק מיטרלית קלה. אס"ק טריקוספידלית מינימלית. לחץ ריאתי מוגבר בינוניתן. תבנית מילוי פסוידו-תקינה.</t>
  </si>
  <si>
    <t>חדר שמאל מורחב במידה בינונית,  הפרטרופי, תיפקוד ירוד במידה בינונית-קשה , תבנית המילוי רסטרקטיבית,  עליות מורחבות במידה קלה, חדר ימני מורחב עם תיפקוד מופחת במידה בינונית ,  טבעת מסתם  מיטרלי מסוידת, אי ספיקה מיטרלית קלה, אי ספיקה טריקוספידלית  בינונית, לחץ דם ריאתי מוגבר במידה בינונית.</t>
  </si>
  <si>
    <t xml:space="preserve">חדר שמאל בגודל ותפקוד תקין,   חדר ימין בגודל ותפקוד תקין,  עליה שמאלית מורחבת במידה קלה,  מסתם אאורטלי מעובה,  אי ספיקה אאורטלית קלה,  אי ספיקה מיטרלית קלה,  תבנית המילוי פסאודונורמאלית,  אי ספיקה טריקוספידלית מינימלית,  לא הודגמה עקומת TR להערכת לחץ דם ראתי,  תמונה אקוקרדיוגרפית לא מעלה חשד לעמילואידוזיס </t>
  </si>
  <si>
    <t xml:space="preserve">  </t>
  </si>
  <si>
    <t xml:space="preserve">חדר שמאלי ברוחב תקין, היפרטרופי במידה קלה, התכווצותו גלובלית ואיזורית תקינה. תבנית זרימה מתאימה להפרעה ברלקסציה. היפרטרופיה קלה של הספטום הבזלי. חדר ימני תקין בגודלו ותיפקודו. אי ספיקה מיטרלית קלה. מסתם אורטלי מסוייד קלות ללא היצרות משמעותית. אי ספיקה טריקוספידלית מינימלית. לחץ ריאתי תקין. עליה שמאלית מוגדלת במידה קלה. </t>
  </si>
  <si>
    <t xml:space="preserve">בדיקה בוצעה בשכיבה על צד ימין, חדר שמאל בגודל תקין, היפרטרופי, התכווצותו הגלובלית והאזורית תקינה, חדר ימין תקין, עליה שמאלית מורחבת במידה קלה, מסתם אאורטלי מעובה, אי ספיקה מיטרלית וטריקוספידלית מינימלית, בשל סיגנל TR קלוש לא ניתן להעריך לחץ דם ריאתי, הודגמה מיימת עם ממצא אקוגני בולט בתוכו במנח הSUBCOSTAL. </t>
  </si>
  <si>
    <t>מהקשה טכנית, חדר שמאלי בגודל  תקין, היפרטרופיה קלה של הספטום, התכווצות גלובלית ואיזורית תקינה, תבנית המילוי מתאימה להפרעה ברילקסציה, חדר ימני בגודל והתכווצות תקינה,  מסתם אורטלי מסויד עם הצרות קלה, מסתם מיטרלי מסוייד קלות עם דלף מזערי, דלף טריקוספידלי מזערי, לא ניתן להעריך לחץ דם ריאתי ללא עקומת דופלר,  הגדלה קלה של העליה השמאלית.</t>
  </si>
  <si>
    <t>חדר שמאלי ברוחב תקין, עובי דפנותיו מעט מעובים, תפקודו הגלובלי והאזורי תקין. חדר ימין ברוחב ותפקוד תקין. פרוזדור שמאלי מורחב במידה קלה. אנולוס מיטרלי מעט מסויד, דלף מיטרלי מינימלי. הודגם דלף טריקוספידלי קל, לחץ ריאתי מוערך כתקין.</t>
  </si>
  <si>
    <t xml:space="preserve">חדר שמאלי בגודל והתכווצות גלובלית ואיזורית תקינה,חדר ימין בגודל ותפקוד תקין, אי ספיקה טריקוספידלית מינימלית, אס"ק טריקוספידלית מינימלית, אין עדות ליתר לחץ דם ריאתי, ללא הגדלה של העליה השמאלית.  </t>
  </si>
  <si>
    <t>חדר שמאלי בגודל תקין, התכווצות גלובלית ירודה במידה קלה-בינונית עם אקינזיה ספטו-אפיקלית והיפוקינזיה של שאר הדפנות, וריאבליות גדולה בין הפעימות משנית לפרפור פרוזדורים עם היענות חדרית מהירה. חדר ימני בגודל תקין, התכווצותו ירודה במידה קלה, אי ספיקה אורטלית קלה, אי ספיקה מיטרילית בינונית-קשה, אי ספיקה טריקוספדלית בינונית-קשה, לחץ דם ריאתי מוגבר במידה בינונית, הגדלה של העליה השמאלית. הודגם נוזל פריקרדיאלי בכמות קטנה, הודגם נוזל פלאורלי משמאל.</t>
  </si>
  <si>
    <t xml:space="preserve">חדר שמאלי מורחב עם התכווצות גלובלית מופחתת במידה בינונית, אקינזיה אפיקלית ספטלית, היפוקינזיה אינפריורית, פרפור עליות, חדר ימני מעט מורחב והיפוקינטי, מסתם מיטרלי מעובה אנולוס מסויד, אי ספיקה מיטרלית קשה, אי ספיקה טריקוספידלית בינונית קשה, עליות מורחבות (בעיקר הימנית), יתר לחץ דם ריאתי ניכר, IVC  עם וריאציה נשימתית מופחתת, חשד לטומבוס בחוד, תפליט פלאורלי מימין. </t>
  </si>
  <si>
    <t>בדיקה קשה מאוד טכנית. חדר שמאל מורחב, היפרטרופי , התכווצות גלובלית ירודה במידה בינונית, אקינזיה אפיקלית, לטרלית, אינפרפוסטרו-בזלית, מסתם אאורטלי מסוייד עם הצרות קלה על פניו, אי ספיקה אאורטלית קלה+, אי ספיקה מיטרלית וטריקוספידלית קלה, לחץ דם ריאתי מוגבר במידה בינונית, העליה השמאלית וימנית  מוגדלות במידה בינונית, חדר ימין מורחב, תפקודו שמור, הרחבה של סינוסים אאורטליים והעאאורטה העולה.</t>
  </si>
  <si>
    <t>Mild mitral annulus calcification.</t>
  </si>
  <si>
    <t xml:space="preserve">  חדר שמאלי ברוחב תקין, דפנותיו בעובי תקין, תפקודו הגלובלי  תקין. חדר ימין ברוחב ותפקוד תקין. פרוזדורים ברוחב תקין. אנולוס מיטרלי מסוייד, דלף מיטרלי מינימלי, דלף טריקוספידלי קל עד בינוני, לחץ ריאתי מוגבר במידה קלה. לא הודגם תפליט פריקרדיאלי</t>
  </si>
  <si>
    <t>חדר שמאלי בגודל והתכווצות גלובלית ואיזורית תקינה, דפנותיו מעובים במידה קלה.  חדר ימני בגודל והתכווצות תקינה, הסתיידות קלה של האנולוס מיטרלי, אי ספיקה מיטרלית וטריקוספידלית מינימלית , אין עדות ליתר לחץ דם ריאתי, ללא הגדלה של העליה השמאלית.</t>
  </si>
  <si>
    <t>חדר שמאלי בגודל תקין ,היפרטרופיה קלה של הספטום,תפקוד גלובלי מופחת במידה קשה מאוד, ראה פיזור אזורי, תבנית המילוי רסטרקטיבית, חדר ימני  מורחב עם תפקוד מופחת במידה קלה,  דלף אורטלי מיטרלי וטריקוספידלי מינימלי, לחץ דם ריאתי מוגבר במידה קלה, עליות  מורחבות במידה קלה, הודגם נוזל פלאורלי מימין,</t>
  </si>
  <si>
    <t>רוחב חדר שמאלי בגבול עליון של הנורמה ברוחבו, הפרטרופי, תפקודו הגלובלי מופחת במידה קלה. הודגמה אקינזיה אנפרובזלית. סימנים בעקומת המילוי ללחצי מילוי מוגברים. חדר ימין ברוחב ותפקוד תקין. פרוזדור שמאלי מורחב במידה בינונית והימני במידה קלה.   הודגם דלף מיטרלי  עד בינוני, דלף טריקוספידלי קל, לחץ ריאתי מוגבר במידה בינונית.   הנבדק מחובר לחמצן.</t>
  </si>
  <si>
    <t>חדר שמאלי מורחב, התכווצותו הגלובלית מופחתת במידה קשה, היפוקינזיה דיפוזית, אקינזיה אפיקלית, לא הודגם טרומבוס אפיקלי, חדר ימני בגודל והתכווצות תקינה, אי ספיקה מיטרלית מינימלית, אי ספיקה טריקוספידלית מינימלית, לא ניתן להעריך לחץ דם ריאתי ללא עקומת TR , הגדלה קלה של העליה השמאלית.</t>
  </si>
  <si>
    <t xml:space="preserve">איכות הדמיה מוגבלת   חדר שמאל בגודל תקין ,תפקודו הסיסטולי הגלובלי תקין ללא הפרעה אזורית , לא ניתן לקבוע תפקוד דיאסטולי,עליות בגודל תקין   חדר ימין בגודל ותפקוד תקינים ,לא ניתן להעריך ל"ד ריאתי בהעדר סיגנל TR   מבנה ותפקוד המסתמים תקין . ללא עדות לוגטציות בטכניקה זו (עם איכות הדמיה סבירה של המסתמים) </t>
  </si>
  <si>
    <t>החדר השמאלי ברוחב תקין ועובי דופנותיו תקין והתכווצותו תקינה.   החדר הימני בגודל תקין והתכווצותו תקינה.  הפרוזדורים בגודל תקין.  פתיחת המסתמים תקינה. אי ספיקה טריקוספידלית מזערית.  הלחץ הריאתי מוגבר במידה בינונית.   לא הודגם נוזל פריקרדיאלי.</t>
  </si>
  <si>
    <t xml:space="preserve">C/W LV diastolic dysfunction: Restricitive filling pattern .   </t>
  </si>
  <si>
    <t>חדר שמאלי מעט מעובה, בגודל והתכווצות גלובלית ואיזורית תקינה, תבנית המילוי מתאימה להפרעה ברלקסציה, אי ספיקה מיטרלית ואורטלית קלה, אין עדות ליתר לחץ דם ריאתי, ללא הגדלה של העליה השמאלית. ללא תפליט פריקרדיאלי.</t>
  </si>
  <si>
    <t xml:space="preserve">חדר שמאל מורחב במידה קלה, היפרטרופי, תפקודו הגלובלי שמור. הפרעה דיאסטולית דרגה 2. חדר ימין בגודל ובתפקוד תקין. מסתם אאורטלי תקין. דלף מיטרלי קל וטריקוספידלי מיזערי. לא נימדד יתר לחץ דם ריאתי. תפליט פריקרדיאלי מיזערי.   </t>
  </si>
  <si>
    <t>חדר שמאל בגודל תקין, ספטום מעובה, התכווצותו הגלובלית והאזורית תקינה, חדר ימין תקין, עליה שמאלית מורחבת במידה קלה, אי ספיקה מיטרלית קלה, אי ספיקה טריקוספידלית קלה, לחץ דם ריאתי מוגבר במידה בינונית, יכול להתאים ללחצי מילוי גבוהים של חדר שמאל, הודגם תפליט פריקרידיאלי בכמות בינונית עד גדולה עם שינויים נשימתיים בעקומת הזרימות המיטרלית IVC מורחבת עם קולפס חלקי, ללא לחץ על חדר ימין.</t>
  </si>
  <si>
    <t>חדר שמאלי בגודל תקין, היפרטרופי, התכווצותו הגלובלית ואיזורית תקינה, חדר ימני בגודל והתכווצות תקינה, טבעת המסתם המיטרלי מסויידת, אי ספיקה מיטרלית קלה, אי ספיקה טריקוספידלית קלה,  לחץ דם ריאתי מוגבר במידה בינונית, הגדלה קלה של העליה השמאלית.</t>
  </si>
  <si>
    <t>Normal mitral valve structure and function.</t>
  </si>
  <si>
    <t>חדר שמאלי בגודל והתכווצות גלובלית ואיזורית תקינה, תבנית מילוי מתאימה להפרעה ברלקסציה, חדר ימני בגודל והתכווצות תקינה, אי ספיקה אורטלית מינימלית, אי ספיקה מיטרלית מינימלית, אי ספיקה טריקוספידלית מינימלית, לחץ דם ריאתי תקין, הגדלה קלה של העליה השמאלית.</t>
  </si>
  <si>
    <t>חדר שמאל בגודל תקין, דפנותיו מעובים קל לבינוני. תפקוד ססטלי גלובלי ואיזורי תקין. עקומת מילויי רסטרקטיבית של חדר שמאל. שתי העליות מוגדלות. עיבויי של מחיצה בין עלייתית.  חדר ימין בגודל תקין עם עיבויי של דופן חופשית, התכווצותו  תקינה.  הסתיידות  בינונית של טבעת מסתם מטראלי. עלי מסתם מטראלי סקלרוטים, דרכם אי ספיקה בינונית. עלי מסתם אאורטלי סקלרוטים קל, דרכם אי ספיקה טריויאלית. דלף טריקוספיד בינוני. לחץ ריאתי מוערך מוגבר בחומרה קשה. הודגם תפליט פריקרדיאלי בכמות קטנה לבינונית עם  ממצא שמתאים לשכבת פיברין בחלל הפריקרד. הודגם נוזל פלאורלי.</t>
  </si>
  <si>
    <t>C/W LV diastolic dysfunction: impaired relaxation pattern .</t>
  </si>
  <si>
    <t>Minimal aortic stenosis</t>
  </si>
  <si>
    <t>בדיקה קשה מבחינה טכנית  חלל חדר שמאל בגודל תקין, היפרטרופי, התכוצותו הגלובלית תקינה. לא נצפו הפרעות משמעותיות בהתכווצות האזורית. חדר ימין תקין. עקומת המילוי מתאימה להפרעה ברלקסציה. מסתם אורטלית מסויד עם הצרות קלה מאד. אנולוס מיטרלי מעט מסויד,אי ספיקה מיטרלית מינימלית. אי ספיקה טריקוספידלית מינימלית. לחץ דם ריאתי תקין. עליה שמאלית מורחבת במידה קלה.</t>
  </si>
  <si>
    <t>חדר שמאל ברוחב תקין, היפרטרופי, ההתכווצות  הגלובלית תקינה, יש  להיפוקינזיה אינפרובזלית באזור קטן. הזרימה הדיאסטולית על המסתם המיטלי מתאימה להפרעה דיאסטולית. חדר ימין בגודל ובתפקוד תקין. עליה שמאלית מורחבת במידה בינונית. המסתם האאורטלי מסוייד בלי היצרות . האנולוס המיטרלי מסוייד, דליפה טריקוספידלית קלה, עדות ליתר לחץ דם ריאתי בחומרה בינונית.</t>
  </si>
  <si>
    <t xml:space="preserve">חדר שמאל בגודל תקין , תפקודו הסיסטולי הגלובלי מופחת במידה קשה עם אקינזיה אחורית , לטראלית , תחתונה ואפיקלית (ראה תרשים) ,לא ניתן לקבוע תפקוד דיאסטולי, עליה שמאל מורחבת במידה קלה.   חדר ימין בגודל ותפקוד תקינים, לא ניתן להעריך ל"ד ריאתי בהעדר סיגנל TR מספק.   מבנה ותפקוד המסתמים תקין. </t>
  </si>
  <si>
    <t xml:space="preserve">הדמיה קשה טכנית, מטופל לא משתף פעולה.  חדר שמאלי בגודל תקין, דפנותיו מעובים במידה קלה, התכווצות גלובלית ואיזורית תקינה, תפקוד דיאסטולי תקין, חדר ימני בגודל והתכווצות תקינה, אי ספיקה מיטרלית וטריקוספידלית מינימלית, אין עדות ליתר לחץ דם ריאתי, הגדלה קלה של העליה השמאלית. לא הודגמו וגטציות בבדיקה הנוכחית. </t>
  </si>
  <si>
    <t xml:space="preserve">חדר שמאלי בגודל תקין, דפנותיו מעובות. התכווצותו הגלובלית והאיזורית תקינה, חדר ימני מורחב במידה בינונית , התכווצות ירודה במידה קשה, אי ספיקה אאורטלית מינימלית, אי ספיקה מיטרלית קלה, אי ספיקה טריקוספידלית בינונית,   לחץ דם ריאתי מוגבר במידה קשה, הגדלה של העליות.  נוזל פריקרדיאלי בכמות בינונית-קשה , לא הודגם תמט של החדרים הימנים, תפליט פלאורלי דוצ </t>
  </si>
  <si>
    <t>חדר שמאלי בגודל תקין, הספטום מעובה במידה קלה. התכווצות גלובלית תקינה, לא הפרעה איזורית שמודגמת חד משמעית.   מסתם האאורטלי מעט מעובה, פתיחה תקינה. אי ספיקה מיטרלית קלה. אי ספיקה טריקוספידאלית קלה. לחץ ריאתי מוגבר במידה קלה.   הגדלה קלה של העליה השמאלית.</t>
  </si>
  <si>
    <t>הבדיקה בוצעה בשכיבה על הגב, הנבדקת מחוברת לחמצן, לא רגועה.  חדר שמאלי ברוחב תקין,  ספטום מעט מעובה, תפקודו הגלובלי  של חדר שמאלי שמור ללא הפרעה אזורית, חדר ימין ברוחב ותפקוד תקין. פרוזדור שמאלי מעט מורחב. הודגם דלף מיטרלי מינימלי.  הודגם תפליט פריקרדיאלי קטן עד בינוני, הודגמו שינויים רספירטורים.  הודגם תפליט פלאורלי דו צדדי.</t>
  </si>
  <si>
    <t>בדיקה באיכות טכנית ירודה. חדר שמאל בגודל תקין התכוצותו הגלובלית תקינה. חדר ימין בגודל ותפקוד תקין. עליה שמאלית תקינה.הסתיידות טבעת מסתם מיטרלי.תבנית מילוי עם הפרעה ברלקסציה.</t>
  </si>
  <si>
    <t xml:space="preserve">חדר שמאל בגודל תקין. עיבויי קל של דפנותיו. תפקוד ססטולי גלובלי בתחום נמוך של המורמה. היפוקינזיה קלה של דופן צדדית ואחורית.  עליה שמאל מוגדלת קל. חללים ימניים בגודל ותפקוד תקין. עלי מסתם מטראלי סקלרוטים קלות, פתיחתם טובה, דרכם אי ספיקה עם סילון אקסצנטרי בעל נטיה אחרוית-צדדית בחומרה בינונית לפחות. תיתכן תת הערכה של חומרת אי הספיקה עקב אקסצנטריות הסילון. לציין בדיקה בנוכחות לחץ דם ססטולי 204 ממ"כ. מסתם אאורטלי תקין במבנהו ובתפקודו. זרימות דופלר תקינות דרך מסתם ראתי. אי ספיקה טריקספידלית מינימלית. לא ניתן להעריך לחץ ריאתי עקב סגנל דופלר קלוש דרכו. הודגם תפליט פריקרדיאלי בכמות קטנה סביב הלב. אין  תמט דיאסטולי של חללים ימניים. וריד נבוב תחתון לא מורחב ומדגים תמט נשימתי - ממצא תקין. אאורטה העולה לא מורחבת. הודגמו תפליטים פליאורלים משמעותיים דו"צ. </t>
  </si>
  <si>
    <t>חדר שמאל בגודל תקין, ספטןום מעט מעובה, התכווצות גלובלית תקינה, עליה שמאלית מורחבת במידה קלה, חללי הלב ימניים תקינים, מסתם אאורטלי תותב ביולוגי עם מפל לחצים צסביר על פניו, טבעת מסתם מיטרלי מעט מסוידת, אי ספיקה מיטרלית מינימלית, אי ספיקה טריקוספידלית קלה, לחץ דם ריאתי בגבול העליון של הנורמה. הפרעה ברלקסציה.</t>
  </si>
  <si>
    <t>בנוכחות פרפור עליות . חדר שמאלי תקין בגודלו והתכווצותו גלובלית   תקינה, דפנותיו מעובים במידה קלה . חדר ימני מורחב במידה קלה והתכווצותו ירודה במידה בינונית, אי ספיקה מיטרלית קלה עד בינונית ואס"ק טריקוספידלית בינונית עד קשה. לחץ דם ריאתי מוגבר במידה קשה , עליות מורחבות, מיימת בטנית. תפליט פלאורלי מימין. חשד לASD. יש מקום להמשך בירור על ידי TEE.</t>
  </si>
  <si>
    <t>חדר שמאלי ברוחב תקין, הפרטרופי, תפקודו הגלובלי והאזורי תקין. חדר ימין ברוחב ותפקוד תקין.   פרוזדורים מורחבים.  אנולוס מיטרלי מסויד, דלף מיטרלי קל עד בינוני.  הודגם דלף טריקוספידלי בינוני, לחץ ריאתי מוגבר במידה קשה. יכול להתאים ללחצי מילוי גבוהים של חדר שמאל.  הודגם תפליט פריקרדיאלי מינימלי.  הודגם תפליט פלאורלי מימין.</t>
  </si>
  <si>
    <t>Normal left ventricle structure and function.  C/W LV diastolic dysfunction: Pseudo-normal filling pattern .</t>
  </si>
  <si>
    <t>חדר שמאל בגודל תקין, התכווצותו גלובלית ואיזורית תקינה, תבנית המילוי פסאודונורמלית,  טבעת של מסתם המיטרלי מסויידת, א ספיקה מיטרלית קלה, מסתם אאורטלי מעובה, אי ספיקה טריקוספידלית בינונית, עליה שמאלית מורחבת במידה קלה, חדר ימין מורחב במידה קלה תפקודו שמור, IVC רחב, ללא תמט נשימתי,  לחץ דם ריאתו מוגבר במידה בינונית.</t>
  </si>
  <si>
    <t xml:space="preserve">בדיקה קשה טכנית , הדמיה ממנחים אפיקלים תת אופטימלית, חדר שמאל מורחב במידה קלה, תפקודו הגלובלי מופחת במידה קלה-בינונית, אקיניזה אינפריורית אחורית עם היפוקיניזה לטרלית, חשד להיפוקיניזה ספטואפיקלית, תבנית המילוי מתאימה להפרעה בהרפיה, חדר ימין בגודל ותפקוד תקין, מסתם אאורטלי מסוייד , אי ספיקה אאורטלית מינימלית, אי ספיקה מיטרלית מינימלית, אי ספיקה טריקוספידלית מינימלית. </t>
  </si>
  <si>
    <t>חדר שמאל בגודל תקין, היפרטרופיה של הספטום הבזלי, ההתכווצותו הגלובלית תקינה, היפוקינזיה תחתונה בזלית. חדר ימין תקין. עליה שמאלית מורחבת במידה קלה, טבעת המסתם המיטרלי מסויידת, הסתיידות לה קידמי, עלים מעובים, דליפה מיטרלית מרכזית בעיקה עד בינונית, מסתם אורטלי מעובה, אי ספיקה אורטלית קלה עד בינונית, אי ספיקה טריקוספידלית קלה, אין עדות ליתר לחץ דם ריאתי.</t>
  </si>
  <si>
    <t xml:space="preserve">חדר שמאלי תקין בגודלו, דופנותיו מעובים במידה קלה, תפקוד גלובלי ואזורי ירוד במידה בינונית, באופן דיפוזי. בולטת אקינזיה תחתונה אחורית. חדר ימני תקין בגודלו מעט מורחב עם ירידה קשה בתיפקוד, כמו כן השטחה סיסטולית של ספטום בינחדרי כביטוי למעמסת לחץ על חדר ימין.   מסתם האאורטלי מסויד,ללא היצרות.  אי ספיקה מיטרלית בינונית לקשה.  אי ספיקה טרקיוספדיאלית במידה ניכרת, קרוב לוודאי FREE TR.   עליה שמאלית מורחבת במידה קלה. </t>
  </si>
  <si>
    <t xml:space="preserve">חדר שמאלי מורחב ומעובה עם התכווצות גלובלית מופחתת במידה קשה, ירידה דיפוזית גלובלית, תבנית המילוי רסטריקטיבית, חדר ימני מורחב ומעובה עם התכווצות מופחתת מאוד, עליות מורחבות, IVC מורחבת ללא וריאציה נשימתית, אי ספיקה מיטרלית קשה וטריקוספידלית בינונית קשה עם יתר לחץ דם ריאתי בחומרה בינונית, מתאים למעורבות קרדיאלית קשה של עמילואיד. </t>
  </si>
  <si>
    <t xml:space="preserve">Mild-moderate aortic stenosis   </t>
  </si>
  <si>
    <t>חולה פארפליג, מועמד לדיאליזה,   חדר שמאל בגודל תקין התכווצותו תקינה (מעט ערה)  ספטום מעט מעובה, ללא הפרעה איזורית. תבנית המלוי פסאודונורמלית (הפרעה דיאסטולית דרגה II) . עליה שמאל מורחבת במידה קלה.    חדר ימין תקין בגודלו ותיפקודו עם ל"ד ריאתי מוגבר במידה קשה.    עלי מסתם אורטלי מסויידים עם  דלף מינימלי והצרות קלה. , טבעת מסתם מיטרלי מסויידת,עם דלף  מיטרלי קלה ,דלף טריקוספידלי בינוני.</t>
  </si>
  <si>
    <t>Severe mitral annular calcification.</t>
  </si>
  <si>
    <t xml:space="preserve">אקו מכוון בשאלה של תיפקוד חדר שמאל - תיקפוד שמור, מסתם אורטלי מסוייד, לא בוצעה הערכה של AS. </t>
  </si>
  <si>
    <t>C/W LV diastolic dysfunction: Pseudo-normal filling pattern .</t>
  </si>
  <si>
    <t xml:space="preserve">חדר שמאל בגודל תקין, היפרטרופיה בינונית,תפקודו הגלובלי ירוד במידה קלה , אקינזיה אינפריורית, היפוקינזיה אחורית. תבנית המילוי פסאודונורמאלית, חדר ימין בגודל ותפקוד תקין. עליה שמאלית מורחבת במידה קלה. התרחבות של הסינוסיים והאורטה העולה.  מסתם אאורטלי מסוייד,היצרות בחומרה קשה, דלף אורטלי עד בינוני.  טבעת המסתם המיטרלי מסויידת ,היצרות קלה, דלף  קל-בינוני.  דלף טריקוספידלי  קל. לחץ דם ריאתי מוגבר במידה בינונית.        </t>
  </si>
  <si>
    <t>חדר שמאלי בגודל תקין, תפקוד ססטולי גלובלי מופחת בחומרה בינונית. עם היפוקינזיה כללית. היפוקינזיה משמעותית יותר ל מחיצה בין חדרית.  לציין  בפעימה שאחרי PMC שיפור  בתפקוד ססטולי משמעותי  עד לתקין גלובלית עדיין עם היפוקינזיה מחיצתית אולם התכווצות טובה של שאר דפנות. חדר ימין תקין בגודלו ותפקודו. עלי מסתם מטראלי סקלרוטים קל, רושם לאפקט tethering  עם אי ספיקה קלה לבינונית של מסתם  מטראלי. עלי מסתם אאורטלי מעובים קל ומסויידים, פתיחתם טובה , דרכם אי ספיקה מינימלית.  אי ספיקה טריקוספדלית קלה עד בינונית,   לחץ  ריאתי מוערך  מוגבר בחומרה  קשה.  הגדלה של העליה השמאלית.</t>
  </si>
  <si>
    <t>חדר שמאל בגודל תקין, היפרטרופי, תפקודו הגלובלי והאיזורי תקין. תבנית המילוי פסאודונורמאלית, חדר ימין בגודל ותפקוד תקין,  עליה שמאלית מורחבת במידה קלה. אי ספיקה מיטרלית קלה. אי ספיקה טריקוספידלית קלה, . לחץ דם ריאתי מוגבר במידה בינונית</t>
  </si>
  <si>
    <t>Normally functioning prosthetic artificial valve in mitral position.</t>
  </si>
  <si>
    <t xml:space="preserve">בדיקה בישיבה, חדר שמאלי בגודל והתכווצות גלובלית ואיזורית תקינה, חדר ימני מורחב עם ירידה קלה בתיפקוד, ישנה השטחה סיסטולית ודיאסטולית של ספטום בינחדרי כביטוי למעמסת לחץ ונפח על חדר ימין, הסתיידות קלה של מסתם אורטלי עם דלף קל, מסתם מיטרלי תותב מכני חד עלי מתפקד היטב, דלף טריקספידלי קשה משני לסגירה בלתי שלמה של עלי המסתם FREE TR ועל כן תיתכן תת הערכה של לחץ דם ריאתי, עדות ליתר לחץ דם ריאתי בינוני, הגדלה בינונית של העליה השמאלית והימנית. IVC רחב עם ירידה בשינויים הנשימתיים וזרימה הפוכה בורידי הכבד. </t>
  </si>
  <si>
    <t>חדר שמאלי בגודל תקין , היפרטרופיה של הספטום הבזלי, התכווצות גלובלית ירודה במידה קלה עד בינונית ובצורה דיפוזית. , מסתם אאורטלי  מעט מסוייד, אי ספיקה אאורטלית מינימלית , אנולוס מיטרלי מסוייד, אי ספיקה מיטרלית קלה עד בינונית , אס"ק טריקוספידלית  קלה עד בינונית לחץ דם ריאתי מוגבר במידה בינונית,  העליה השמאליתמעט מורחבת., חדר ימן תקין.</t>
  </si>
  <si>
    <t xml:space="preserve">חדר שמאל מורחב, דפנותיו מעט מעובות, קיימת פגיעה נרחבת וקשה בהתכווצות הדפנות עם תפקוד סיסטולי גלובלי ירוד במידה קשה. לא ניתן להעריך תפקוד דיאסטולי. חדר ימין בגודל ותפקוד תקינים. עליות מעט מורחבות. עלי מסתם אאורטלי מסויידים, ללא הפרעה בתפקוד המסתם. אי ספיקה מיטרלית קלה. אי ספיקה טריקוספידלית בינונית. נימדד יתר לחץ דם ריאתי מוגבר במידה קשה. מודגמת אלקטרודה בחללים ימניים.  </t>
  </si>
  <si>
    <t xml:space="preserve"> חדר שמאלי בגודל תקין תפקודו הגלובלי הסיסטולי  תקין עם היפוקנזיה אינפרובזלית וספטובזלית , תבניתץ מילוי דיאסטולי לא ניתנת להערכה מדוייקת על פי קריטריונים חדשים של ASE.    חדר ימין בגודל ותפקוד תקינים   עליה שמאלית מורחבת במידה קלה    מסתם אאורטלי עם דלף מנימלי   מסתם מיטרלי עם דלף קל    דלף טריקוספידלי קל    לחץ דם ראתי ססיטולי מוערך כמוגבר במידה קלה   וריד נבוב תחתון מורחב ואינו עובר תמט נשימתי באינספיריום   מודגם תפליט פריקרדיאלי קטן ללא אפקט הימודינמי   אאורטה עולה וסינוסים אאורטליים ברוחב תקין </t>
  </si>
  <si>
    <t>חדר שמאל בגודל תקין התכוצותו הגלובלית תקינה.חדר ימין בגודל ותפקוד תקין. עליה שמאלית תקינה. מסתם אורטלי מעט מסויד.אי ספיקה טריקוספדלית מנימלית. לחץ דם ריאתי תקין. תפקוד דיאסטולי תקין.</t>
  </si>
  <si>
    <t>חדר שמאל בגודל תקין, היפרטרופי, התכוצותו הגלובלית תקינה, היפוקינזיה אינפריורית. תבנית המילוי פסאודונורמאלית, חדר ימין בגודל ותפקוד תקין, עליה שמאלית מעט מורחבת. מסתם אורטלי מסוייד. טבעת המסתם המיטרלי מסויידת , אי ספיקה מיטרלית מינימלית. אי ספיקה טריקוספידלית קלה עד בינונית. לחץ דם ריאתי מוגבר במידה קלה.</t>
  </si>
  <si>
    <t>חדר שמאל בגודל תקין, התכווצות גלובלית ירודה במידה בינונית, אקינזיה פוסטריורית,לטרלית, אינפרו-בזלית וספטו-בזלית, הפוקינזיה אנטריורית, תבנית מילוי רסטריקטיבית, עליות בגודל תקין, חדר ימני בגודל תקין, טבעת מסתם מיטרלי מסוידת, אי ספיקה מיטרלית קשה, מסתם אאורטלי מעובה, אי ספיקה אאורטלית וטריקוספידלית קלה, לחץ דם ריאתי מוגבר במידה קשה.</t>
  </si>
  <si>
    <t xml:space="preserve">חדר שמאל בגודל ותפקוד תקינים עם עבוי של דפנותיו. תבנית המלוי פסאודונורמלית עם הרחבה קלה של עליה שמאל.   חדר ימין תקין בגודלו ותיפקודו, ללא עדות ליל"ד ריאתי (לציין סיגנל TR לא אופטימלי תתכן תת הערכה).   מסתם אאורטלי ומיטראלי מסויידים עם אי ספיקה אאורטלית ומיטראלית מינימלית.   אי ספיקה טריקוספידלית מינימלית.   לציין רושם למחלה טרשתית בקשת האאורטה </t>
  </si>
  <si>
    <t xml:space="preserve">איכות הדמיה מוגבלת   חדר שמאל בגודל תקין ,תפקודו הסיסטולי הגלובלי תקין ללא הפרעה אזורית ברורה, לא ניתן לקבוע תפקוד דיאסטולי, עליה שמאל מורחבת במידה קלה   חדר ימין בגודל ותפקוד תקינים ,לא ניתן להעריך ל"ד ריאתי בהעדר סיגנל TR   מסתם אאורטלי מסוייד ללא דלף או הצרות, אנולוס מיטראלי מסוייד ללא הצרות, מודגם דלף מיטראלי וטריקוספידלי מינימלי </t>
  </si>
  <si>
    <t xml:space="preserve">חדר שמאל מורחב במידה קלה, היפרטרופיה ספטלית, תפקודו הגלובלי תקין, קשה להתרשם מתבנית המילוי, חדר ימין בגודל ותפקוד תקין , הרחבה של עליה שמאלית, אי ספיקה מיטרלית קלה, אי ספיקה טריקוספידלית קלה-בינונית, לחץ דם ראתי מוגבר במידה בינונית, אלקטרודת קוצב בחדר ימין, IVC מורחב עם שינוי נשימתי חלקי, הודגמה מיימת. </t>
  </si>
  <si>
    <t xml:space="preserve">Apical Hypertrophy   Hypertrophy of basal interventricular septum   </t>
  </si>
  <si>
    <t xml:space="preserve">systolic anterior motion (SAM) of anterior leaflet.   </t>
  </si>
  <si>
    <t xml:space="preserve">חדר שמאל עם חלל בגודל תקין , ספטום בזאלי מעובה. הודגמה היפרטרופיה אפיקלית עם אובליטרציה של חלל האפקס, תפקודו הגלובלי של חדר שמאל תקין (אף מעט ער) ללא הפרעה איזורית ברורה, תבנית המלוי מתאימה להפרעה ברלקסציה, עליות בגודל תקין.   חדר ימין בגודל ותפקוד תקינים לא ניתן להעריך ל"ד ריאתי בהעדר סיגנל TR.   מסתם אאורטלי במבנה ותפקוד תקינים, מסתם מיטראלי עם SAM אולם לא מודגמת חסימה דינמית ברורה במוצא חדר שמאל. מודגם דלף מיטראלי עם סילון מאוד אקצנטרי אחורי כנראה בחומרה עד בינונית אך לא ניתן לכימות בטכניקה זו. המנגנון יתכן משני לSAM מומלץ לשקול TEE להדגמה טובה יותר והערכת מנגנון . דלף טריקוספידלי מינימלי.     סכום- תמונה מתאימה לAPICAL HYPERTROPHY ובנוסף יש רושם לSAM ודלף מיטראלי אקצנטרי. לשקול המשך ברור ע"י MRI ,TEE ואקו במאמץ להערכה של משמעות המודינמית של הSAM. </t>
  </si>
  <si>
    <t xml:space="preserve">חדר שמאל בגודל תקין, התכווצות גלובלית ואיזורית תקינה, תבנית המילוי מדגימה הפרעה ברלקסציה. חדר ימין בגודל והתכווצות תקינה. אי ספיקה מיטרלית קלה, אי ספיקה טריקוספדלית מינימלית, לא ניתן להעריך לחץ דם ריאתי בהעדר סיגנל TR טוב, ללא הגדלה של העליה השמאלית. הודגם נוזל פלאורלי. לא הודגם נוזל פריקרדיאלי. </t>
  </si>
  <si>
    <t>חדר שמאלי בגודל תקין, ספטום מעובה במידה קלה, התכווצות גלובלית ואיזורית תקינה, תבנית המילוי מעידה על הפרעה ברלקסציה, חדר ימני בגודל והתכווצות תקינה, אי ספיקה אורטלית קלה עד בינונית, אי ספיקה מיטרלית וטריקוספידלית מינימלית, לא ניתן להעריך לחץ דם ריאתי ללא עקומת TR, הגדלה קלה של העליה השמאלית.  הודגם מיימת. נוזל פלוירלי משמאל.  IVC לא הודגם בבירור.  GLS -16.4%</t>
  </si>
  <si>
    <t xml:space="preserve">חדר שמאלי בגודל והתכווצות גלובלית ואיזורית תקינה, תבנית המילוי תקינה,  חדר ימני בגודל והתכווצות תקינה, מסתם אורטלי מסוייד מעט, אי ספיקה אורטלית קלה, אי ספיקה מיטרלית קלה, אי ספיקה טריקוספדלית מינימלית שלא מאפשרת להעריך לחץ דם ריאתי, עליה שמאלית בגודל תקין. </t>
  </si>
  <si>
    <t>Mild aortic stenosis</t>
  </si>
  <si>
    <t xml:space="preserve">חדר שמאל מורחב, דפנותיו מעט מעובות, קיימת פגיעה נרחבת וקשה בהתכווצות הדפנות עם תפקוד סיסטולי גלובלי ירוד במידה קשה. קיים strain גלובלי ירוד מאוד של 4%-. לא ניתן להעריך תפקוד דיאסטולי. חדר ימין בגודל ותפקוד תקינים. עליה שמאל מורחבת. עלי מסתם אאורטלי מסויידים, דרך המסתם אי ספיקה קלה והצרות קלה. אי ספיקה מיטרלית וטריקוספידלית מיזערית. לא הודגמה עקומת TR להערכת לחץ דם ראתי. אאןרטה עולה ושורש מורחבים.   </t>
  </si>
  <si>
    <t xml:space="preserve">חדר שמאל בגודל תקין, התכווצותו הגלובלית שמורה, ללא הבדל ניכר בין סגמנטים שונים. עליה שמאלית מורחבת במידה בינונית, חללים ימניים תקינים.  מסתם אאורטלי מעט מסוייד, אי ספיקה אאורטלית מזערית, אי ספיקה מיטרלית מינימלית,  אי ספיקה טריקספידלית מינימלית. עקב סגנל דופלר קרלוש לא ניתן להעריחך לחץ ריאתי.   תפליט פריקרדיאלי מזערי ביותר.   לא הודגם מקור לבבי לתסחיף בשיטת הדמיה נוכחית, באם יש חשד לתסחיף ממקור לבבי יש לשקול ביצוע TEE או CT לב בשאלה של טרומבוס באזנית, או ממצאים אחרים בעלי פוטנציאל לתסחיף.  לציין  עליה שמאל מורחבת בינונית ולאור זאת מציע לשקול אפשרות של פרפרור פרוזדורים התקפי. </t>
  </si>
  <si>
    <t>חדר שמאל מורחב במידה קלה. התכווצותו הגלובלית ירודה במידה בינונית. ניצפתה היפוקינזיה גלובלית עם אקינזיה  אחורית ותחתונה וכן ספטלית. היפרטרופיה משמעותית של ספטום ואפקס.  חדר ימין תקין. עליה שמאלית מורחבת במידה קלה. מסתם אורטלי תקין. אי ספיקה מיטרלית בינונית, וטריקוספידלית קלה. ללא עדות ליל"ד ריאתי מוגבר.</t>
  </si>
  <si>
    <t>חדר שמאלי מעובה, בגודל תקין, והתכווצות גלובלית שמורה, ללא הפרעה איזורית ברורה, תבנית המילוי תקינה, חדר ימני בגודל תקין והיפוקיטי במידה קלה, מסתם אורטלי מסויד עם מפל מינמלי, אי ספיקה מיטרלית וטריקוספידלית קלה,  עדות ליתר לחץ דם ריאתי קל, הגדלה בינונית של העליה השמאלית.</t>
  </si>
  <si>
    <t xml:space="preserve">בדיקה בוצעה במחלקה, חדר שמאל בגודל תקין, היפרטרופי, התכווצותו הגלובלית שמורה,  לא הודגם מפל מוגבר מיד וונטריקולרי או מפל מוגבר במוצא חדר שמאל, חדר ימין תקין, עליה שמאלית מורחבת במידה בינונית, מסתם אאורטלי מסוייד, טבעת המסתם המיטרלי מסויידת, אי ספיקה מיטרלית קלה, אי ספיקה טריקוספידלית קלה,   </t>
  </si>
  <si>
    <t>בדיקה קשה מאד טכנית, חלקית.  עד כמה שאפשר להדגים:  חדר שמאל בגודל תקין, התכווצות גלובלית תקינה, עליה שמאלית מורחבת במידה קלה, חללי הלב ימניים תקינים, אי ספיקה מיטרלית וטריקוספידלית מינימלית, לא ניתן לימדוד לחץ דם ריאתי.</t>
  </si>
  <si>
    <t>חדר שמאל בגבול הנורמה עם תפקוד שמור, הפטרופיה קונצנטרית של החדר והפרעה ברלקסציה, הפוקינזיה פוסטריורית/תחתונה וצדדית. חדר ימין בגודל ותפקוד תקין. פרוזדורים מורחבים.   מסתם אאורטלי עם עלים מעובים ומעט מסוידים, מפל לחצים מינימלי. טבעת מסתם מיטרלי מסוידת עם פתיחה תקינה ואי ספיקה קלה.  אי ספיקה טריקוספידלית מינימלית. לחץ ריאתי תקין. ככל שניתן לראות אין עדות לוגטציות ע"פ פני המסתמים. שורש ואאורטה עולה מורחבת.</t>
  </si>
  <si>
    <t xml:space="preserve">חדר שמאל מורחב במידה קלה, תפקודו הגלובלי מופחת  במידה קלה, הפרעה אפיקלית, תבנית המילוי פסאודונורמאלית, חדר ימין בגודל ותפקוד תקין. עליה שמאלית מורחבת במידה קלה. אי ספיקה אורטלית מינימלית. אי ספיקה מיטרלית קלה עד בינונית. אי ספיקה טריקוספידלית קלה עד בינונית. לחץ דם ריאתי מוגבר בחומרה קשה. </t>
  </si>
  <si>
    <t>חדר שמאלי בגודל והתכווצות גלובלית ואיזורית תקינה, הספטום הבזליע מעט מעובה הפרעה ברלקסציה., מסתם אורטלי מעט מעובה עם דלף מיזערי. טבעת מיטרלית מסויידת, אס"ק מיטרלךי קלה. אס"ק טריקוספידלית מינימלית. ,  עדות ליתר לחץ דם ריאתי קל,   הגדלה של העליה השמאלית. חדר ימין תקין.</t>
  </si>
  <si>
    <t xml:space="preserve">חדר שמאלי מורחב, הספטום מעובה במידה קלה, תפקוד גלובלי ואזורי מופחת במידה קשה, בולט יותר קיר אחורי ספטלי תחתון,   חדר עם תיפקוד שמור, מסתם האאורטלי מסויד, פתיחה תקינה. אי ספיקה מיטרלית קלה. אי ספיקה טריקוספידלית בינונית עד קשה גט אנכי לספטום מאוד קשה להדמיה,  לחץ ריאתי מוגבר במידה קלה לבינונית . עליה שמאלית מורחבת במידה קשה, נוזל פלאורלי ימני. תפליט פריטוניאלי. עדות לאלקוטרודה של קוצב בחללי הלב הימניים. </t>
  </si>
  <si>
    <t xml:space="preserve">חדר שמאלי בגודל והתכווצות גלובלית ואיזורית תקינה, עיבוי קל של הדפנות, הפרעה ברלקסציה דרגה 2, חדר ימני בגודל תקין והתכווצות תקינה, הסתידות קלה של מסתם אאורטלי וטבעת מסתם מיטרלי, אי ספיקה מינימלית מיטרלית ואאורטלית , אי ספיקה קלה טריקוספידלית. עדות ליתר לחץ דם ריאתי במידה קשה, הרחבה של MPA .פרוזדורים מורחבים במידה בינונית. IVC  מעט מורחב עם תגובה רספירטורית חלקית. </t>
  </si>
  <si>
    <t xml:space="preserve">מטופלת הגיעה לאקו לב במאמץ אולם לאחר שניות בודדות על ההליכון ביקשה להפסיק ולכן לא בוצע אקו לב במאמץ אלא רק אקו לב במנוחה כמפורט לעיל </t>
  </si>
  <si>
    <t xml:space="preserve">חדר שמאל בגודל תקין , תפקודו הגלובלי מופחת במידה קלה-בינונית בצורה דיפוזית, קשה להתרשם מתבנית המילוי, השטחה של הספטום הבין חדרי כביטוי לעומס מימין, חדר ימין מורחב במידה קלה, תפקודו הגלובלי מופחת במידה קשה, הרחבה של עליה שמאלית וימנית, אי ספיקה מיטרלית קלה, אי ספיקה טריקוספידלית בינונית-קשה, לחץ דם ראתי מוגבר במידה קשה, IVC מורחב ללא שינוי נשימתי, תפליט פריקרדיאלי בכמות קטנה, תפליט פלאורלי מימין, הודגמה מיימת. </t>
  </si>
  <si>
    <t>חדר שמאלי מורחב, הפרטרופי, תפקודו הגלובלי מופחת במידה בינונית. הודגמה אקינזיה תחתונה אחורית לטרלית. חדר ימין ברוחב ותפקוד תקין. פרוזדור שמאלי מעט מורחב.  מסתם מיטרלי מעט מעובה, דלף מיטרלי בינוני, מרכזי,  דלף טריקוספידלי מינימלי, נמדד לחץ ריאתי תקין. מסתם אאורטלי מעט מסוייד, דלף אאורטלי קל. הודגם תפליט פריקרדיאלי קטן.</t>
  </si>
  <si>
    <t xml:space="preserve">חדר שמאלי בגודל תקין, תפקודו הגלובלי שמור, חדר ימני בגודל תקין, התכווצות שמורה, מסתם אורטלי  מעט מסוייד, אי ספיקה מיטרלית בינונית, אי ספיקה טריקוספידלית קלה עד בינונית, אין עדות ליתר לחץ דם ריאתי, הגדלה קלה של העליה השמאלית וימנית.  הודגם תפליט פריקרדיאלי בכמות קטנה, הודגם תפליט פלאורלי דוצ </t>
  </si>
  <si>
    <t xml:space="preserve">חדר שמאל בגודל תקין, היפרטרופי, תפקודו הגלובלי מופחתת במידה בינונית, אקינזיה ספטלית, אנטריורית ואפיקלית, תבנית המילוי פסאודונורמאלית,  חדר ימין בגודל תקין, תפקודו שמור. עליה שמאלית מורחבת במידה קלה. טבעת המסתם המיטרלי מסויידת ,דלף קל עד בינוני. אי ספיקה טריקוספידלית דלף קל עד בינוני. לחץ דם ריאתי מוגבר בחומרה קלה  </t>
  </si>
  <si>
    <t xml:space="preserve">מבחן אקו לב במאמץ לא אבחנתי לאסכמיה.  בדופק סבמקסימלי  תפקוד חדר שמאל ללא שינוי משמעותי ללא עדות להפרעה איזורית חדשה. </t>
  </si>
  <si>
    <t xml:space="preserve">חדר שמאלי בגודל תקין, היפרטרופיה של הספטום הבזלי, התכווצותו הגלובלית היפרדינמית ללא הפרעה איזורית . תבנית המילוי מתאימה להפרעה ברלקסציה , עליות בגודל תקין.   חדר ימין בגודל ותפקוד תקינים לא ניתן להעריך ל"ד ריאתי בהעדר סיגנל TR מספק.  מסתם אאורטלי  עם הסתיידות פוקלית ללא הצרות (מפל לחצים על פניו מעט מוגבר משנית לתפקוד היפרדינמי),  מסתם מיטראלי וטריקוספידלי במבנה ותפקוד תקינים עם דלף מינימלי. </t>
  </si>
  <si>
    <t xml:space="preserve">הבדיקה בוצעה כשהנבדקת יושבת. הדמיה מוגבלת טכנית.   חדר שמאל מורחב, תפקודו הגלובלי מופחת במידה קשה עם היפוקיניזה דיפוזית.  חדר ימין בגודל ובתפקוד תקין.  דליפה מיטרלית קלה לבינונית.  דליפה טריקוספידלית קלה, עדות ליתר לחץ דם ריאתי בחומרה קלה לבינונית.  עליה שמאל מורחבת, מתאים ללחצי מילוי גבוהים של חדר שמאל. תפליט פלאורלי. הרחבה של אורטה עולה. </t>
  </si>
  <si>
    <t xml:space="preserve">חדר שמאל בגודל תקין , עבוי קל של הדפנות , תפקודו הגלובלי שמור עם היפוקינזיה ספטאלית קלה (לאחר ניתוח) . תבנית המלוי פסאודונורמלית, עליה שמאל מורחבת במידה קלה.  חדר ימין מורחב תפקודו ירוד במידה קשה, ל"ד ריאתי מוגבר במידה קלה.   מסתם אאורטלי מעט סקלרוטי עם דלף מינימלי, דלף מיטראלי מינימלי, מסתם טריקוספידלי לאחר תקון (טבעת) עם דלף קל ללא הצרות.   הודגם נוזל פלאורלי ומיימת. </t>
  </si>
  <si>
    <t xml:space="preserve">חדר שמאלי בגודל והתכווצות גלובלית ואיזורית תקינה, דפנותיו מעובות.   תבנית המילוי פסאודונורמלית.חדר ימין בגודל ותפקוד תקינים. , מסתם אאורטלי מעט מעובה.מבנה ותפקוד שאר המסתמים תקין, דלף מיטרלי וטריקוספידלי קל. יתר לחץ דם ריאתי מוגבר במידה קשה, הרחבה של פרוזודר שמאלי במידה בינונית, הרחבה קלה של פרוזדור ימני.   IVC- מורחב במידה קלה עם תגובה רספירטורית מופחתת.  אין עדות לנוזל פריקרדיאלי ,עדות לנוזל פלאורלי דו-צדדי. </t>
  </si>
  <si>
    <t>חדר שמאל מורחב במידה קלה, תפקודו הגלובלי מופחת במידה קלה-בינונית עם אקינזיה ספטובזלית ואינפרובזלית,   , היפוקינזיה פוסטריורית.  המחיצה הבין חדרית היפרטרופית.  חדר ימין בגודל ובתפקוד תקין.  דליפה מיטרלית קלה-בינונית.  דליפה אאורטלית קלה.  דליפה טריקוספידלית מינימלית, אין עדות ליתר לחץ דם ריאתי.  עליה שמאלית מורחבת במידה קלה.  האאורטה העולה מורחבת במידה קלה. נוזל פריקרדיאלי בכמות קטנה</t>
  </si>
  <si>
    <t>חדר שמאלי בגודל תקין, היפרטרופיה קלה, התכווצותו הגלובלית ואיזורית תקינה, חדר ימני בגודל והתכווצות תקינה, אי ספיקה מיטרלית מינימלית,אי ספיקה טריקוספידלית מינימלית, אן עדות לחץ דם ריאתי, הגדלה קלה של העליה השמאלית.</t>
  </si>
  <si>
    <t>הדמיה קשה טכנית.  חדר שמאל מורחב במידה קשה, התכוצותו ירודה במידה בינונית-קשה, באופן דיפוזי, היפוקיניזה קשה\אקיניזה אחורית אינפריורית,  חדר ימין מורחב במידה קלה תפקודו שמור, שתי עליות מורחבות. מסתם אאורטלי מעובה, קשה לקבוע האם ביקוספידלי,  היצרות קלה ואס"ק בינונית. אס"ק מיטרלית קלה. יתר ל.ד ראתי קשה. אס"ק טריקספידלית קלה. הרחבה של הIVC , תמט נשימתי מופחת.   ממליץ ביצוע TEE להדגמה טובה יותר של מסתם אאורטלי וחומרת הדליפה</t>
  </si>
  <si>
    <t>חדר שמאל בגודל תקין התכוצותו הגלובלית מופחתת במידה קלה עד  בינונית אקנזיה מיד ספטלית וקידמית היפוקנזיה אפיקלית . חדר ימין בגודל תקין עליה שמאלית מורחבת. תבנית מילוי רסטריקטיבית..מסתם אורטלי מעט מסויד עם אי ספיקה מנימלית . אי ספיקה מיטרלית קלה. לא ניתן להעריך לחץ ריאתי.</t>
  </si>
  <si>
    <t>חדר שמאל מורחב והיפרטרופי התכוצותו הגלובלית תקינה, בספק הפרעה אינפרובזאלית. חדר ימין בגודל ותפקוד תקין. עליה שמאלית מורחבת במידה בינונית. התרחבות קלה של האורטה העולה ושל שורש האאורטה. אי ספיקה מיטרלית קלה. אי ספיקה טריקוספדלית מנימלית לחץ דם ריאתי מוגבר במידה קלה.</t>
  </si>
  <si>
    <t xml:space="preserve">חדר שמאל מעט מורחב, התכווצותו הגלובלית תקינה, הודגמה היפוקינזיה אינפרובזלית( ממצא לא ספציפי), חדר ימין תקין, עליה שמאלית מורחבת במידה בינונית, מסתם אאורטלי מעובה, אי ספיקה מיטרלית קלה, אי ספיקה טריקוספידלית מינימלית, לחץ דם ריאתי מוגבר במידה קלה. </t>
  </si>
  <si>
    <t>עליה שמאלית מורחבת. חדר ימין תקין. חדר שמאל היפרטרופי עם תפקוד גלבולי שמור. אס"ק מיטרלית, אורטרלית וטריקוספידלית מינימלית. יל"ד ריאתי קל. תבנית מילוי פסוידו נורמלית.</t>
  </si>
  <si>
    <t>חדר שמאל מורחב במידה קלה, ההתכווצותו הגלבולית ירודה במידה קשה היפוקינזיה גלובלית ואקינזיה רחבה אינפרופוסטרולטרלית., תבנית מילוי פסאודונורמלית, עליה שמאלית מורחבת במידה קלה, אי ספיקה מיטרלית קשה, אי ספיקה טריקוספידלית מינימלית, הודגם נוזל פריקארדיאלי בכמות קטנה, הודגם נוזל פלאורלי בכמות גדולה..</t>
  </si>
  <si>
    <t>חדר שמארלי בגודל תקין תפקודו הגלובלי הסיסטולי תקין ללא הפרעה אזורית. תבנית מלוי דיאסטולי מתאימה להפרעה דרגה 1 ( הפרעה בהרפיה) על פי יחס של E ל A, בהתאם לקריטריונים של ASE התבנית מילוי מתאימה להפרעה דרגה II ( פסוידונורמלית).   חדר ימין בגודל תקין בגודלו ובתפקודו.   עליה שמאלית מורחבת במידה בינונית.   מסתם אאורטלי מעובה עם דלף מנימלי מפתחו תקין   מסתם מטרלי מעובה סקלרוטי עם דלף מנימלי   דלף טריקוספידלי מנימלי   לחץ דם ראתי סיסטולי לא ניתן הלערכה בהעדר סגנל TR מספק.   וריד נבוב תחתון אינו מורחב ועובר תמט נשימתי הולם באינספיריום   ללא עדות לתפליט פריקרדיאלי.</t>
  </si>
  <si>
    <t xml:space="preserve">חדר שמאלי מורחב במידה בינונית. דפנותיו אינם מעובים,  התכווצות גלובלית מופחתת בחומרה קלה לבינונית עקב היפוקינזיה כללית, ללא הבדל ניכר בין סגמנטים שונים. עליה שמאל מוגדלת בינוני.   חדר ימני בגודל והתכווצות תקינה, עליה ימין מוגדלת קל. מסתמים במבנה תקין, עלי מסתם מטראלי הודגמו במבנה תקין ודרכם דלף מיטרלי בחומרה בינונית. דלף טריקוספידלי מינימלי. עקב סגנל TR קלוש לא ניתן להעריך לחץ ריאתי.  IVC אינו מורחב ומדגים תמט נשימתי תקין, כביטויי ללחץ ורידי מרכזי לא מוגבר. </t>
  </si>
  <si>
    <t>חדר שמאלי מורחב במידה קלה, דפנותיו מעובים, התכווצות גלובלית ירודה במידה בינונית עד קשה, נצפתה אקינזיה אפיקלית בעיקר קידמית ספטלית כולל אפקס אינפריורי, וכן אקנזיה אינפריורית עם היפוקינזיה אחורית אמצעית ולטרלית. עקומת המילוי הפרעה קלה ברלקסציה (דופק יחסית גבוה). חדר ימני בגודל והתכווצות תקינה, אי ספיקה מיטרלית קלה, אי ספיקה טריקוספידלית מינימלית, אין עדות ליתר לחץ דם ריאתי,  הגדלה  קלה של העליה השמאלית וימנית. הגדלה קלה של האאורטה העולה.</t>
  </si>
  <si>
    <t>חדר שמאל מעט מורחב, התכוצותו הגלובלית ירודה במידה בינונית. אקינזיה פוסטריורית, אינפריורית עם מעורבות לטרלית, חדר ימין בגודל ותפקוד תקין,  עליה שמאלית מורחבת, אס"ק מיטרלית קלה-בינונית. יתר ל.ד ראתי בינוני</t>
  </si>
  <si>
    <t>חדר שמאלי  מורחבת במדיה קלה  תפקווד הגלובלי הסיסטולי מופחת במדיה קשה  באופן דיפוזי, תבנית מילוי דיאסטולי מתאימה להפרעה דרגה II( פסוידונורמלית).  חדר ימין מורחב תפקודו מופחת במידה קלה    עליה שמאלית מורחבת במידה קלה    עליה ימין מורחבת   מסתם אאורטלי במבנה תקין דרכו דלף מנימלי בלבד   מסתם מטרלי  עם דלף  קל   מסתם טריקוספידלי עם דלף קל    לחץ דם ראתי סיסטולי מוערך כמוגבר במידה קלה  וריד נבוב תחתון אינו מורחב אך אינו עובר תמט נשימתי הולם באינספיריום   מודגם תפליט פריקרדיאלי בכמות קלה עד בינונית ללא  סימני לחץ על מדורים ימניים   אאורטה עולה ברוחב תקין, שורש אאורטה ברוחב תקין    הודגמו אלקטרודות קוצב בחללי הלב הימניים</t>
  </si>
  <si>
    <t xml:space="preserve">קשה טכנית  מתקשה בנשימה איכות הדמיה נמוכה (בעיקר מחלון אפקילי) האפקס לא מודגם כראוי.   חדר שמאל מורחב במידה קלה  התכווצותו הגלובלית ירודה במידה קשה באופן דיפוזי עם וראיביליות אזורית (דפנות אחורית, אינפורוספטאלית , תחתונה ולטראלית אקינטיות והשאר היפוקינטי) , תבנית המילוי הדיאסטולי רסרקטיבית (הפרעה דיאסטולית דרגה III/IV) .  חדר ימין מורחב עם תפקוד ירוד במידה קשה, ל"ד ריאתי מוערך מוגבר במידה קשה.   מסתם אאורטלי במבנה ותפקוד תקינים עם דלף מינימלי, דלף מיטראלי מינימלי ודלף טריקוספידלי קל. </t>
  </si>
  <si>
    <t>חדר שמאל ברוחב תקין, היפרטרופי, תפקודו הגלובלי מופחת במידהבינונית, דיפוזית עם אקיזניה אינפרו בזלית ושל הספטום הבזלי. . חדר ימין ברוחב תקין עם תפקוד שמור.. דליפה אאורטלית קלה, דליפה מיטרלית בינונית , דליפה טריקוספידלית קלה, עדות ליתר לחץ דם ריאתי בחומרה בינונית. נראה טרומבוס בגודל של 0.8X0.8ס"מ צמוד לסגמנט האירנפרו בזלי האקינטי.   תפליט פריקרדיאלי קטן, תפליט פלאורלי דוצדדי.</t>
  </si>
  <si>
    <t xml:space="preserve">חדר שמאלי מורחב במידה קלה, התכווצותו גלובלית ירודה במידה קשה. ירידה די דיפוזית מערבת את כל הדפנות, בולטת יותר בדופן אינפריורית, אחורית ולטרלית, תבנית זרימה רסטריקטיבית. חדר ימני מורחב והיפוקינטי. אי ספיקה מיטרלית קלה עד בינונית, טריקוספידלית קלה. עליות מוגדלות במידה בינונית. הרחבה קלה של סינוסים האורטליים ואאורטה העולה. הודגם נוזל פריקרדיאלי קטן ונוזל פלאורלי מימין. יתר לחץ דם ריאתי ניכר. </t>
  </si>
  <si>
    <t xml:space="preserve">חדר שמאל מורחב, תפקודו הגלובלי מופחת במידה בינונית-קשה דיפוזית. עקומת המילוי מתאימה להענות ירודה של החדר. חדר ימין בגודל ובתפקוד תקין. האנולוס המיטרלי מסוייד, דליפה מיטרלית מינימלית. בהעדר דליפה טריקוספידלית לא ניתן למדוד לחץ דם ריאתי. עליה שמאלית מורחבת במידה בינונית. </t>
  </si>
  <si>
    <t xml:space="preserve">Mild mitral stenosis.   </t>
  </si>
  <si>
    <t xml:space="preserve">בדיקה בוצעה בזמן AFIB בממוצע 80 לדקה. קושי טכני קל-בינוני ממנחים אפיקלים. חדר שמאלי בגודל והתכווצות גלובלית ואיזורית תקינה. ספטום מעט אסינכרוני. חדר ימני בגודל והתכווצות תקינה. אי ספיקה מיטרלית מינימלית וטריקוספידלית קלה. לחץ דם ריאתי 14+20+34 - תתכן תת הערכה עקב עקומת TR לא מלאה.  הגדלה קלה+ של העליה השמאלית. הודגם תפליט פריקרדיאלי בכמות קטנה ללא סימני לחץ. IVC מורחב ללא קולפס נשימתי. יש קושי בהערכה דיאסאולית בנוכחות פרפור. </t>
  </si>
  <si>
    <t>בדיקה בוצעה בשכיבה על הגב טכיקרדית.   חדר שמאל מורחב במידה בינונית תפקווד הסיסטולי הגלובלי מופחת במידה קשה באופן דיפוזי , לא ניתן לקבוע תפקוד דיאסטולי, עליה שמאל מורחבת במידה קשה.   חדר ימין בגודל תקין, תפקודו הסיסטולי ירוד במידה קלה, ל"ד ריאתי מוגבר במידה קשה.   מסתם אאורטלי במבנה ותפקוד תקינים, מסתם מיטראלי עם TETHERING ניכר של שני העלים והעדר קואפטציה בינהם דבר המביא לדלף קשה, דלף טריקוספידלי בינוני. מודגם תפליט פריקרדיאלי קטן ללא עדות ללחץ על מדורים ימניים. אלקטרודת קוצב בחדר ימין.</t>
  </si>
  <si>
    <t xml:space="preserve">חדר שמאל עם חלל בגודל תקין (ביחס לBSA) , היפרטרופי במידה קלה,תפקודו הסיסטולי הגלובלי של חדר שמאל  תקין ללא הפרעה אזורית , לא ניתן לקבוע תפקוד דיאסטולי, עליה שמאל מורחבת במידה קלה   מסתם אאורטלי מסוייד ללא דלף או הצרות, אנולוס מיטראלי מסוייד ללא הצרות , דלף מיטראלי וטריקוספידלי מינימלי </t>
  </si>
  <si>
    <t xml:space="preserve">חדר שמאלי בגודל תקין, התכווצותו הגלובלית ואיזורית תקינה, חדר ימני בגודל והתכווצות תקינה, אי ספיקה מיטרלית מינימלית, אי ספיקה טריקוספידלית מינימלית, אין עדות ליתר לחץ דם ריאתי , ללא הגדלה של העליה השמאלית.  הודגם תפליט פרקרדיאלי בכמות מינימלית, IVC מורחב ללא קולפס נשימתי. </t>
  </si>
  <si>
    <t>עליה שמאלית מורחבת. חדר ימין תקין. חדר שמאל ברוחב תקין עם תפקוד גלובלי ואזורי תקין. אס"ק אאורטלית מינימלית. אס"ק מיטרלית קלה, אס"ק טריקוספידלית מינימלית. לחץ ריאתי תקין. הפרעה ברלקסציה.</t>
  </si>
  <si>
    <t xml:space="preserve">חדר שמאל ברוחב תקין, תפקודו הגלובלי מופחת במידה קשה עם אקיניזה ספטלית, אקיניזה אפיקלית ,אקיניזה אינפריורית. היפוקינזיה פוסטריורית. חדר ימין בגודל ובתפקוד תקין. האנולוס המיטרלי מסוייד קלות דליפה מיטרלית קלה. דליפה טריקוספידלית קלה, עדות ליתר לחץ דם ריאתי קל. עליות ברוחב תקין. האאורטה העולה מורחבת במידה קלה. </t>
  </si>
  <si>
    <t xml:space="preserve">Probalby low flow moderate severe aortic  stenosis </t>
  </si>
  <si>
    <t xml:space="preserve">חדר שמאל עם חלל בגודל תקין, דפנותיו מעובות במידה בינונית,תפקודו הסיסטולי הגלובלי ירוד במידה קשה עם אקיזניה אחורית, ספטובזאלית ואפיקלית, שאר הדפנות היפוקינטיות, לחצי המילוי הדיאסטוליים מוגברים, עליות מורחבות במידה קלה   חדר ימין בגודל תקין עם תפקוד סיסטולי מופחת במידה קשה , ל"ד ריאתי מוערך מוגבר במידה קלה, כנראה תת הערכה בשל דלף טריקוספידלי קשה  מסתם אאורטלי מסוייד פתיחתו מוגבלת עם שטח המתאים להצרות עד קשה אך מפל לחצים נמוך על פניו משנית לFLOW נמוך. דלף מיטראלי קשה עקב TETHERING של עלה מיטראלי אחורי,דלף טריקוספידלי קשה. אלקטרודות קוצב בחללים הימניים </t>
  </si>
  <si>
    <t xml:space="preserve"> חדר שמאל בגודל תקין, היפרטרופי, התכווצותו הגךלובלית והאזורית תקינה, חדר ימין תקין, מסתם אאורטלי מעט מסוייד, טבעת המסתם המיטרלי מסויידת, אי ספיקה מיטרלית קלה, אי ספיקה טריקוספידלית מינימלית, לחץ דם ריאתי מוגבר במידה בינונית עד קשה, תבנית מילוי פסוידו נורמלית. יחסE/E' מתאים ללחצי מילוי מוגברים בחדר שמאל. נוזל פריקרדיאלי מינימלי.  </t>
  </si>
  <si>
    <t xml:space="preserve">חדר שמאלי תקין בגודלו,הספטום מעובה במידה קלה,תפקוד גלובלי ואזורי תקין.  תבנית מילוי תקינה.  חדר ימני תקין בגודלו ובתפקודו.  אי ספיקה מיטרלית מינימלית. אי ספיקה טרקיוספידאלית מינימלית.  לחץ ריאתי תקין.  ללא הגדלה של העליה השמאלית. </t>
  </si>
  <si>
    <t>חדר שמאלי מורחב במידה בינונית, דפנותיו מעובים, ההתכווצותו גלובלית ירודה במידה קשה, אקינזיה פוסטריורית, לטרלית, אינפריורית, ואפיקלית שאר הדפנות היפוקינטים, חדר ימין תפקודו ירוד, אי ספיקה אורטלית מינמלית, מסתם מיטרלי עם רטרקציה ניכרת של העלים לכוון החוד בעיקר האחורי עם אי ספיקה מיטרלית קשה, אי ספיקה טריקוספדלית קלה,  לחץ דם ריאתי מוגבר במידה קשה , הגדלה בינונית של העליה השמאלית וקלה של הימנית.  הודגמה אלקטרודת קוצב בחללים ימניים.</t>
  </si>
  <si>
    <t xml:space="preserve">מבחן אקו במאמץ אינו אבחנתי מאחר והושג  56% מהדופק המירבי לגילו. ללא תעוקת חזה בעת המאמץ שבוצע וללא שינויים איסכמיים. בהתאוששות נצפו VPBS.   הודגם תפקוד גלובלי תקין  בנוכחות הרחבה קלה של חדר שמאלי במנוחה ,ללא הרחבה נוספת או שינוי בתפקוד הגלובלי והסגמנטרי בדופק שהושג. </t>
  </si>
  <si>
    <t xml:space="preserve">חדר שמאל בגודל תקין ,תפקודו הסיסטולי הגלובלי מופחת במידה קלה עד בינונית עם היפוקינזיה ספטאלית, קדמית ואפיקלית (ראה תרשים) , תבנית המילוי הדיאסטולי פסאודונורמלית ,עליה שמאל מורחבת במידה קלה   חדר ימין בגודל תקין עם תפקוד סיסטולי שמור, ל"ד ריאתי מוערך מוגבר במידה בינונית   מסתם אאורטלי מסוייד עם דלף מינימלי, ללא הצרות, דלף מיטראלי קל ודלף טריקוספידלי קל עד בינוני </t>
  </si>
  <si>
    <t xml:space="preserve">חדר שמאל מורחב במידה קלה, תפקודו הסיסטולי הגלובלי ירוד במידה קשה באופן דיפוזי עם וריאביליות אזורית מסויימת (התכווצות יחסית שמורה של האפקס ,דופן אחורית לטראלית ,ספטאלית ותחתונה אקינטיות והשאר היפוקינטיות) , תבנית המילוי הדיאסטולי רקסרקטיביתףעליה שמאל מורחבת במידה קלה   חדר ימין בגודל תקין ,תפקודו הסיסטולי הגלובלי ירוד במידה עד בינונית, לא ניתן להעריך ל"ד ריאתי בהעדר סיגנל TR   מסתם אאורטלי מסוייד פתיחתו מוגבלת בגלל FLOW נמוך (PESUDOSEVERE AS כנראה) , דלף מיטראלי בינוני ודלף טריקוספידלי קל. שורש אאורטה ואאורטה עולה מעט מורחבים </t>
  </si>
  <si>
    <t xml:space="preserve">חדר שמאלי בגודל והתכווצות גלובלית ואיזורית תקינה, חדר ימין תקין, עלייה שמאל מורחבת במידה קלה,  אנולוס מיטרלי מסוייד ללא הפרעה בפתיחה, אי ספיקה מיטרלית קלה-בינונית, אי ספיקה אאורטלית מינימלית, אי ספיקה טריקוספידלית קלה,יתר לחץ דם ריאתי במידה בינונית, ללא נוזל פריקרדיאלי, בהעדר גישה ורידית לא בוצע TEE בחיפוש אחר מקור קרדיואמבולי. </t>
  </si>
  <si>
    <t xml:space="preserve">Hypertrophy of  interventricular septum.  </t>
  </si>
  <si>
    <t xml:space="preserve">חדר שמאלי בגודל תקין,ספטום היפרטרופי, התכווצותו הגלובלית והאיזורית תקינה, חדר ימני בגודל והתכווצות תקינה,הסתיידות קשה של הטבעת המיטרלית הגורמת למפל קטן על פמני המסתם. דלף מיטרלי קל,מסתם אאורטאלי מסויד עם הצירות בינוני , דלף טריקוספידלי קל ,  לחץ דם ריאתי מוגבר במידה קלה,  הגדלה של העליה השמאלית במידה בינונית.   </t>
  </si>
  <si>
    <t xml:space="preserve">חדר שמאלי מורחב עם התכווצות גלובלית מופחתת במידה קשה, אקינזיה רחבה המערבת את כל הדפנות למעט לטרלית שהיפוקינטית,תבנית המילוי עם מאפיינים רסטריקטיבים, חדר ימני מורחב והיפוקינטי, אי ספיקה מיטרלית בינונית אורטלית קלה וטריקוספידלית קלה עד בינונית עם יתר לחץ דם ריאתי בחומרה בינונית, עליות מורחבות, בהערכת סינכרוניזציה בינחדרית נמצא פער של 75 משנ (משמעותי), בהערכת סנכרוניזציה תוך חדרית (12 סגמנטים), נמצאה סטיית תקן של 58 משנ (משמעותי), הפער בין המחיצה והלטרלית 40 משנ, המאחרת ביותר היא הדופן האחורית. </t>
  </si>
  <si>
    <t>חדר שמאל מורחב, התכווצותו ירודה במידה בינונית עד קשה, אקינזיה אפיקלית אינפרובזלית ופוסטריורית, היפוקינזיה לטרלית, חדר ימין עם תפקוד ירוד במידה קלה. עליה שמאלית מורחבת, אי ספיקה מיטרלית וטריקוספידלית קלה, תבנית מילוי רסטרקטיבית.</t>
  </si>
  <si>
    <t xml:space="preserve">חדר שמאל מורחב במידה קלה, היפרטרופיה קלה, תפקודו הגלובלי בשמור,  חדר ימין מורחב ומופחת בתפקודו. פרוזדורים מורחבים.  הודגם דלף מיטרלי קל, דלף טריקוספידלי קל עד בינוני,לחץ ריאתי מוגבר במידה קשה.  UVC מורחב  עם שינוי נשימתי חלקי </t>
  </si>
  <si>
    <t xml:space="preserve">חדר שמאל בגודל ותפקוד תקין, תבנית המילוי מתאימה להפרעה בהרפיה, חדר ימין בגודל ותפקוד תקין, הרחבה קלה של עליה שמאלית, אי ספיקה מיטרלית וטריקוספידלית קלה, לחץ דם ראתי תקין </t>
  </si>
  <si>
    <t xml:space="preserve">חדר שמאלי בגודל תקין, היפרטרופי, התכווצותו הגלובלית ואיזורית תקינה, חדר ימני בגודל והתכווצות תקינה, מסתם אורטלי מסוייד מדגים הצרות בינונית, אי ספיקה אורטלית קלה, טבעת המסתם המיטרלי מסויידת ועלי המסתם מסוידים במידה ניכרת, אי ספיקה מיטרלית בינונית, אי ספיקה טריקוספידלית קלה, לחץ דם ריאתי מוגבר במידה בינונית, הגדלה קלה  של העליה השמאלית, הגדלה של העליה הימנית. </t>
  </si>
  <si>
    <t xml:space="preserve">חדר שמאלי בגודל תקין ,ספטום היפרטרופי עם התכווצות גלובלית היפרדינמית. ככל הניראה קיים מפל דינמי מדיונטריקולרי שלא הודגם. חדר ימני בגודל והתכווצות תקינה, מסתם אורטלי מסוייד עם דלף מינימלי והצרות בינונית, מסתם מיטרלי מסוייד עם הצירות קלה ודלף מינימלי, דלף טריקוספידלי מינימלי שלא מאפשר הערכת לחץ דם ריאתי, עליות בגודל תקין, הודגם נוזל פריקרדיאלי קטן. </t>
  </si>
  <si>
    <t>עליה שמאלית מורחבת חדר ימין מעט מורחב והיפוקינטי קל. חדר שמאל מורחב עם תפקוד גלובלי ירוד במדיה קשה , דיפוזית. אס"ק מיטרלית קלה. אס"ק  אורטלית מינימלית. טריקוספידלית בינונית +. לחץ ריאתי מוגבר במידה בינונית. תבנית ילוי רסטריקטיבית.</t>
  </si>
  <si>
    <t>חדר שמאלי תקין בגודלו  והתכווצותו גלובלית ירודה במידה קלה, אקינזיה אפיקלית. דחיקה של המחיצה בין-חדרית כביטוי לעומס יתר בצד הימני . חדר ימני מורחב עם ירידה בתפקודו, אי ספיקה מיטרלית בינונית, אאורטלית קלה. אי ספיקה טריקוספידלית קשה FREE TR, יתר לחץ דם ריאתי בינוני (תתכן תת-הערכה עקב TR קשה), עליות מורחבות. IVC רחב, ללא תמט נשימתי. מיימת בטנית, תפלט פלאורלי מימין. קוצב מימין.  Regional LV dysfunction.</t>
  </si>
  <si>
    <t>חדר שמאלי בגודל תקין, התכווצותו הגלובלית תקינה, תבנית המילוי מעידה על הפרעה ברלקסציה, חדר ימני בגודל והתכווצות תקינה, אי ספיקה מיטרלית קלה, אי ספיקה טריקוספידלית מינימלית, אין עדות ליתר לחץ דם ריאתי, ללא הגדלה של העליה השמאלית.</t>
  </si>
  <si>
    <t xml:space="preserve">חדר שמאל בגודל תקין התכוצותו הגלובלית תקינה. חדר ימין בגודל ותפקוד תקין (התכווצות ערה), עליה ימנית מורחבת מאוד. אי ספיקה מיטרלית קלה אי ספיקה טריקוספדלית בינונית לחץ דם ריאתי תקין.   אין הסבר טוב לממדי העליה הימנית הגדולים , ממליץ להשלים עם בדיקת MRI של הלב וכן לשקול בדיקת אקו וושט להשלים מידע על המחיצה הבינעליתית או הפרעה אחרת הגורמת לממצא זה. </t>
  </si>
  <si>
    <t>בדיקה קשה טכנית, בוצעה בשכיבה על הגב  חדר שמאלי מוגדל והתכווצותו ירודה במידה קלה-בינונית, ספטום מעובה. לא ניתן להעריך תפקוד דיאסטולי. חדר ימני מורחב ותפקודו הסיסטולי ירוד במידה בינונית. עליה שמאל מורחבת. מסתם אורטלי מסוייד עם דלף קל. טבעת המסתם המיטרלי מסויידת עם דלף קשה. אי ספיקה טריקוספידלית בינונית. לחץ דם ריאתי מוגבר במידה קשה.   לא הודגם תפליט פריקרדיאלי.</t>
  </si>
  <si>
    <t xml:space="preserve">חדר שמאל בגודל תקין ,תפקודו הסיסטולי הגלובלי תקין ללא הפרעה אזורית ,תבנית  המילוי הדיאסטולי מתאימה להפרעה ברלקסציה , עליות בגודל תקין   חדר ימין בגודל ותפקוד תקינים ,לא ניתן להעריך ל"ד ריאתי בהעדר סיגנל TR   מסתם אאורטלי תלת עלי מעט מסוייד עם דלף מינימלי ללא הצרות,שאר המסתמים במבנה ותפקוד תקין </t>
  </si>
  <si>
    <t xml:space="preserve">חדר שמאלי מורחב, היפרטרופיה קלה, התכווצות גלובלית ואזורית מופחתת במידה קשה. חדר ימני בגודל תקין עם ירידה קלה בתיפקודו, אלקטרודות קוצב בחללים ימניים, מסתם האאורטלי מעובה, פתיחה תקינה, אי ספיקה האאורטלית טריוואלית. מסתם מיטרלי עלה אחורי מוגבל בתנועתו, אי ספיקה מיטרלית בינונית, גט אחורי לטרלי, דליפה טריקוספידלית קלה עד בינונית. לחץ ריאתי מוגבר במידה קשה. IVC מורחב, תגובתו לנשימה מופחתת. עליה שמאלית מורחבת במידה בינונית. עליה ימנית מורחבת במידה קלה. </t>
  </si>
  <si>
    <t>חדר שמאלי מורחב עם היפרטרופיה, ירידה גלובלית קשה בתיפקודו, חדר ימין מורחב עם ירידה קשה בתיפקודו, דליפה קלה של מסתם מיטרלי ודליפה קלה עד בינונית של טריקספיד, אין עדות ליתר לחץ דם ריאתי, הגדלה קלה של העליה השמאלית.</t>
  </si>
  <si>
    <t xml:space="preserve">חדר שמאל בגודל תקין התכווצותו הגלובלית תקינה. עליות מורחבות במידה בינונית. מסתם אורטלי מסויד. אי ספיקה מיטרלית קלה.   אי ספיקה טריקוספדלית קשה משנית לסגירה בלתי שלמה של עלי המסתם. לחץ דם ריאתי מוגבר במידה קשה. תפליט פריטוניאלי.   </t>
  </si>
  <si>
    <t>עליה  שמאלית מעט מורחבת. עליה ימנית בגול תקין. בתוך העליה ימנית, צמןד לדופן ולביס של העלה הטריקוספידלי הקידמי הודגם ממצא אקוגני בגודל של 3 ס"מ על 0.8 ס"מ. הממצא צמוד לדופן העליה ולא מובילי, אבחנה מבדלת בין טרומבוס, ווגטציה וגרורה.  חדר ימין תקין. חדר שמ אל ברוחב תקין עם תפקוד גלובלי ירוד במדיה בינונית ובאופן דיפוזי. אס"ק מיטרלית מינימלית.  אס"ק טריקוןספידלי בינונית. יל"ד ריאתי בינוני. נוזל פריקרדיאלי בכמות מינימלית. נוזל פלוירלי משמאל .</t>
  </si>
  <si>
    <t xml:space="preserve">הגדלה בינונית של פרוזדור וחדר שמאל. חשד ל-PFO עם דלף משמאל לימין לפי צבע.  חדר שמאל היפרטרופי, התכווצותו ירודה במידה קשה, עם היפוקינזיה  דיפוזית ואקינזיה אינפריורית. הפרעה דיאסטולית עם סימנים של עליה של הלחץ הסוף דיאסטולי.  הסתיידויות במסתם אאורטלי ובטבעת המינטרלית.   חשד להצרות קלה של המסתם האאורטלי. אי ספיקה אאורטלית מינימלית.  אי ספיקה בינונית של המסתמים מיטרלי וטריקוספידלי.  ירידה בשינונים הנשימתיים של IVC.  עליה קשה של הלחץ הריאתי.  תמונה מתאימה לקרדיומיופתיה איסכמית  </t>
  </si>
  <si>
    <t xml:space="preserve">חדר שמאלי בגודל תקין, היפרטרופי במידה קלה, התכווצותו הגלובלית ואיזורית תקינה, השטחה סיסטולית ודיאסטולית של הספטום הבין חדרי כביטוי למעמס של חדר ימין.  חדר ימני מורחב  ותפקודו מופחת במידה קלה עד בינונית.  הרחבה בינונית של העלייה השמאלית והרחבה קלה של העלייה הימנית.  מסתם אורטלי סקלרוטי עם אי ספיקה אורטלית מינימלית, אי ספיקה מיטרלית קלה עד בינונית, אי ספיקה טריקוספידלית קשה, לחץ דם ריאתי מוגבר במידה קשה, לחץ ורידי סיסטמי מוגבר.     </t>
  </si>
  <si>
    <t>Hypertrophy of interventricular septum - mild.  Regional LV dysfunction.</t>
  </si>
  <si>
    <t>בדיקה בשכיבה על הגב.  פרפור פרוזדורים  חדר שמאל מורחב התכווצותו הגלובלית מופחתת במידה קשה, ראה פיזור אזורי. חדר ימין בגודל תקין. עליה שמאלית מורחבת במידה בינונית. מסתם אורטלי מסויד .הסתידות טבעת מסתם מיטרלי. אין סיגנל דופלר מספיק להערכת עדות ליתר לחץ דם ריאתי.</t>
  </si>
  <si>
    <t xml:space="preserve">חדר שמאלי בגודל תקין, התכווצותו הגלובלית ואיזורית תקינה, חדר ימני בגודל והתכווצות תקינה, מסתם אורטלי מסויד, אי ספיקה מיטרלית קלה, אי ספיקה טריקוספידלית קלה-בינונית, לחץ דם ריאתי מוגבר במידה בינונית, הגדלה קלה של העליה השמאלית.  הודגם נוזל פריקרדיאלי בכמוות קטנה.  מחיצה בין עליתית אנאוריזמטית, הודגם ASD עם דלף קטן משמאל לימין </t>
  </si>
  <si>
    <t xml:space="preserve">חדר שמאל בגודל תקין, תפקודו הסיסטולי הגלובלי תקין ללא הפרעה אזורית, תבנית המילוי הדיאסטולי פסאודונורמלית (הפרעה דיאסטולית דרגה II) ,עליה שמאל מורחבת  במידה קלה.   חדר ימין בגודל ותפקוד תקינים, ל"ד ריאתי מוערך מוגבר במידה קשה.   מסתם אאורטלי מסוייד עם דלף מינימלי , ללא הצרות, דלף מיטראלי וטריקוספידלי קל. </t>
  </si>
  <si>
    <t xml:space="preserve">חדר שמאלי תקין עם תפקוד גלובלי ואיזורי תקין  .חדר ימין בגודל ותפקוד תקין. עליה שמאלית תקינה. מבנה ותפקוד המסתמים תקין, דלף טריקוספיד מינימלי. לחץ דם ריאתי מעט מוגבר. </t>
  </si>
  <si>
    <t>בדיקה בוצעה על הגב.  חדר שמאל בגודל תקין, ספטום הפרטרופי במקצת, התכווצות גלובלית תקינה-ערה EF-65% . עליה שמאלית מורחבת במידה קלה. חללי הלב ימניים תקינים. חדר ימין מתכווץ היטב. טבעת מסתם מיטרלי מעט מסוידת. מסתם אורטלי מסויד במידה קלה ללא הצרות. אי ספיקה מיטרלית קלה+. אי ספיקה טריקוספידלית מינימלית. לחץ דם ריאתי 37 ממ"כ מודבר במידה קלה. תפליט פריקרדיאלי קטן ללא סימני לחץ.</t>
  </si>
  <si>
    <t>חדר שמאל בגודל תקין, ההתכווצותו הגלובלית שמורה, אקינזיה אינפרו-פוסטריורית, תבנית המילוי תקינה, תדר ימני בגודל והתכווצות תקינה, עליה שמאלית מורחבת במידה קלה, אי ספיקה מיטרלית קלה, מסתם אורטלי מסויד ללא הצרות, אי ספיקה טריקוספידלית מינימלית, לחץ דם ריאתי מוגבר במידה קלה.</t>
  </si>
  <si>
    <t>החדר השמאלי בגבול עליון של הנורמה ברוחבו, עובי דופנותיו בגבול עליון של הנורמה. התכווצותו תקינה - הפרדינמית.   הפרוזדור השמאלי מורחב במידה בינונית.  החדר הימני תקין.  מסתם אאורטלי עם הסתיידות נקודתית בעלה, פתיחתו טובה. מפל לחצים קצת מוגבר (22 ממ"כ) עקב לב הפרדינמי, אי ספיקה אאורטלית קלה.  הסתיידות קלה בטבעת המיטרלית. אי ספיקה קלה מיטרלית וטריקוספידלית.  הלחץ הריאתי מוגבר במידה קלה.   לא נמצאו וגטציות.</t>
  </si>
  <si>
    <t>חדר שמאל בגודל תקין, הפרטרופי, התכוצותו מופחתת  במידה קלה בינונית, הודגמה הפרעה בתנועת המחיצה הבין חדרית. האם לנבדק יש LBBB? (הבדיקה בוצעה במכשיר ללא א.ק.ג.). האם סיבה נוספת?.  חדר ימין תקין בגודלו ותפקודו, עליות בגודל תקין הסתיידות קלה של מסתם אורטלי, ללא הגבלה בפתיחת המסתם, הסתיידות של טבעת מסתם מיטרלי, אי ספיקה אורטלית ומיטרלית מינימלית</t>
  </si>
  <si>
    <t>חדר שמאל מורחב, היפרטרופיה קלה של הספטום, התכווצותו הגלובלית שמורה ללא הפרעה אזורית, חדר ימין מורחב עם תפקוד ירוד במידה קלה, הרחבה בינונית של עליה שמאלית, הרחבה של עליה ימנית, מסתם אאורלטי מעובה עם דלף מינימלי, אי ספיקה מיטרלית קלה עד בינונית, אי ספיקה טריקוספדילית קלה עד בינונית, לחץ דם ריאתי מוגבר במידה קשה. הפרעה דיסאטולית דרגה II.</t>
  </si>
  <si>
    <t xml:space="preserve">התרחבות בינונית של פרוזדור שמאל וקלה של ימין. spontaneus contrast  קל בעליה השמאלית.   החולה עם CAVB  עם קצב פרוזדורי מהיר.    היפרטרופיה קלה של המחיצה הבין חדרית. התכווצות תקינה של חדר שמאל. הזרימה הדיאסטולית המיטרלית מתאימה להפרעה רסטריקטיבית.  חדר ימין מעט מורחב, התכווצותו שמורה.  הסתיידויות קלות במסתם אאורטלי ובטבעת המיטרלית.  אי ספיקה קלה של המסתמים אאורטלי ומיטרלי ובינונית של הטריקוספידי.  התרחבות קלה של הסינוס הקורונרי וגם של IVC. ירידה בשינוים הנשימתיים ב-IVC.  עליה קשה של הלחץ הריאתי.  פלקים אתרוסקלרותים מורלים באאורטה היורדת.  לא נצפה תרומבוס בחללי הלב ולא נצפה מעבר על פי צבע בין הפרוזדורים.  לא נצפתה הפרעה בחיבור של כלי דם הגדולים בלב.  בבדיקת אקו ב-2004 לא היו הסימנים של עומס על החדר הימני </t>
  </si>
  <si>
    <t>חדר  שמאלי ברוחב תקין,  היפרטרופיה קלה,  תפקודו הגלובלי והאזורי  תקין.  חדר ימין ברוחב ותפקוד תקין.פרוזדור שמאלי מורחב בינונית.  מסתם אאורטלי מעט מסויד, דלף קל. האאוטה העולה מעט מורחבת.  אנולוס מיטרלי מעט מסויד, מסתם מיטרלי מעט מעובה, דלף מיטרלי קל.  הודגם דלף טריקוספידלי קל, לחץ ריאתי מעט מוגבר.</t>
  </si>
  <si>
    <t>חדר שמאלי בגודל  תקין, דפנותיו מעובות , התכווצות גלובלית תקינה, חדר ימני בגודל והתכווצות תקינה, הגדלה קלה של עליה ימנית,  מסתם אורטלי מסויד עם הצירות קלה ודלף מינימלי, הסתיידות של טבעת מסתם מיטרלי , דלף מיטרלי מינימלי,לא ניתן להדגים לח"ד ריאתי, עליה שמאלית מורחבת במידה בינונית</t>
  </si>
  <si>
    <t>חדר שמאלי תקין בגודלו, דופנותיו תקינים בעובים, תפקוד הגלובלי מופחת במידה עד בינונית עקב  אקינזיה אינפריורית ואחורית. (ראה פיזור אזורי). תבנית מלוי פסאודונורמלית עם לחצי מלוי מוגברים. עליה שמאל מורחבת במידה בינונית.   חדר ימני תקין בגודלו ובתפקודו עם עדות ליל"ד ריאתי מוגבר במידה קשה.   מסתם האאורטלי מסויד ללא הצרות או דלף  אי ספיקה מיטרלית מינימלית.   אי ספיקה טריקוספידאלית מינימלית.</t>
  </si>
  <si>
    <t xml:space="preserve">חדר שמאל בגודל תקין, היפרטרופי, תפקודו הגלובלי מופחתת במידה קלה, היפוקינזיה פוסטריורית ואקינזיה אינפריורית. חדר ימין בגודל ותפקוד תקין. עליה שמאלית מורחבת במידה קלה. התרחבות  קלה של שורש האורטה. האאורטה העולה ברוחב תקין. מסתם אורטלי מסוייד, פתיחה מוגבלת, שטח המסתם והמפל על פניו מתאימים להיצרות בחומרה קשה ,דלף אורטלי קל. אי ספיקה מיטרלית קלה. אי ספיקה טריקוספידלית קלה. לחץ דם ריאתי מוגבר במידה קלה. </t>
  </si>
  <si>
    <t>חדר שמאלי בגודל תקין, התכווצותו הגלובלית שמורה, ,חדר ימני בגודל תקין, התכווצותו מופחתת במידה קלה, שורש האורטה והמסתם האורטלי מסויידים,  ללא הצרות, אי ספיקה מיטרלית קלה עד בינונית, אי ספיקה טריקוספידלית בינונית עד קשה, לחץ דם ריאתי מוגבר במידה קלה, הגדלה קלה של העליה השמאלית.  הודגם תפליט פלאורלי משמאל.</t>
  </si>
  <si>
    <t>חדר שמאל תקין בגודלו ותיפקודו היפרדינמי, דפנותיו מעובים מעט, עליה שמאלית מורחבת, הפרעה ברקלסציה של חדר שמאל. חדר ימין תקין. אי ספיקה טריקוספידלית קלה, נודליפה מיטרלית טריויאלית. נוזל פריקרדיאלי בכמות קטנה.</t>
  </si>
  <si>
    <t xml:space="preserve">חדר שמאל בגודל תקין, הפרטרופיה קלה , התכווצות גלובלית תקינה, תבנית המילוי פסאודונורמאלית, עליה שמאלית מורחבת במידה קלה, חדר ימין בגודל ותפקוד תקין,  מסתם אאורטלי מסויד, אי ספיקה מיטרלית קלה, אי ספיקה טריקוספידלית מנימלית, לא הודגמה עקומת TR להערכת לחץ דם ראתי , תפליט פלאורלי מימין. </t>
  </si>
  <si>
    <t>הדמיה קשה טכנית, חדר שמאל בגודל תקין, תפקודו הגלובלי תקין, אקינזיה אינפריורית וספטלי בזלי, חדר ימין תקין. עליה שמאלית תקינה. מסתם אורטלי מעובה, דלף מיטרלי וטריקוספיד מינימלי. לא ניתן להעריך לחץ דם ריאתי בשל סיגנל TR קלוש.</t>
  </si>
  <si>
    <t>חדר שמאלי בגודל תקין ,דפנותיו מעובים במידה קלה,  התכווצות גלובלית ואיזורית תקינה, תבנית המילוי מתאימה להפרעה ברילקסציה,     חדר ימני בגודל והתכווצות תקינה, דלף מיטרלי וטריקוספידלי מינימלי,    לחץ דם ריאתי תקין , עליות בגודל תקין.</t>
  </si>
  <si>
    <t>Hypertrophy of basal interventricular septum.   Regional LV dysfunction.</t>
  </si>
  <si>
    <t>מונשמת,  חדר שמאלי תקין  בגודלו והתכווצותו גלובלית ירודה במידה בינונית עד קשה , אקינזיה אפיקלית, ספטלית. ספטום מעובה בבסיסו, תבנית המילוי פסאודו-תקינה, חדר ימני מורחב במידה קלה  והתכווצותו ירודה במידה בינונית , אלקטרודות קוצב בחללים ימניים. הסתיידות טבעת מיטרלית, אי ספיקה מיטרלית קלה עד בינונית, מסתם אאורטלי מסוייד עם היצרות קלה , אי ספיקה טריקוספידלית בינונית , יתר לחץ דם ריאתי בינוני, עליות מורחבות. תפליט פלאורלי מימין.  Regional LV dysfunction.</t>
  </si>
  <si>
    <t xml:space="preserve">Regional LV dysfunction.  </t>
  </si>
  <si>
    <t xml:space="preserve">חדר שמאלי מורחב במידה קלה, התכווצותו הגלובלית מופחתת קל-בינוני EF-45% עם אקינזיה אנפרובזלית והיפוקינזיה ספטלית ואחורית. חדר ימני בגודל והתכווצות תקינה. אי ספיקה מיטרלית בינונית הולוססטולית PISA-6 מ"מ במנגנון של הרחבת הטבעת קרוב לוודאי. אי ספיקה טריקוספידלית קלה עד בינונית. לחץ דם ריאתי 74 ממ"כ מוגבר במידה קשה. יש כנראה הפרעה דיאסטולית משמעותית בנוכחות MR משמעותי. עליה שמאלית מורחבת במידה קלה והימנית בגדל תקין.  הודגם תפליט פלאורלי מימין - לקורלציה עם צל"ח.    </t>
  </si>
  <si>
    <t xml:space="preserve">Caseous mitral annulus abscess   Mitral annular calcification.   </t>
  </si>
  <si>
    <t xml:space="preserve">חדר שמאלי ברוחב תקין, התכווצותו הגלובלית והאיזורית תקינה. היפרטרופיה בינונית של הספטום הבין חדרי  בעיקר הבזלי. חדר ימני תקין בגודלו ותיפקודו. עליה שמאלית מוגדלת במידה קלה. הודגמה התעבות ניכרת של האנולוס באספקט הלטרלי של המסתם המיטרלי מתאים לCaseous abscess, אי ספיקה בינונית של המסתם ללא היצרות משמעותית. מסתם אורטלי מסוייד עם היצרות בינונית לפי חישוב שטח מסתם ואי ספיקה קלה. אי ספיקה טקריקוספידלית קלה עד בינונית. לחץ ריאתי מוגבר במידה בינונית. </t>
  </si>
  <si>
    <t>חדר שמאל גבולי בגודלו, הפרטרופי, התכווצות גלובלית תקינה עם היפוקינזיה/אסנכרוניה אינפרובזלית, ללא עדות להפרעה דיאסטולית, עליה שמאלית מורחבת במידה קלה, חללי הלב ימניים תקינים, טבעת מסתם מיטרלי מסוידת קלות, מסתם אאורטלי מסויד קלות, אי ספיקה מיטרלית קלה וטריקוספידלית מינימלית, לחץ דם ריאתי תקין, אאורטה עולה מורחבת במידה קלה.</t>
  </si>
  <si>
    <t xml:space="preserve">חדר שמאלי ברוחב תקין, היפרטרופי במידה קלה, התכווצותו גלובלית ואיזורית ערה, תבנית זרימה מיטרלית מתאימה להפרעה ברלקסציה. חדר ימני תקין בגודלו ותיפקודו. עליה שמאלית מוגדלת במידה קלה. אנולוס מיטרלי מסוייד עם מפל קטן בדופק 71 (  יש שטח המודינמי2.2  סמ"ר),   ואי ספיקה מיטרלית מינימלית. מסתם אורטלי מסוייד עם היצרות מינימלית . אי ספיקה טריקוספידלית קלה. לחץ ריאתי מוגבר במידה בינונית עד קשה. IVC רחב. הודגם נוזל פריקרדיאלי בכמות   בינונית. </t>
  </si>
  <si>
    <t xml:space="preserve">חדר שמאלי ברוחב תקין, עם עיבוי קל של הדופן, התכווצותו תקינה,  חדר ימני יתכן מעט מורחב, תפקודו תקין. הגדלה קלה של העליה השמאלית. מסתם האאורטלי מסויד, מדגים היצרות קלה . טבעת מסתם מיטרלי מסוידת, ללא היצרות , אס"ק מיטרלית קלה+. אס"ק טריקוספידאלית קלה+, לחץ ריאתי מוגבר במידה בינונית.  הודגם נוזל פריקרדיאלי בכמות   עד בינונית, ממוקם בעיקרו מאחורי החדר השמאלי. IVC מורחבת  במידה קלה, קולפס שאיפתי חלקי, ללא שינויים נשימתיים משמעותיים בעקומת הזרימה המיטרלית. ללא סימני לחץ. </t>
  </si>
  <si>
    <t xml:space="preserve">חדר שמאלי מעט מורחב, מעט הפרטרופי, תפקודו הגלובלי תקין,  תבנית המילוי פסאודונורמאלית,  חדר ימין מורחב במידה בינונית תפקודו מופחת במידה קשה, פרוזדורים מורחבים ,  דלף מיטרלי קל, דלף טריקוספידלי קל עד בינוני, לחץ ריאתי מוגבר במידה קשה.  תפליט פריקרדיאלי  בכמות קטנה , ללא סימני תמט של המדורים הימניים.   </t>
  </si>
  <si>
    <t>חדר שמאל בגודל תקין, היפרטרופי, התכווצותו הגלובלית ואיזורית תקינה, חדר ימין בגודל ותפקוד תקינים, הרחבה קלה של עליה שמאלית, מסתם אורטלי מסוייד עם דלף קל-בינוני, טבעת המסתם מיטרלית מסויידת, אי ספיקה מיטרלית מינימלית, אי ספיקה טריקוספידלית קלה, לחץ דם ריאתי מוגבר במידה בינונית.</t>
  </si>
  <si>
    <t xml:space="preserve">חדר שמאל בגודל תקין, תפקודו הגלובלי שמור, היפוקינזיה אינפרו-פוסטריורית בזאלית. היפרטרופיה קונצנטרית של חדר שמאל. עליה שמאלית מורחבת במידה קלה. עיבוי קל של מסתם מיטרלי. תבנית זרימה בדופלר פסאודונורמלית.   </t>
  </si>
  <si>
    <t>עליה שמאלית מורחבת. חדר ימין תקין.חדר שמאל ברוחב תקין עם תפקוד גלובלי ואזורי תקין. מסתם מיטרלי  רוימטי עם פיחה כיפתי, מדגים היצרות קלה ודלף מינימלי. העלים מעובים, העלה הקידמי גמיש. הסתיידות מינימלית. אס"ק אורטלית קלה. אס"ק טריקוספידלית מינימלית. לחץ ריאתי תקין.</t>
  </si>
  <si>
    <t>חדר שמאלי בגודל תקין, ספטום מעובה במידה קלה, התכווצות גלובלית ואיזורית תקינה, תבנית המילוי מעידה על הפרעה ברלקסציה, חדר ימני בגודל והתכווצות תקינה, אי ספיקה מיטרלית קלה, אי ספיקה טריקוספידלית מינימלית, לא ניתן להעריך לחץ דם ריאתי ללא עקומת TR, הגדלה קלה של העליה השמאלית.</t>
  </si>
  <si>
    <t xml:space="preserve">חדר שמאל מעט מורחב, דפנותיו מאוד מעובות, תפקודו הסיסטולי הגלובלי ירוד במידה קשה, גלובלית. לא ניתן להעריך תפקוד דיאסטולי . חדר ימין בגודל תקין ותפקודו הסיסטולי ירוד במידה בינונית בעיקר באמצע עד האפקס של החדר. עליות מעט מורחבות. מבנה מסתם אאורטלי תקין, דרך המסתם דלף מיזערי. אי ספיקה מיטרלית קלה עד בינונית וטריקוספידלית קלה. נימדד יתר לחץ דם ריאתי קל. הודגם תפליט פריקרדיאלי קטן, ללא משמעות המודינמית.    </t>
  </si>
  <si>
    <t>בדיקה קשה לביצוע מטופלת עם קוצר נשימה, הבדיקה בוצע בשכיבה על הגב ובישיבה.  חדר שמאלי מורחב, התכווצות גלובלית ירודה במידה בינונית עד קשה עם אקיניזה אחורית ואינפרולטראלית והיפוקיזיה של שאר הדפנות. הפרעה דיאסטולית דרגה 2. חדר ימני בגודל והתכווצות תקינה.  עלי מסתם אאורטלי מסויידים, דרך המסתם דלף מיזערי. הסתיידות טבעת מסתם מיטרלי, דרך המסתם דלף קשה. אי ספיקה טריקוספידלית בינונית. לחץ דם ריאתי מוגבר במידה בינונית. הגדלה קלה של העליה השמאלית.</t>
  </si>
  <si>
    <t>חדר שמאלי מורחב במידה קלה, התכווצותו הגלובלית ירודה במידה קשה, חדר ימני מורחב במידה קלה  ,  התכווצותו ירודה במידה קשה, דליפה אורלית מינימלית, מסתם מיטרלי מסויד , דליפה מיטרלית קשה, דליפה טריקוספידלית קשה , לחץ דם מריאת מוגבר במידה קשה, עליה שמאלית מורחבת   IVC רחבה ללא תמת נשימתי, תפליט פריקרדיאלי בכמות קטנה .</t>
  </si>
  <si>
    <t xml:space="preserve">חדר שמאל בגודל תקין, התכווצותו הגלובלית והאזורית תקינה, חדר ימין תקין, עליה שמאלית מורחבת במידה קלה עד בינונית, מסתם אאורטלי מסוייד אך ללא היצרות, עלי המסתם המיטרלי מעובים, הטבעת מיט מסויידת, אי ספיקה מיטרלית מינימלית, אי ספיקה טריקוספידלית קלה, לחץ דם ריאתי תקין . תבנית מילוי פפסוידו נורמלית.  הודגם נוזל פריקרדיאלי בכמות מינימלית. </t>
  </si>
  <si>
    <t>חדר שמאלי בגודל תקין, התכווצות גלובלית ואיזורית שמורה,  חדר ימני בגודל והתכווצות תקינה, מסתם אורטלי מסוייד ללא הצרות, טבעת מסתם מיטרלי מסויידת, אי ספיקה מינימלית, אי ספיקה טריקוספידלית מינימלית, אין עדות ליתר לחץ דם ריאתי,  הגדלה קלה של העליה השמאלית.</t>
  </si>
  <si>
    <t>הבדיקה בוצעה בשכיבה.  חדר שמאלי ברוחב תקין, הפרטרופי, תפקודו הגלובלי והאזורי תקין.  חדר ימין ברוחב ותפקוד תקין. פרוזדור שמאלי מורחב בינונית.  מסתם אאורטלי מסוייד,  דלף קל.  סנוסי האאורטה מעט מורחבבים , האאורטה העולה מורחבת כ 4.6 ס"מ. קשת האאורטה ברוחב תקין.   מסתם אורטלי מסויד עם דלף קל.   אנולוס מיטרלי מעט מסוייד, דלף מיטרלי קל.  הודגם דלף טריקוספידלי קל, לחץ ריאתי מוגבר במדיה קלה.  הודגם תפליט פריקרדיאלי בינוני, ללא סימני לחץ  על חדר ימין .IVC מעט רחבה עם תמט חלקי.  הודגם תפליט פלאורלי בינוני דו צדדי.</t>
  </si>
  <si>
    <t>חדר שמאלי בגודל והתכווצות גלובלית ואיזורית תקינה,  חדר ימני בגודל והתכווצות תקינה, אי ספיקה אורטליחת מינימלית, אי ספיקה טריקוספדלית קלה, אין עדות ליתר לחץ דם ריאתי, ללא הגדלה של העליה השמאלית.</t>
  </si>
  <si>
    <t>חדר שמאל מורחב במידה קלה, התכוצותו הגלובלית שמורה. . חדר ימין בגודל ותפקוד תקין. עליה שמאלית מורחבת במידה קלה.מסתם אורטלי תותב , מפל סביר על פניו ,הודגם דלף אורטלי בינוני-קשה עם סילון אקסנטרי  שלא הודגם בבדיקה מ-2004,  אי ספיקה מיטרלית קלה. אי ספיקה טריקוספידלית קלה. לחץ דם ריאתי מוגבר במידה קלה.</t>
  </si>
  <si>
    <t xml:space="preserve">חדר שמאל בגודל תקין והיפרטרופי, התכווצותו הגלובלית תקינה. , תבנית המילוי תקינה, חדר ימין בגודל ותפקוד תקין. עליה שמאלית תקינה. אי ספיקה מיטרלית וטריקוספדלית מנימלית. </t>
  </si>
  <si>
    <t>חדר שמאלי בגודל תקין והתכווצותו גלובלית שמורה, אקינזיה אינפריורית,  היפוקינזיה פוסטריורית. תבנית המילוי עם הפרעה ברלקסציה, חדר ימין בגודל ותפקוד תקין, מסתם אורטלי מסויד עם היצרות בינונית עד קשה. אי ספיקה טריקופידלית קלה,  יתר לחץ דם ריאתי קשה, הרחבה קלה של העליה השמאלית.</t>
  </si>
  <si>
    <t xml:space="preserve">חדר שמאלי בגודל תקין, ספטום מעובה במידה קלה, התכווצות גלובלית ואיזורית היפרדינמית עם מראה שמתאים ל APICAL HCM, יתכן ושמני למצב המודינמי ולכן כדאי לחזור על הבדיקה לאחר שיתייצב, חדר ימני בגודל והתכווצות תקינה. מסתם אורטלית מסוייד, אי ספיקה קלה, אי ספיקה מיטרלית וטריקוספידלית מינימלית. אין עדות ליתר לחץ דם ריאתי. הגדלה קלה של העליה השמאלית. הגדלה של אורטה עולה, הודגם תפליט פריקרדיאלי בכמות בינונית לקשה ללא סימני לחץ על חדר ימין אך IVC רחב עם שינויים נשימתיים ירודים. </t>
  </si>
  <si>
    <t xml:space="preserve">חדר שמאל מורחב במידה בינונית, התכווצות גלובלית תקינה,  עליות מורחבות במידה קלה, חדר ימני  בגודל ותפקוד תקין תקין, מסתם אאורטלי תלת עלי , אי ספיקה אאורטלית בינונית-קשה, אי ספיקה מיטרלית וטריקוספידלית קלה, לחץ דם ריאתי תתקין. אאורטה עולה ושורש אאורטה מורחבים.  </t>
  </si>
  <si>
    <t>חדר שמאל בגודל תקין, התכווצותו הגלובלית ואיזורית תקינה, חדר ימין בגודל ותפקוד תקינים, הרחבה קלה של עליה שמאלית, אי ספיקה מיטרלית קלה, אי ספיקה טריקוספידלית מינימלית, לא ניתן לקבוע לחץ דם ריאתי בשל סיגנל TR קלוש.</t>
  </si>
  <si>
    <t>חדר שמאלי ברוחב תקין, דפנותיו בעובי תקין, תפקודו הגלובלי מופחת במידה קלה. הודגמה אקינזיה אנפרובזלית, פוסטרובזלית.   חדר ימין איננו מורחב, תפקודו מופחת. פרוזדור שמאלי מורחב.  מסתם אאורטלי מסויד, מפל לחצים קטן. שטח מחושב כ- 1.3 סמ"ר.  הודגם דלף מיטרלי קל+, דלף טריקוספידלי קל, ללא עדות ללחץ ריאתי מוגבר.</t>
  </si>
  <si>
    <t>בדיקה בוצעה בשכיבה על הגב.   חדר שמאלי תקין בגודלו , דופנותיו תקינים בעובים, תפקוד גלובלי תקין. ללא הפרעה איזורית בולטת (איזור קטן ספטואפיקלי פחות ער?).  תבנית מילוי מעידה על הפרעה ברלקסציה של חדר שמאלי. חדר ימני תקין בגודלו ובתפקודו. טבעת מסתם מיטרלי מסוידת במידה קלה מאוד, פתיחה תקינה. אי ספיקה מיטרלית קלה.  אי ספיקה טרקיוספידאלית מינימלית. לחץ ריאתי תקין. הגדלה קלה של העליה השמאלית.   לא הודגם נוזל פריקרדיאלי מעבר למזערי.</t>
  </si>
  <si>
    <t>חדר שמאלי בגודל תקין, התכווצותו הגלובלית ואיזורית תקינה, חדר ימני בגודל והתכווצות תקינה, אי ספיקה מיטרלית וטריקוספידלית מינימלית, לא ניתן להעריך לחץ דם ריאתי בהיעדר סיגנל TR, ללא הגדלה של העליה השמאלית. לציין אלמנטים מתנפנפים באיזור המנגנון של המסתם המיטרלי (ווגטציות? אחר?) לברור וקורלציה קלינית. IVC מורחב.</t>
  </si>
  <si>
    <t xml:space="preserve">חדר שמאלי מורחב במידה קלה, מעט מעובה, התכווצותו גבולית. תבנית זרימה רסטריקטיבית. חדר ימני שמור. עליה שמאלית מוגדלת במידה בינונית. עליה ימנית מוגדלת במידה קלה. אי ספיקה מיטרלית קלה, טריקוספידלית קלה. לחץ ריאתי מוגבר במידה בינונית. הרחבה קלה של סינוסים האורטליים ואאורטה העולה. הודגם תפליט פריקרדיאלי קטן ותפליט פלאורלי מימין. </t>
  </si>
  <si>
    <t>חדר שמאלי בגודל תקין, דפנותיו מעובים במידה קלה, התכווצות גלובלית תקינה,  ספטום  היפוקינטוי  קל לאחר ניתוח. השאר הירדינמי. חדר ימני בגודל והתכווצות תקינה, מסתם אורטלי מעובה (קשה להדגים מספר עלים), אי ספיקה אורטלית בינונית לפחות( לאורמטרכאוסטומיה אין תמונות מהמנח הסופרה סטרנלי.  אי ספיקה מיטרלית מינימלית, אי ספיקה טריקוספידלית קלה. לחץ דם ריאתי מוגבר במידה קלה. הגדלה בינונית של העליה השמאלית.</t>
  </si>
  <si>
    <t xml:space="preserve">חדר שמאלי בגודל תקין, התכווצותו הגלובלית ואיזורית תקינה, ללא עדות להפרעה דיאסטולית משמעותית, חדר ימני בגודל והתכווצות תקינה, מסתם אורטלי מסוייד קלות ללא הצרות,  מסתם מיטרלי נראה מעט מסוייד, עלה אחורי מקוצר, אי ספיקה מיטרלית קלה עד בינונית ג'ט אחורי, אי ספיקה טריקוספידלית קלה, לחץ דם ריאתי מוגבר במידה קלה, ללא הגדלה משמעותית של העליה השמאלית. לא הודגם תפליט פריקרדיאלי. </t>
  </si>
  <si>
    <t>חדר שמאלי בגודל תקין, התכווצותו הגלובלית היפרדינמית בנוכחות טכיקרדיה,  תבנית מילוי של חדר שמאל מתאימה להפרעה ברלקסציה עם לחצי מילוי גבוהים. חדר ימין תקין, מפלים מוגברים על מסתם אורטלי ככל הניראה שמני ללב ההיפרדינמי. אי ספיקה טריקוספידלית קלה, לחץ דם ריאתי מוגבר במידה קלה, העליה השמאלית מוגדלת במידה קלה, הרחבה של האורטה העולה.</t>
  </si>
  <si>
    <t xml:space="preserve">mitral annular calcification.   Mild mitral stenosis.   </t>
  </si>
  <si>
    <t>בדיקה קשה טכנית.   חדר שמאלי בגודל תקין, הספטום היפרטרופי, התכווצותו הגלובלית תקינה (ערה), חדר ימני תקין, מסתם אורטלי מסוייד ללא הצרות עם דליפה קלה, טבעת המסתם המיטרלי מסויידת עם הצרות בינונית, אי ספיקה מיטרלית קלה, אי ספיקה טריקוספידלית מינימלית, אין עדות ליתר לחץ דם ריאתי, הגדלה קלה של העליה השמאלית.</t>
  </si>
  <si>
    <t xml:space="preserve">חדר שמאלי בגודל תקין, התכווצותו הגלובלית ואיזורית תקינה, השטחה ספטלית כסימן לעומס מימין. חדר ימין מורחב תפקודו תקין, מסתם אורטולי מעובה, אי ספיקה אורטלית מינימלית, מסתם מיטרלי תותב מכני עם מפל לחצים תקין על פניו, אי ספיקה מיטרלית מינימלית, אי ספיקה טריקוספידלית בינונית, לחץ דם ריאתי מוגבר במידה קשה, הגדלה בינונית של העליה השמאלית, הגדלה  קשה של העליה הימנית. </t>
  </si>
  <si>
    <t>בדיקה קשה טכנית, ניבדק מונשם.  חדר שמאל בגודל תקין, התכווצות גלובלית ירודה במידה בינונית, היפוקינזיה דיפוזית אקינזיה ספטלית, עליות בגודל תקין, חדר ימני בגודל  ותפקוד תקין, מסתם אאורטלי מסויד, אי ספיקה מיטרלית וטריקוספידלית מינימלית, לחץ דם ריאתי תקין.</t>
  </si>
  <si>
    <t>Bicuspid</t>
  </si>
  <si>
    <t xml:space="preserve"> עליה שמאלתי מורחבת. חדר ימין היפוקינטי בינונית. חדרנ שמאל מורחב עם תפקוד גלובלי ירו במידה קשה. הספטום צלקתי ואקינטי. טרבקולציות בולטות באפקס של שני החדרים.( ? לCARDIAC NON COMPACTION) המערובות של חדר ימין בולטת. מסתם אורטלי  דו עלי , מעובה. דלף מיטרלי עד בינני. אס"ק טריקוספידלית קלה. אלקטרודת קוצב מימין.</t>
  </si>
  <si>
    <t>חדר שמאלי תקין בגודל והתכווצות גלובלית ואיזורית מופחתת במידה קשה, אקינזיה אפיקלית רחבה, קידמית, וספלית. חדר ימני בגודל תקין והתכווצות תקינה, מסתם אורטלי מעובה עם אי ספיקה קלה , מסתם מיטרלי עם אי ספיקה  קלה, אי ספיקה טירוקספידלית במידה קלה , לחץ דם ריאתי מוגבר במידה קשה, הגדלה קלה של העליה השמאלית. לא הודגם טרומבוס באפקס.</t>
  </si>
  <si>
    <t>חדר שמאלי בגודל תקין, היפרטרופי, התכווצות גלובלית ואיזורית היפרדינמית עם מפל מידונטריקולרי דינמי, חדר  ימני בגודל והתכווצות תקינה, מסתם אורטלי מסוייד, אנולוס מיטרלי מסוייד, דלף מינימלי מיטרלי וטריקספידלי, בהיעדר סיגנל TR לא ניתן להעריך לחץ דם ריאתי, הגדלה של העליה השמאלית והימנית. תפליט פריקרדיאלי קל לבינוני, ללא לחץ על חדר ימין, IVC רחב ללא שינויים נשימתיים וזרימה הפוכה בכבד.</t>
  </si>
  <si>
    <t xml:space="preserve">איכות הדמיה מוגבלת (בעיקר מחלון אפיקלי עם איכות הדמיה נמוכה)   חדר שמאל מורחב במידה קלה, תפקודו הסיסטולי הגלובלי ירוד במידה קלה-בינונית באופן דיפוזי (במגבלות איכות ההדמיה) ,לא ניתן לקבוע תפקוד דיאסטולי, עליות מורחבות במידה קלה   חדר ימין בגודל תקין עם תפקוד סיסטולי שמור, ל"ד ריאתי מוערך מוגבר במידה קלה  מבנה ותפקוד המסתמים תקין </t>
  </si>
  <si>
    <t xml:space="preserve">חדר שמאל בגודל תקין ותפקוד סיסטולי שמור , לא ניתן להעריך לחץ ראתי . חדר ימין מורחב עם תפקוד שמור. עליות מורחבות . אי ספיקה מיטרלית מינימלית. אי ספיקה טריקוספידלית קשה . הלחץ הראתי מוגבר במידה קשה . IVC רחב עם הענות נשימתית נמוכה. נוזל פריקרדיאלי קל עד בינוני . קוצב לב בחללים ימניים </t>
  </si>
  <si>
    <t>בדיקה טכנית קשה , בוצע בשיכבה על הגב  חדר שמאלי בגודל תקין התכווצות גלובלית ואיזורית שמורה , חדר ימני מורחב התכווצות מופחתת במידה קשה, השטחה סיסטולית ודיאסטולית של ספטום בינדחרי כביטוי למעמסת לחץ על חדר ימין, אי ספיקה מיטרלית מינימלית, אי ספיקה טריקספידלית קשה, לחץ דם ריאתי מוגבר במידה קלה, ככל הנריאה תת הערכה בשל FREE TR. עליה השמאלית בגודל תקין.</t>
  </si>
  <si>
    <t>HD/PD</t>
  </si>
  <si>
    <t>HD</t>
  </si>
  <si>
    <t>sbp-numeric result</t>
  </si>
  <si>
    <t>dbp-numeric result</t>
  </si>
  <si>
    <t>hospitalization-count</t>
  </si>
  <si>
    <t>PD</t>
  </si>
  <si>
    <t xml:space="preserve">HD </t>
  </si>
  <si>
    <t>na-numeric result</t>
  </si>
  <si>
    <t>k-numeric result</t>
  </si>
  <si>
    <t>albumin-numeric result</t>
  </si>
  <si>
    <t>hb-numeric result</t>
  </si>
  <si>
    <t>urea-numeric result</t>
  </si>
  <si>
    <t>creatinine-numeric result</t>
  </si>
  <si>
    <t>ca-numeric result</t>
  </si>
  <si>
    <t>p-numeric result</t>
  </si>
  <si>
    <t>ua-numeric result</t>
  </si>
  <si>
    <t>crp-numeric result</t>
  </si>
  <si>
    <t>hba1c-numeric result</t>
  </si>
  <si>
    <t>m/f</t>
  </si>
  <si>
    <t>m</t>
  </si>
  <si>
    <t>f</t>
  </si>
  <si>
    <t xml:space="preserve">m </t>
  </si>
  <si>
    <t>No Value</t>
  </si>
  <si>
    <t>Small</t>
  </si>
  <si>
    <t>Preserved</t>
  </si>
  <si>
    <t>Hypertrophy of interventricular septum</t>
  </si>
  <si>
    <t>Nonsignificant interventricular dyssynchrony Significant left ventricular dyssynchrony (intraventricular)</t>
  </si>
  <si>
    <t>Hypertrophy of LV</t>
  </si>
  <si>
    <t>Normal global left ventricle systolic function. Regional LV dysfunction.</t>
  </si>
  <si>
    <t>C/W LV diastolic dysfunction: Restricitive filling pattern .</t>
  </si>
  <si>
    <t>Hypertrophy of interventricular septum -mild.</t>
  </si>
  <si>
    <t>Hypertrophy of basal interventricular septum</t>
  </si>
  <si>
    <t>Preserved LV systolic function</t>
  </si>
  <si>
    <t>mild Hypertrophy of interventricular septum.</t>
  </si>
  <si>
    <t>Hypertrophy of interventricular septum- mild.</t>
  </si>
  <si>
    <t>Regional LV dysfunction</t>
  </si>
  <si>
    <t>mild hypertrophy of the interventricular septum</t>
  </si>
  <si>
    <t>Hypertrophy of interventricular septum. Nonsignificant interventricular dyssynchrony. Nonsignificant left ventricular dyssynchrony (intraventricular).</t>
  </si>
  <si>
    <t>Paradoxical septal motion consistent with paced rhythm</t>
  </si>
  <si>
    <t>Regional LV dysfunction Hypertrophy of basal interventricular septum C/W LV diastolic dysfunction: impaired relaxation pattern .</t>
  </si>
  <si>
    <t>Hypertrophy of basal interventricular septum Regional LV dysfunction ,localized apical aneurysm</t>
  </si>
  <si>
    <t>Hypertrophy of interventricular septum. Regional LV dysfunction.</t>
  </si>
  <si>
    <t>Hypertrophy of basal interventricular septum Regional LV dysfunction</t>
  </si>
  <si>
    <t>Normal left ventricle structure and global function.</t>
  </si>
  <si>
    <t>Hypertrophy of interventricular septum - mild</t>
  </si>
  <si>
    <t>Normal left ventricle structure and function. Hypertrophy of LV.</t>
  </si>
  <si>
    <t>Hypertrophy of interventricular septum-mild. Regional LV dysfunction.</t>
  </si>
  <si>
    <t>Dilated LV cavity with normal systolic function</t>
  </si>
  <si>
    <t>Nonsignificant interventricular dyssynchrony Nonsignificant left ventricular dyssynchrony (intraventricular)</t>
  </si>
  <si>
    <t>RVH</t>
  </si>
  <si>
    <t>Thickened</t>
  </si>
  <si>
    <t>Not well seen</t>
  </si>
  <si>
    <t>Moderate aortic stenosis</t>
  </si>
  <si>
    <t>Normally functioning bioprosthetic valve in aortic position.</t>
  </si>
  <si>
    <t>Minimal aortic stenosis.</t>
  </si>
  <si>
    <t>Moderate-Severe aortic stenosis</t>
  </si>
  <si>
    <t>S/P Percutaneous aortic valve implantation (Core-valve 29 mm)</t>
  </si>
  <si>
    <t>moderate to sever aortic stenosis.</t>
  </si>
  <si>
    <t>S/P Percutaneous aortic valve implantation. Paravalvular leak.</t>
  </si>
  <si>
    <t>S/P Percutaneous aortic valve implantation.</t>
  </si>
  <si>
    <t>small mobile mass (6mm) on left coronary cusp most consistant with papillary fibroelastoma</t>
  </si>
  <si>
    <t>Thickened and restricted aortic valve Aortic sclerosis without significant stenosis Moderate aortic regurgitation</t>
  </si>
  <si>
    <t>Normally functioning prosthetic valve in aortic position.</t>
  </si>
  <si>
    <t>Calcified aortic valve annulus</t>
  </si>
  <si>
    <t>Mild-moderate aortic stenosis</t>
  </si>
  <si>
    <t>S/P Percutaneous aortic valve implantation. Normally functioning bioprosthetic valve in aortic position.</t>
  </si>
  <si>
    <t>mild to moderate aortic stenosis.</t>
  </si>
  <si>
    <t>Increased gradient on prosthetic AV.</t>
  </si>
  <si>
    <t>Calcified aortic valve with normal opening</t>
  </si>
  <si>
    <t>Severe aortic stenosis</t>
  </si>
  <si>
    <t>Mild-moderate aortic stenosis.</t>
  </si>
  <si>
    <t>Increased gradient on prosthetic AV</t>
  </si>
  <si>
    <t>Thickened aortic valve with restricted leaflet opening Moderate aortic stenosis, mean gradient of 21 mmHg Mild aortic regurgitation</t>
  </si>
  <si>
    <t>severe aortic stenosis</t>
  </si>
  <si>
    <t>Rheumatic</t>
  </si>
  <si>
    <t>Bioprosthetic</t>
  </si>
  <si>
    <t>mitral annular calcification-severe.</t>
  </si>
  <si>
    <t>mitral annular calcification. Moderate mitral stenosis.</t>
  </si>
  <si>
    <t>mitral annular calcification - mild.</t>
  </si>
  <si>
    <t>Moderate to severe mitral annulus calcification.</t>
  </si>
  <si>
    <t>Moderate mitral stenosis.</t>
  </si>
  <si>
    <t>Mitral annulus calcification.</t>
  </si>
  <si>
    <t>Moderate mitral annular calcification.</t>
  </si>
  <si>
    <t>Moderate mitral annular calcification. flail of anterior leaflet of mitral valve.</t>
  </si>
  <si>
    <t>Mitral annular calcification Mild calcific mitral stenosis Moderate mitral regurgitation</t>
  </si>
  <si>
    <t>Mitral annular calcification</t>
  </si>
  <si>
    <t>Normally functioning bioprosthetic artificial valve in mitral position.</t>
  </si>
  <si>
    <t>Mild mitral stenosis.</t>
  </si>
  <si>
    <t>Moderate mitral annular calcification. mild mitral stenosis.</t>
  </si>
  <si>
    <t>S\P Mitral clip.</t>
  </si>
  <si>
    <t>mitral annular calcification</t>
  </si>
  <si>
    <t>Mmitral annular calcification.</t>
  </si>
  <si>
    <t>Severe Mitral Annular calcification</t>
  </si>
  <si>
    <t>S/P Mitral Clip</t>
  </si>
  <si>
    <t>Immobile posterior mitral valve leaflet (tethered)</t>
  </si>
  <si>
    <t>Increased gradient on prosthetic MV</t>
  </si>
  <si>
    <t>Failed Alfieiri repair with partial dehiscence of ring</t>
  </si>
  <si>
    <t>Mild flail of of anterior leaflet of mitral valve.</t>
  </si>
  <si>
    <t>Paravalvular leak. Increased gradient on prosthetic MV.</t>
  </si>
  <si>
    <t>moderate perivalvular prosthetic MV leak</t>
  </si>
  <si>
    <t>Mitral annular calcification - mild stenosis</t>
  </si>
  <si>
    <t>Mitral annular calcification-severe.</t>
  </si>
  <si>
    <t>Mitral annular calcification, normal leaflet opening</t>
  </si>
  <si>
    <t>חדר שמאל בגודל תקין, דפנותיו אינן מעובות, תפקודו הסיסטולי הגלובלי שמור. הפרעה דיאסטולית דרגה 1. עליות מורחבות. מבנה ותפקוד חדר ימין תקין. עלי מסתם אאורטלי מסויידים, דרך המסתם דלף קל והצרות בינונית. טבעת מסתם מיטרלי מסויידת, דרך המסתם דלף קל. דלף טריקוספידלי קל. לא נימדד יתר לחץ דם ריאתי. שורש אאורטה מורחב.</t>
  </si>
  <si>
    <t>חדר שמאלי בגדול תקין עם התכווצות גלובלית ואיזורית תקינה, חדר ימני תקין, עליה שמאלית גדולה מאוד, אי ספיקה מיטרלית בינונית, וטריקוספידלית בינונית קשה, עם יתר לחץ דם ריאתי ניכר. אי ספיקה אורטלית קלה, IVC רחבה עם וריאציה נשימתית מופחתת. תתכן תת הערכה של הדליפה המיטרלית עקב גודל העליה השמאלית ומגבלות הדמיה.</t>
  </si>
  <si>
    <t>חדר שמאלי מורחב ,ספטום היפרטרופי עם תפקוד ירוד במידה בינונית עד קשה , ירידה דיפוזית גלובלית, עלייה שמאלית מורחבת במידה קשה, חדר ימני מורחב עם תפקוד ירוד, עלייה ימנית מורחבת, הודגם אלקטרודת קוצב בחללים ימניים. מסתם מיטרלי מסויד עם דלף בינוני, מסתם אאורטאלי מסויד עם הצירות קשה , ואי ספיקה אאורטלית בינונית - קשה, אי ספיקה טריקוספידלית בינונית, לחץ דם ריאתי מוגבר במידה קשה.</t>
  </si>
  <si>
    <t>בדיקה קשה טכנית, חדר שמאלי בגודל תקין, ההתכווצותו גלובלית ואיזורית תקינה, חדר ימין מורחב, תפקודו ירוד במידה קלה, השטחה דיסאטולית של ספטום בינדחרי כביטוי למעמסתת נםח על חדר ימין, מסתם אוטלי מסוייד, קושי בהערכת מידת ההיצרות, לפחות בינונית, אם כי LVOT קטן מאוד, ולא ניתן למדוד פלנימטריה בשל קושי בהדמיה, הרושם שלי הוא שהחולה ב LOW CO בגלל דליפה טריקספידלית קשה ועל כן חשיוב השטח בנוסחאת ההמשכיות מוגבלת. טבעת מסתם מיטרלי מסויידת, אי ספיקה מיטרלית מינימלית, אי ספיקה טרקוספדלית קשה, לחץ דם ריאתי מוגבר</t>
  </si>
  <si>
    <t>חדר שמאל מורחב במידה קלה, היפרטרופיה קלה, תפקודו הסיסטולי הגלובלי של חדר שמאל תקין, יש דחיקה של הספטום מימין לשמאל (כביטוי ליתר לחץ דם ריאתי) תבנית המילוי פסאודונורמלית חדר ימין מורחב, תפקודו ירוד במידה קלה-בינונית, מסתם אורטלי מסוייד עם דלף מזערי מסתם מיטרלי לאחר תיקון עם קליפ, יש דלף מיטרלי קשה, אקסנטרי מדיאלי קדמי, עם מפל לחצים מעט מוגבר על המסתם דלף טריקוספידלי קל לחץ דם ריאתי מוערך מוגבר במידה קשה הרחבה בינונית של העליה השמאלית</t>
  </si>
  <si>
    <t>בשכיבה על הגב, עםCPAP, חדר שמאל תקין בגודלו ותיפקודו, דפנותיו מעובים, חדר ימין תקין בגודלו ותיפקודו, עליה שמאלית מורחבת, בעמדה אורטלית מסתם תותב מפל תקין עם אי ספיקה קלה, טבעת מסתם מיטרלי מסויידת, אי ספיקה מיטרלית קלה טריקוספידליתקה עד בינונית, לחץ ריאתי מוגבר במידה בינונית,IVC מורחב עם תמת, תבנית מילוי רסטרקטיבית.</t>
  </si>
  <si>
    <t>חדר שמאל בגודל תקין, היפרטרופיה קלה, תפקודו הגלובלי מופחת במידה קלה, אקינזיה אחורית אינפריורית שלא הודגמה בבדיקה קודמת מ-6.2017, תבנית המילוי מתאימה להפרעה בהרפיה, חדר ימין בגודל ותפקוד תקין, הרחבה קלה של עליה שמאלית, מסתם אאורטלי מסוייד, פתיחתו מוגבלת, שטח מסתם מתאים להיצרות בינונית, הסתידות בטבעת המסתם המיטרלי, אי ספיקה מיטרלית קלה, אי ספיקה טריקוספידלית מינימלית, לחץ דם ראתי תקין</t>
  </si>
  <si>
    <t>עליה שמאלית מורחבת. חדר ימין תקין. חדר שמאל מורחב עם תפקוד גלובלי ירוד במדיה בינונית עד קשה , דיקינזיה אינפרו בזלית, אקיזניה אחוירת, ספטום בזלי, אפקילית, היפוקיזניה דיפוזית. מסתם אורטלי מעובה. דלף אורטלי מינימלי. אס"ק מיטרלית קלה. הפרעה ברלקסציה. בדיקת סינכרוניזציה: חדר ימין מתכווץ 15 מילישניות אחרי חדר שמאל (לא משמעותי) YU INDEX=39 ( משמעותי) BAX INDEX= 70 ) משמעותי) הקיר הלטרלי מתכווץ אחרון.</t>
  </si>
  <si>
    <t>חדר שמאל בגודל תקין , היפרטרופיה קלה, תפקודו הגלובלי שמור, השטחה של הספטום הבין חדרי כביטוי לעומס מימין, חדר ימין מורחב במידה קלה תפקודו מופחת במידה בינונית, הרחבה של עליה שמאלית וימנית, מסתם אאורטלי תותב עם תפקוד תקין , אי ספיקה מיטרלית בינונית, אי ספיקה טריקוספידלית בינונית-קשה, אלקטרודת קוצב בחדר ימין, לחץ דם ראתי מוגבר במידה קשה, IVC מורחב ללא שינוי נשימתי, אלקטרודת קוצב בחדר ימין.</t>
  </si>
  <si>
    <t>החדר השמאלי הפרטרופי, התכווצותו הכללית תקינה. החדר הימני איננו מורחב, עם תפקוד שמור. הפרוזדורים מורחבים במידה בינונית (שטח פרוזדור ימני 29 סמ"ר). מסתם אאורטלי תותב ביולוגי עם תפקוד תקין. מסתם מיטרלי מעובה. אי ספיקה מיטרלית עד בינונית. אי ספיקה טריקוספידלית בינונית קשה. הלחץ הריאתי מוגבר במידה קשה. האאורטה העולה מורחבת 52 מ"מ. הודגמה טרשת קשה בקשת ובאאורטה היורדת (ללא אלמנטים מוביליים). לא נמצאו וגטציות.</t>
  </si>
  <si>
    <t>הדמיה חלקית, טכנית מוגבלת. חדר שמאל חלל קטן, תיפקודו הגלובלי תקין. חדר ימין תקין, מסתם אורטלי מסוייד עם היצרות בינונית. מסתם מיטרלי עם פתיחה כיפתית ללא מפל מוגבר על פניו, במיגבלת ההדמיה ללא דלף מיטרלי וטריקפסידלי, לא ניתן להעירך לחץ דם ריאתי. תפליט פלואורלי דו"צ.</t>
  </si>
  <si>
    <t>חדר שמאל ברוחב תקין, תפקודו הגלובלי שמור עם אקינזיה אינפריורית. חדר ימין בגודל תקין. המסתם ההאורטלי מסוייד עם פתיחה תקינה. האנולוס המיטרלי מסוייד עלי המסתם מסויידים עם דליפה בחומרה בינונית עד קשה ומפל קטן . דליפה טריקוספידלית קלה, עדות ליתר לחץ דם ריאתי קל. עליות מורחבות.</t>
  </si>
  <si>
    <t>חדר שמאלי בגודל והתכווצות גלובלית ואיזורית תקינה. חדר ימני בגודל והתכווצות תקינה. עליות תקינות. אי ספיקה מיטרלית קלה. אי ספיקה טריקוספידלית קלה-בינונית. לחץ דם ראתי מוגבר. ללא קרישי דם בעליה ואוזנית עליה שמאל. בוצעו מדידות של האוזנית במנחים שונים</t>
  </si>
  <si>
    <t>חדר שמאל עם חלל בגודל תקין, הספטום מעובה במידה בינונית, תפקודו הסיסטולי הגלובלי של חדר שמאל שמור עם אקינזיה אחורית ולטראלית, לא ניתן לקבוע תפקוד דיאסטולי , עליה שמאל מורחבת במידה בינונית חדר ימין מורחב (בעיקר איזור האנולוס) עם תפקוד תקין, ל"ד ריאתי מוערך מוגבר במידה בינונית עד קשה מסתם אאורטלי מסוייד ללא דלף או הצרות, תותב מכאני בעמדה מיטראלית עם תפקוד תקין, מודגם דלף טריקוספידלי בינוני (תתכן תת הערכה כי אנולוס טריקוספידלי מורחב במידה ניכרת) הודגם נוזל פלאוראלי.</t>
  </si>
  <si>
    <t>חדר שמאלי בגודל תקין, דפנותיו מעובים בינוני. התכווצות גלובלית ואיזורית תקינה. עליה שמאל מוגדלת בינוני. חדר ימני בגודל והתכווצות תקינה, עליה ימין מוגדלת קל. מסתם אורטלי מסוייד עם הצרות בינונית. אי ספיקה אאורטלית בחומרה קלה לבינונית עקב חוסר קואפטציה של העלים. טבעת המסתם המיטרלי מסויידת בחומרה קשה, אי ספיקה מיטרלית בינונית, אי ספיקה טריקוספידלית קלה, לחץ דם ריאתי מוערך מוגבר במידה קשה. הרחבה קלה של אאורטה בשורש ובחלקה העולה.</t>
  </si>
  <si>
    <t>חדר שמאלי בגודל תקין, התכווצות גלובלית ירודה במידה קשה, חדר ימני בגודל והתכווצות תקינה, מסתם אורטלי מסוייד, הצרות קשה, אי ספיקה מיטרלית וטריקוספידלית קלה, הלחץ הריאתי מוגבר במדה קלה, הגדלה קלה של העליה השמאלית. הודגם תפליט פלאורלי דו צדדי.</t>
  </si>
  <si>
    <t>בדיקה באיכות טכנית ירודה ביותר לא אבחנתית. חדר שמאל ברוחב צתקין . רושם של הפרעה אזורית ספטו אפיקלי ואינפרו פוסטרירורית.קשה להתרשם מהתפקוד הגלובלי טבעת מיטרלית מסויידת.</t>
  </si>
  <si>
    <t>חדר שמאל מורחב, ספטום היפרטרופי, התכווצותו הגלובלית שמורה, אקינזיה אינפרו ופוסטרובזאלית (צלקת), חדר ימין מורחב עם תפקוד מופחת במידה קלה, הרחבה בינונית של עליה שמאלית, הרחבה של עליה ימנית, מסתם אאורטלי מסוייד עם דלף מינימלי, טבעת המסתם מיטרלית מסויידת, אי ספיקה מיטרלית בינונית עד קשה, רטרקציה של העלה האחורי, אי ספיקה טריקוספידלית קשה, לחץ דם ריאתי מוגבר במידה קשה. אלקטרודת קוצב בחללי הלב הימניים.</t>
  </si>
  <si>
    <t>חדר שמאלי בגודל והתכווצות גלובלית ואיזורית תקינה, תבנית המילוי פסוידו-תקינה, חדר ימני בגודל והתכווצות תקינה, מסתם אורטלי מסוייד עם היצרות מינימלית, דלף אורטלי מינימלי, טבעת המסתם המיטרלי מסויידת , מסתם מיטרלי מעובה , דלף מיטרלי קל ,דלף טריקוספידלי קל, אין עדות ליתר לחץ דם ריאתי, הגדלה של העליה השמאלית.</t>
  </si>
  <si>
    <t>חדר שמאלי בגודל והתכווצות גלובלית ואיזורית תקינה, היפרטרופי, חדר ימין מורחב עם ירידה בינונית לקשה בתיפקודו, ישנה השטחה סיסטולית של ספטום בינחדרי כביטוי למעמסת לחץ על חדר ימין, מסתם אורלי מעובה, מסתם מיטרלי מסוייד, דליפה קלה לבינונית של מסתם מיטרלי וטריקספידלי, עדות ליתר לחץ דם ריאתי קל, הגדלה בינונית של העליה השמאלית. הגדלה של עליה ימין. יכול להתאים ללחצי מילוי גבוהים של חדר שמאל.</t>
  </si>
  <si>
    <t>חדר שמאלי מורחב, התכווצותו הגלבולית שמורה, דופנותיו מעובים במידה קלה, חדר ימני תקן בגודלו ובתפקודו. טבעת מסתם מיטרלי מסוידת, פתיחה תקינה. אי ספיקה מיטרלית מינימלית, טריקוספידאלית מינימלית. לחץ ריאתי תקין, עליה שמאלית מורחבת במידה בינונית. עליה ימנית מורחבת במידה קלה.</t>
  </si>
  <si>
    <t>חדר שמאלי בגודל תקין, היפרטרופי עם התכווצות גלובלית ירודה במידה קשה - ירידה לעומת בדיקה קודמת, חדר ימין תקין, מסתם אורטלי מעובה ומסוייד עם היצרות בינונית לקשה - יתכן PSEUDO SEVERE AS משני לירידה בתיפקוד חדר שמאל, מסתם מיטרלי מעובה ומסוייד, אנולוס מסוייד, דלף קל לבינוני והיצרות בינונית, דלף טריקספידלי בינוני לקשה, עדות ליתר לחץ דם ריאתי קשה, הגדלה בינונית של העליה השמאלית. תפליט פריקרדיאלי קטן, תפליט פלואורלי.</t>
  </si>
  <si>
    <t>חדר שמאל מורחב, היפרטרופי, תפקודו הגלובלי שמור עם היפוקינזיה אינפרובזלית ופסטרולטרלית.. חדר ימין בגודל ובתפקוד תקין. המסתם האאורטלי מסוייד קלות, פתיחתו תקינה. האנולוס המיטרלי מסוייד קלות, דליפה מיטרלית מינימלית, דליפה טריקוספידלית מינימלית, עדות ליתר לחץ דם ריאתי בחומרה בינונית. עליה שמאלית מורחבת .</t>
  </si>
  <si>
    <t>הרחבה של אורטה העולה. עליה שמאלית מורחבת. חדר ימין תקין. חדר שמאל ברוחב תקיקן עם תפקוד גלובלי ירוד במדיה קשה. אקיזניה יד ספטלית, מידאנטריוריראת וןמיד אינפריורית, אקינזיה אפיקלית. מסתם אורטלי תותב ביולוגי עם מפל לחצים תקין על פניו. הסתיידות קשה של הטבעת המיטרלית, מסתם מיטרלי מעובה ומסויד, מפל מיטרלי קטן, דלף מיטרלי קשה אקצנטרי לכיוון קידמי ספטלי. אס"ק טריקוספידלית קלה עד בינונית. יל"ד ריאתי קשה.</t>
  </si>
  <si>
    <t>בדיקה מעט קשה טכנית. חדר שמאלי ברוחב תקין, היפרטרופי קל, תפקודו הגלובלי והאזורי הפרדינמי EF-65%. הפרעה ברלקסציה של חדר שמאלי. הפרעה דיאסטולית קלה-בינונית לפי שילוב הפרמטרים. מפל לחצים במוצא חדר שמאלי - במנוחה כ 12 ממ"כ, בולסלווה מתגבר עד 34 ממ"כ. חדר ימין ברוחב ותפקוד שמור. פרוזדורים ברוחב תקין. הודגם דלף אאורטלי קל-בינוני. דלף מיטרלי קל מאוד. דלף טריקוספידלי מינימלי. לחץ ריאתי מוערך כתקין.</t>
  </si>
  <si>
    <t>חדר שמאלי בגודל תקין תפקודו הגלולבי הסיסטולי מופחת במידה קלה-בינונית באופן דיפוזי. חדר ימין בגודל תקן תפקודו שמור. הרחבה של עליה שמאלית במידה קלה. מסתם אאורטלי מסוייד מפתחו מוגבל הצרות בינונית של המסתם עם דלף מנימלי, מסתם מיטרלי מעבוה וסקלרוטי עם דלף קל-בינוני דרכו , מסתם טריקוספידלי עם דלף קל , לחץ דם ראתי סיסטולי מוערך כמוגבר במידה בינונית. וריד נבוב תחתון מורחב לקות ואינו עובר תמט נשימתי הולם , ללא תפליט פריקרדיאלי. ללא הרחבה של אאורטה עולה או שורש האאורטה.</t>
  </si>
  <si>
    <t>חדר שמאל בגודל תקין, התכווצותו הגלובלית מופחתת במידה קלה, עם אקינזיה פוסטריורית ואינפרובזלית,.תבנית המלוי פסאודונורמלית.עליה שמאל מורחבת במידה קלה. חדר ימין תקין בגודל ותפקוד תקינים עם ל"ד ריאתי מוגבר במידה בינונית. מסתם אאורטלי לאחר TAVI,הודגם דלף פרא-וולוולריבחומרה קלה עד בינונית (קשה להעריך באופן מדוייק מאחר וקשה לראות כמה מהיקף הטבעת תופס הדלף, תתכן תת הערכה). הודגמה אי ספיקה מיטרלית קלה עד בינונית, ואי ספיקה טריקוספידלית קלה עד בינונית.</t>
  </si>
  <si>
    <t>חדר שמאלי מורחב קל, התכווצות גלובלית מופחתת בחומרה קשה, היפוקינזיה קשה של סגמנטים בזלים, השאר אקינטי. עליה שמאל מוגדלת בינוני. חדר ימני מורחב קל והתכווצותן מופחתת בחומרה קשה. עליה ימין לא מוגדלת. מסתם אורטלי מסוייד קלות, תפקודו תקין. טבעת מסתם מיטרלי מסויידת קל, אי ספיקה מיטרלית קלה, אי ספיקה טריקוספדלית קלה, לחץ דם ריאתי מוגבר במידה בינונית. IVC רחב וללא תמט נשימתי, כביטויי ללחץ ורידי מרכזי מוגבר.</t>
  </si>
  <si>
    <t>חדר שמאל מורחב במידה בינונית, התכווצותו הגלובלית ירודה במידה קשה (ראה פיזור אזורי בתרשים מצ"ב). נצפה SEC בחדר שמאל. עליה שמאלית מורחבת במידה בינונית. חדר ימני בגודל תקין והתכווצותו תקינה. עליה ימנית מורחבת במידה קלה. הודגם קוצב בחללי הלב הימניים. מסתם אוראלי מסוייד עם דליפה קלה. טבעת מסתם מיטרלי מסוידת, אי ספיקה מיטרלית וטריקוספידלית קלה, לחץ דם ריאתי מוגבר במידה בינונית, אאורטה עולה מורחבת (שורש האורטה וחלקה עולה הקריבני).</t>
  </si>
  <si>
    <t>הנבדק מונשם. איכות הדמיה בינונית. חדר שמאלי ברוחב תקין, דפנותיו בעובי תקין, התכווצות גלובלית תקינה, רושם להיפוקינזיה של דופן תחתונה, במגבלות ההדמיה. חדר ימין ברוחב ותפקוד תקין.פרוזדורים ברוחב תקין. מסתם אאורטלי מסוייד במידה קשה, שטח מסתם מחושב מעיד על הצרות קשה, אולם מפל לחצים ו VTI ratio אינם תומכים בהצרות קשה, כל זאת בנוכחות נפח פעימה נמוך. לסיכום: הצרות אאורטלית בינונית לקשה. טבעת מסתם מיטרלי מסויידת במידה קשה ובעטיה מפל לחצים מוגבר במילוי חדר שמאל, דלף מטראלי קל לבינוני. הודגם דלף טרי</t>
  </si>
  <si>
    <t>חדר שמאלי בגודל תקין, היפרטרופי, התכווצותו הגלובלית והאיזורית תקינה, חדר ימני מעט מורחב, היפרטרופי, התכווצותו ירודה במידה בינונית, מסתם אורטלי תותב ביולוגי, לאחר TAVI מתפקד היטב, דלף קל פאראולוולרי, ישנה מלאות ריקמתית מסביב למסתם שמעלה שאלה של אבצס, אין בידי בדיקה להשוואה, יש מקום לשקול הדמיה נוספת ב CT או TEE. אי ספיקה מיטרלית קלה, אי ספיקה טריקוספידלית קלה, אין עדות ליתר לחץ דם ריאתי, הגדלה קלה של העליה השמאלית, הגדלה של העליה הימנית. הודגמה אלקטרודת קוצב בחללים הימניים. תפליט פריקרדיאלי קט</t>
  </si>
  <si>
    <t>חדר שמאל מורחב במידה בינונית, מעט היפרטרופי, ההתכווצותו הגלובלית ירודה במידה קשה, דיסקינזיה אינפרובזלית, אקיזניה אינפרו-פוסטריורית, אקינזיה לטרו-בזלית, אקינזיה ספטו-בזלית, שאר הדפנות היפוקינטיות, תבנית מילוי רסטריקטיבית, עליות מורחבות במידה קלה, מסתם אורטלי תותב ביולוגי עם תפקוד תקין, אי ספיקה אאורטלית מינימלית, אי ספיקה מיטרלית בינונית, אי ספיקה טריקוספידלית קשה, חדר ימין מורחב , תפקודו מופחת, לחץ דם ריאתי מוגבר במידה בינונית, אורטה עולה מעט מורחבת, הודגמה מיימת.</t>
  </si>
  <si>
    <t>חדר שמאלי בגודל והתכווצות גלובלית ואיזורית תקינה, חדר ימין תקין בגודל ותפקוד, מסתם אורטלי מסוייד ללא הצרות, אי ספיקה אורטלית מינימלית, טבעת המסתם המיטרלי מסויידת, אי ספיקה מיטרלית מינימלית, אי ספיקה טריקוספידלית מינימלית, לחץ דם ריאתי מוגבר גבולי, עליות גבוליות בגודלן.</t>
  </si>
  <si>
    <t>חדר שמאל בגודל תקין , ספטום מעובה במידה קלה, תפקודו הסיסטולי הגלובלי תקין. חדר ימין מורחב עם תפקוד מעט ירוד. עליות מוגדלות. מסתם אורטלי עם עלים מסוידים, פתיחה מוגבלת ןצפלים מוגברים מעט מלווה באי ספיקה מינימלית. מסתם מיטרלי עם עלים מעובים ומסוידים, הצרות בינונית ואי ספיקה קלה עד בינונית. מסתם טריקוספידלי ידוע עם אי ספיקה טריקוספידלית. וריד נבוב תחתון רחב עם הענות חרודה. לחץ ריאתי מוגבר במידה קשה.</t>
  </si>
  <si>
    <t>חדר שמאלי מורחב במידה קלה, והתכווצות גלובלית ירודה במידה בינונית ע"ח אקינזיה אחורית ותחתונה, חדר ימני בגודל והתכווצות תקינה, מסתם אורטלי מסוייד עם היצרות קלה על פניו, אי ספיקה אורטלית קלה, אי ספיקה מיטרלית קלה, אי ספיקה טריקוספדלית קלה, אין עדות ליתר לחץ דם ריאתי, הגדלה קלה של העליה השמאלית.</t>
  </si>
  <si>
    <t>חדר שמאלי ברוחב תקין, עובי דפנותיו בגבול הנורמה, תפקודו הגלובלי מופחת במידה בינונית-קשה. הודגמה אקינזיה אנטרוספטלית ואנפרואפיקלית (ראה פיזור אזורי). חדר ימין ברוחב ותפקוד תקין. פרוזדורים מורחבים. אנולוס מיטרלי מסוייד, דלף מיטרלי קל, מסתם אאורטלי מעט מסוייד, ללא הפרעה המודינמית. הודגם דלף טריקוספידלי בינוני, לחץ ריאתי מוגבר בינונית.</t>
  </si>
  <si>
    <t>חדר שמאל מורחב, התכוצותו ירודה במידה בינונית-קשה. היפרטרופיה קלה. חדר ימני בגודל תקין, התכוצותו שמורה. שתי עליות מורחבות. אלקטרודת קוצב בחדר ועליה ימניים. מסתם מיטרלי מסוייד, אי ספיקה מיטרלית קלה-בינונית, אס"ק טריקספידלית בינונית, מסתם אאורטלי מסוייד, אי ספיקה אאורטלית קלה יתר ל.ד ראתי קל.</t>
  </si>
  <si>
    <t>חדר שמאל בגודל תקין דפנותיו מעובות התכוצותו הגלובלית תקינה. חדר ימין בגודל ותפקוד תקין. עליה שמאלית מורחבת במידה בינונית. מסתם מיטרלי טבעתו מסוידת עם דלף בינוני. אי ספיקה טריקוספדלית קלה עד בינונית. לחץ דם ריאתי מוגבר במידהקלה הפרעה דיסאטולית דרגה III.</t>
  </si>
  <si>
    <t>קוטר חדר שמאל בגבול עליון של נורמה, עיבוי קל של מחיצה בין חדרית, התכווצות מופחתת בינוני עקב היפוקינזה גלובלית, ללא הבדל ניכר בין סגמנטים שונים. עליה שמאל מוגדלת בינוני. חדר ימין בגודל תקין, התכווצותו מופחתת קל, עליה ימין מוגדלת קל. בעמדה אאורטלית מסתם תותב ביולוגי, לאחר TAVI, תקין, דליפה מזערית וולולרית ופרהוולוולרית. עלי מסתם מטראלי מעובים, מסויידים, קצוותיהם נפתחים, הצרות בינונית, אי ספיקה בחומרה בינונית ב TTE, וב TEE א"ס קלה, כצפוי ב TEE חומרה פחתה. מסתם טריקספידלי תקין במבנהו ודרכו א"</t>
  </si>
  <si>
    <t>חדר שמאלי בגודל תקין, תפקודו הגלובלי שמור, היפוקינזיה ספטלית, תבנית המילוי מתאימה להפרעה ברילקסציה, חדר ימני בגודל והתכווצות תקינה, מסתם אוטרלי מסויד ללא דלף או הצירות, דלף מיטרלי קל,דלף טריקוספידלי קל, לחץ דם ריאתי תקין , עליות בגודל תקין</t>
  </si>
  <si>
    <t>חדר שמאלי ברוחב תקין, דפנותיו בעובי תקין, תפקודו הגלובלי תקין, תבנית המילוי פסאודונורמאלית, חדר ימין ברוחב ותפקוד תקין. פרוזדורים מורחבים. מסתם אאורטלי מעט מסויד, פתיחתו טובה, דלף אאורטלי קל. אנולוס מיטרלי מסויד, דלף מיטרלי בינוני, דלף טריקוספידלי קל- בינוני, לחץ ריאתי מוגבר במידה בינונית. הודגם תפליט פריקרדיאלי מינימלי</t>
  </si>
  <si>
    <t>חדר שמאל מורחב במידה קלה, תפקודו הגלובלי מופחת במידה בינונית, אקינזיה אחורית אינפריורית , אנטרו ולטרואפיקלית, חדר ימין בגודל ותפקוד תקין , עליה שמאלית לא מורחבת, אי ספיקה אאורטלית קלה, אי ספיקה מיטרלית וטריקוספידלית קלה, לחץ דם ראת מוגבר במידה קלה, אלקטרודת קוצב בחדר ימין</t>
  </si>
  <si>
    <t>חדר שמאלי בגודל תקין, התכווצותו הגלובלית תקינה, אקינזיה אינפרו-באזלית, ספטום באזלי מעובה, העליה השמאלית בגודל תקין, האוזנית והורידים הפולמונריים נקיים, הודגמה אלקטרודת קוצב בחללים הימניים, המחיצה בין עלייתית ללא פגם, המסתם המיטרלי עדין עם עיבוי קל בקורדה טנדינאי, אין עדות לוגטציות בארבעת המסתמים, אי ספיקה מיטרלית קלה עד בינונית, אי ספיקה טריקוספידלית קלה, האורטה העולה והיורדת ברוחב תקין, עם אטרומות דרגה 1 באורטה היורדת.</t>
  </si>
  <si>
    <t>חדר שמאל מורחב במידה קלה, תפקודו הגלובלי מופחת במידה קשה (ראה פיזור איזורי), חדר ימין מורחב תפקודו שמור, הרחבה של עליה שמאלית וימנית, מסתם אאורטלי מסוייד, היצרות אאורטלית קשה, הסתידות בינונית בטבעת המסתם המיטרלי, אי ספיקה מיטרלית קלה-בינונית, אי ספיקה טריקוספידלית בינונית, לחץ דם ראתי מוגבר במידה קשה, אלקטרודת קוצב בחדר ימין .</t>
  </si>
  <si>
    <t>קשה טכני, ליד מיטת החולה. חדר שמאל מורחב במידה קשה התכווצותו הגלובלית ירודה במידה קשה,עם אקינזיה אפיקלית נרחבת, ספטאלית , תחתונה ומיד-אנטריורית. תבנית המילוי הדיאסטולי מתאימה להפרעה ברלקסציה, עליה שמאל מורחבת במידה בינונית. חדר ימין בגודל ותפקוד תקינים עם ל"ד ריאתי מוגבר במידה קלה. מסתם אאורטלי במבנה ותפקוד תקינים עם דלף מינימלי, דלף מיטראלי קל עד בינוני, דלף טריקוספידלי מינימלי. אחקטרודות קוצב בחללים הימניים.</t>
  </si>
  <si>
    <t>חדר שמאלי בגודל תקין, התכווצות גלובלית ירודה במידה קשה, אקינזיה אפיקלית, היפוקינזיה ספטלית, תבנית המילוי פסאודונורמאלית, חדר ימני מורחב במידה קלה התכווצות תקינה, מסתם אורטלי מסוייד ללא הצרות, אי ספיקה מיטרלית קלה, אי ספיקה טריקוספידלית בינונית , לחץ דם ריאתי מוגבר במידה קשה, הגדלה קלה של העליה השמאלית וימנית, אלקטרודת קוצב בחדר ימין .</t>
  </si>
  <si>
    <t>חדר שמאלי בגודל תקין, עיבוי קל של מחיצה בין חדרית, דפנות אינן דקות. התכווצות גלובלית מופחת במידה קשה. הרוב אקינטי למעט היפוקינזיה קשה של חלקים בזלים וחלקים אמצעיים של דופן אחורית וצדדית. עליה שמאל מוגדלת בינוני. חדר ימני מורחב התכווצותו מופחתת במידה קשה, עליה ימין מוגדלת קל. עלי מסתם אאורטלי מעובים קל, דרכם אי ספיקה קלה. עלי מסתם אאורטלי מעובים קל ומסויידים, דרכם אי ספיקה בינונית עם סילון אקסצנטרי בעל נטיה מדיאלית. אי ספיקה טרקיוספידלית קלה לבינונית, לחץ דם ריאתי מוגבר במידה בינונית.</t>
  </si>
  <si>
    <t>חדר שמאל תקין בגודלו ותיפקודו, ספטום מעובה במידה קלה. חדר ימין מורחב והיפוקינטי,הודגמה השטחה של ספטום בין חדרי (צורת D בדיאסטולה) עליות מורחבות - השמאלית במידה קלה והימנית במידה בינונית. בעמדה אורטלית מסתם תותב TAVI עם מפל 15/7 תקין. טבעת מסתם מיטרלי מסויידת עם מםל קטן 8/3 . אי ספיקה מיטרלית קלה מאד טריקוספידלית קלה+, לחץ ריאתי מוגבר במידה קשה מאד 103 ממ"כ. IVC מורחב ללא תמט. הפרעה דיאסטולית קלה-בינונית. נוזל פריקרדיאלי בכמות קטנה+ ללא סימני לחץ (ללא שינוי משמעותי מ 8.5.13 ).</t>
  </si>
  <si>
    <t>חדר שמאל בגודל תקין, הפרטרופי , התכווצות גלובלית תקינה, עליה שמאלית מורחבת במידה בינונית, חדר ימני תקין בגודל ותיפקוד, טבעת מסתם מיטרלי מסויד, מסתם מיטרלי מסויד אי ספיקה מיטרלית בינונית, מסתם אאורטלי מסויד, א ספיקה טריקוספידלית בינונית, לחץ דם ריאתי מגבר במידה קשה.</t>
  </si>
  <si>
    <t>חדר שמאלי מורחב בינונית, הפרטרופי בינונית, תפקודו הגלובלי שמור, הפחתה של הספטום. חדר ימין מורחב ומופחת בינוננית בתפקודו. פרוזדור שמאלי מורחב במידה קשה, מפרוזדור ימני מורחב בינונית. שורש האאורטה והאאורטה העולה מורחבים, קשת האאורטה ברוחב תקין. אנולוס מיטרלי מסוייד, מסתם מיטרלי סקלרוטי עם FLAIL צשל העלה הקידמי. דלף מיטרלי קשה. מסתם אאורטלי מסוייד, מוצר, שטח מחושב כ 1.4 סמ"ר, דלף קל. מסתם טריקוספידלי לאחר תקיון, הודגם דלף בינוני, לחץ ריאתי מוגבר במידה קשה IVC מורחב כמעט ללא תמט. הודגמה מיי</t>
  </si>
  <si>
    <t>חדר שמאלי בגודל תקין, ספטום היפרטרופי, התכווצותו הגלובלית ואיזורית תקינה, דחיקה ספטלית כסימן לעומס מימין. בכמה פעימות רושם של SEPTAL BOUNCE, חדר ימני מורחב תפקודו מופחת במידה בינונית, מסתם אורטלי מעובה, טבעת המסתם המיטרלי מעט מסויידת, אי ספיקה מיטרלית קלה, אי ספיקה טריקוספידלית בינונת , לחץ דם ריאתי מוגבר במידה קשה, הגדלה קלה של העליה השמאלית, הגדלה של העליה הימנית. מיימת. תבנית מילוי רסטריקטיבית בTDI מהירויות נמוכות. קרדיומיופטיה רסטריקטיבית?</t>
  </si>
  <si>
    <t>חדר שמאלי מורחב, היפרטרופי, התכווצות גלובלית ירודה במידה קשה, אקינזיה תחתונה אחורית ספטלית, חדר ימני מורחב עם ירידה קלה בהתכווצות, אלקטרודת קוצב בחללים ימניים, מסתם אורטלי מסוייד עם היצרות קלה, מסתם מיטרלי מסוייד, אנולוס מסוייד, דלף קל, דלף קל לבינוני של טריקספיד, עדות ליתר לחץ דם ריאתי בינוני, הגדלה קשה של העליה השמאלית. הגדלה של עליה ימין. מתאים ללחצי מילוי גבוהים של חדר שמאל.</t>
  </si>
  <si>
    <t>בדיקה בשכיבה על גב.איכות הדמיה מוגבלת חדר שמאל מורחב במידה קלה עד בינונית (ביחס לBSA), תפקודו הסיסטולי הגלובלי מופחת במידה בינונית עם אנאוריזמה אחורית ותחתונה בזאלית ואקינזיה אינפרוספטאלית ומיד אינפריורית, היפוקינזיה אנטרוספטאלית (ראה תרשים , לציין קיר לטראלי לא מודגם היטב) . תבנית המילוי הדיאסטולי פסאודונורמלית , עליה שמאל מורחבת במידה קלה חדר ימין בגודל תקין עם תפקוד סיסטולי שמור, ל"ד ריאתי מוערך מוגבר במידה קשה . מסתם אאורטלי מעט מעובה ללא דלף או הצרות , מסתם מיטראלי עם TETHERING של ע</t>
  </si>
  <si>
    <t>חדר שמאלי בגודל תקין תפקודו הגלובלי הסיסטולי תקין ללא הפרעהאזורית תבנת מילוי דיאסטולי מתאימה להפרעה בהרפי. חדר ימין בגודל ותפקוד תקינים עליה שמאלית ברוחב תקין מסתם אאורטלי מסוייד עם דלף מנימלי ללא הצרות מסתם מטרלי עם טבעת מסויידת דרכו דלף קל מסתם טריקוספידלי עם דלף מנימלי לא ניתן לקבוע לחץ דם ראתי סיסטולי בהעדר סגנל TR מספק ללא תפליט פריקרדיאלי אאורטה עולה לא מודגמת היבט , שורש האאורטה ברוחב תקין</t>
  </si>
  <si>
    <t>חדר שמאלי מורחב עם התכווצות גלובלית מופחתת במידה בינונית קשה, תבנית מילוי רסטריקטיבית, חדר ימני תקין, מסתם אורטלי מסויד עם התכות קשה, אי ספיקה מיטרלית וטריקוסםידלית קלה עם יתר לחץ דם ריאתי קל. תפליט פריקרדיאלי קטן ולאורלי דו צדדי.</t>
  </si>
  <si>
    <t>בדיקה בוצעה בזמן הפרעות קצב - פרפרו פרוזדורים ו- VPB'S. חדר שמאלי בגודל והתכווצות גלובלית ואיזורית תקינה, עיבוי קל של הספטום. חדר ימני בגודל והתכווצות תקינה, מסתם אורטלי מסוייד עם הצרות קשה ודליפה קלה, מסתם מיטרלי לאחר תיקון עם מפל לחצים תקין על פניו, ודליפה קלה, אי ספיקה טריקוספידלית קלה, אין עדות ליתר לחץ דם ריאתי, הגדלה של העליה השמאלית והרחבה קלה של האאורטה העולה.</t>
  </si>
  <si>
    <t>חדר שמאל מורחב במידה קלה, היפרטרופיה קלה, תפקודו הגלובלי מופחת במידה בינונית-קשה, אקינזיה אחורית אינפריורית ולטרלית, סגמנט אינפרובזאלי אנאוריזמטי, תבנית המילוי פסאודונורמאלית, חדר ימין בגודל ותפקוד תקין , הרחבה של עליה שמאלית, מסתם אאורטלי מסוייד, אי ספיקה אאורטלית מינימלית , אי ספיקה מיטרלית וטריקוספידלית קלה, לחץ דם ראתי מוגבר במידה בינונית, אלקטרודת קוצב בחדר ימין</t>
  </si>
  <si>
    <t>חדר שמאל מורחב במידה קשה עם תפקוד מופחת במידה קשה, אקינזיה אינפרו פוסטרו לטרלי והיפוקינזיה של השאר ,חדר ימני מורחב עם תפקוד מופחת במידה בינונית,מסתם אורטלי תותב ביולווגי עם מפל לחצים תקין על פניו ודלף פרה וולוולרי קל עד בינוני, דלף מיטרלי קשה, עקב רסטריקציה של העלה האחורי, דלף טריקוספידלי בינוני, לח"ד ריאתי מוגבר במידה קלה( תתכן תת הערכה), IVC רחב ללא הענות נשימתית, עליות מוןרחבות, אלקטרודת קוצב בחללים ימניים,</t>
  </si>
  <si>
    <t>בדיקה בוצעה בפרפור פרוזדורים. חדר שמאלי בגודל תקין, ספטום מעובה במידה בינונית,תפקודו הסיסטולי הגלובלי שמור,מודגמת דיסקנזיה אינפרובאזלית,אקינזיה ספטובזאלית ופוסטרובזאלית. לא ניתן לקבוע תפקוד דיאסטולי. עליה שמאלית מורחבת במידה בינונית.חדר ימני בגודל והתכווצות תקינה, מסתם אורטלי מסוייד, דרכו אי ספיקה מנימלית , ללא הצרות, אי ספיקה מיטרלית קלה , אי ספיקה טריקוספידלית קלה עד בינונית, לחץ דם ריאתי מוגבר במידה קשה. IVC מורחב ואינו עובר תמט נשימתי באינספיריום. ללא עדות לתפליט פריקרדיאלי.</t>
  </si>
  <si>
    <t>חדר שמאלי מורחב במידה קלה, דפנותיו מעובים במידה קלה, התכווצות גלובלית ואיזורית ירודה במידה קלה , אהיפוקינזיה אחורית אינפריורית, חדר ימני מורחב, התכווצות ירודה במידה בינונית, אי ספיקה אורטלית מינימלית, מסתם מיטרלי לאחר תיקון (חשד להתנתקות של טבעת התיקון), אי ספיקה מיטרלית קלה, אי ספיקה טריקוספידלית קשה, לחץ דם ריאתי מוגבר במידה קשה, הגדלה קשה של העליה השמאלית וימנית, IVC מורחב ללא שינוי נשימתי, הודגמה מיימת</t>
  </si>
  <si>
    <t>בדיקה קשה טכנית, מטופלת עם עודף מישקל וCPAP. חדר שמאל תקין בגודלו ותיפקודו, דפנותיו מעובים, חדר ימין מורחב והיפוקינטי, עלי מסתם אורטלי מסויידים פתיחתם שמורה, טבעת מסתם מיטרלי מסויידת, אי ספיקה מיטרלית מינימלית טריקוספידלית עד בינונית, לחץ ריאתי מוגבר במידה קשה מאוד, IVC מורחב ללא תמט, הפרעה דיאסטולית עם תבנית מילוי רסטרקטיבית ורושם ללחצי מילוי גבוהים של חדר שמאל.</t>
  </si>
  <si>
    <t>חדר שמאל בגודל תקין. קיימת היפוקיניזיה תחתונה עם תפקוד סיסטולי כולל של חדר שמאל תקין. הפרעה דיאסטולית דרגה III. חדר ימין מורחב ותפקודו הסיסטולי ירוד במידה קלה. עליות מורחבות. עלי מסתם אאורטלי מסויידים, דרך המסתם אי ספיקה קלה. טבעת מסתם מיטרלי מסויידת, דרך המסתם אי ספיקה קלה עד בינונית. אי ספיקה טריקוספידלית בינונית. נמדד יתר לחץ דם ריאתי מוגבר במידה קשה. קיים תפליט פריקרדיאלי קטן, ללא משמעות המודינמית בעיקר סמוך לימין.</t>
  </si>
  <si>
    <t>בדיקה טכנית קשה הדמיה ירודה ב-TTE חדר שמאל בגודל תקין, היפרטרופי, תפקודו הגלובלי שמור, הפרעה אינפרובזאלית, תבנית המילווי פסאודונורמאלית, חדר ימין בגודל ותפקוד תקין, הרחבה בינונית של עליה שמאלית, מסתם אאורטלי מסוייד, אי ספיקה מינימלית, אי ספיקה מירטלית קלה, STRAND זעיר 2 מ"מ באספקט העליתי של המסתם (ממצא לא ספציפי, בגלל הספור הקליני לשקול ביקורת TEE בעוד שבועיים ), אי ספיקה טריקוספידלית מינימלית , לא הודגם טרומבוס בחללי הלב , לא הודגם PFO, טרשת קלה באאורטה היורדת ללא מרכיב מובילי.</t>
  </si>
  <si>
    <t>חדר שמאל מורחב במידה קלה, תפקודו הגלובלי מופחת במידה קלה-בינונית, אקינזיה אחורית לטרלית היפוקינזיה אינפריורית , חדר ימין מורחב במידה קלה, תפקודו מופחת במידה קלה, הרחבה בינונית של עליה שמאלית, מסתם אאורטלי תותב עם תפקוד תקין, אי ספיקה אאורטלית מינימלית, אי ספיקה מיטרלית קלה, אי ספיקה טריקוספידלית קלה, לחץ דם ראתי מוגבר במידה בינונית, הרחבה קלה של האאורטה העולה.</t>
  </si>
  <si>
    <t>חדר שמאל בגודל תקין, ההתכווצותו גלובלית ירודה במידה קשה עם אקינזיה נרחבת (התכווצות רק של סגמנטים בזאליים) . לא ניתן להעריך תפקוד דיאסטולי בבדיקה זו, רושם ללחצי מלוי מוגברים. עליה שמאל מורחבת במידה קלה, עליה ימין מורחב. חדר ימין מורחב עם תפקוד ירוד במידה בינונית, ל"ד ריאתי מוגבר במידה קשה. מסתם אורטלי מסוייד ללא דלף או הצרות. יש TENTING של שני העלים של המתםס המיטראלי עם דלף עד בינונית (לא כומת כראוי בבדיקה זו). אי ספיקה טריקוספדלית קשה. הודגמה אלקטרודת קוצב בחללים ימניים.</t>
  </si>
  <si>
    <t>חדר שמאל ברוחב תקין, היפרטרופיה קשה, תפקודו הגלובלי תקין. חדר ימין בגודל ובתפקוד תקין. אלקטרודת קוצב בחללים ימניים. המסתם האאורטלי מסוייד, פתיחתו תקינה. המסתם המיטרלי תותב ביולוגי עם מפל מעט מוגבר בדומה לבדיקה קודמת. המסתם הטריקוספידלי לאחר תיקון עם מפלים תקינים ודליפה קלה, עדות ליתר לחץ דם ריאתי בחומרה בינונית לקשה. עליות מורחבות. תפליט פריקרדיאלי קטן. תפליט פלאורלי משמאל.</t>
  </si>
  <si>
    <t>בדיקת TEE לפני היפוך חשמלי מתוכנן עליה שמאל מורחבת במידה קשה, ללא עדות לטרומבוס בעליה/אוזנית, ללא עדות לPFO חדר שמאל עם חלל בגודל תקין ,הספטום מעובה במידה בינונית, תפקודו הסיסטולי הגלובלי תקין ללא הפרעה אזורית ,לא ניתן לקבוע תפקוד דיאסטולי חדר ימין בגודל ותפקוד תקינים , ל"ד ריאתי מוערך מוגבר במידה בינונית מסתם אאורטלי תלת עלי מסוייד , מודגם ממצא מובילי קטן (באורך כ6 מ"מ) צמוד לעלה קורונרי שמאל שנראה כפיברואלסטומה, דלף אאורטלי מינימלי ללא הצרות, אנולוס מיטראלי מסוייד במידה קשה , המפלים הד</t>
  </si>
  <si>
    <t>חדר שמאל בגודל תקין ,תפקודו הסיסטולי הגלובלי תקין עם השטחה של הספטום הבין חדרי (D SHAPE) משנית לעומס נפח ולחץ של חדר ימין, לא ניתן לקבוע תפקוד דיאסטולי, עליה שמאל מורחבת במידה קלה, מודגם התקן מסוג AGA OCLLUDER הסוגר את האוזנית, עליה ימין מורחבת חדר ימין מורחב במידה קשה, תפקודו הסיסטולי הגלובלי ירוד במידה בינונית, ל"ד ריאתי מוערך מוגבר במידה קשה מסתם אאורטלי מסוייד קלות ללא דלף או הצרות, דלף מיטראלי קשה (משנית לTETHERING של העלה האחורי), דלף טריקוספידלי קשה (משנית להרחבה של האנולוס)</t>
  </si>
  <si>
    <t>חדר שמאלי מורחב במידה קלה, והתכווצות גלובלית ירודה במידה קשה, אקינזיה אחורית אינפריורית ולטרלית, היפוקינזיה של שאר הדפנות, חדר ימני בגודל תקין והתכווצות ירודה במידה בינונית, אי ספיקה אורטלית קלה, אי ספיקה מיטרלית קלה עד בינונית, אי ספיקה טריקוספדלית קלה, לחץ דם ריאתי מוגבר במידה קלה, הגדלה קלה של העליה השמאלית. ירידה בתפקוד חדר שמאל לעומת בדיקה מ-2011</t>
  </si>
  <si>
    <t>חדר שמאלי ברוחב תקין, התכווצותו גלובלית ירודה במידה קלה הודגמה תנועה פראדוקסלית של הספטום, אקינזיה ספטובזאלית ואינפרובזאלית, חדר ימני מורחב במידה בינונית, תפקודו הגלובלי מופחת במידה קשה, עליות מוגדלות במידה בינונית. מסתם מיטרלי מעובה ללא היצרות עם אי ספיקה בינונית-קשה. מסתם אורטלי מסוייד עם היצרות קשה לפי חישוב שטח מסתם ואי ספיקה קלה. אי ספיקה טריקוספידלית קשה. לחץ ריאתי מוגבר במידה בינונית. IVC רחב ללא קולפס נשימתי. היפוך זרימה בוורידי הכבד. הודגם נוזל פלאורלי מימין ונוזל בחלל הבטן. הרחבה קלה</t>
  </si>
  <si>
    <t>חדר שמאלי מורחב עם ירידה גלובלית קשה בתיפקודו, היפרטרופיה בינונית, אקינזיה תחתונה אחורית, אנאוריזמה תחתונה בזלית, חדר ימין מורחב עם ירידה קשה בתיפקודו, אלקטרודות קוצב בחללים ימניים, מסתם אורטלי מסוייד, דלף קל, דלף מיטרלי קל לבינוני, דלף קל של טריקספידלי, עדות ליתר לחץ דם ריאתי בינוני, הגדלה קלה של העליה השמאלית והימנית, מתאים ללחצי מילוי גבוהים של חדר שמאל. תפליט פלואורלי, תפליט קטן פריקרדיאלי. טרשת באורטה היורדת ובקשת.</t>
  </si>
  <si>
    <t>חדר שמאלי בגודל תקין, היפרטרופי, תפקודו הגלובלי תקין, תבנית המילוי פסאודונורמאלית, חדר ימני בגודל והתכווצות תקינה, מסתם אורטלי מסוייד דלף קל עד בינוני, טבעת ומסתם מיטרלי מסויידים, דלף מיטרלי בינוני, דלף טריקוספידלי קל, לחץ דם ריאתי מוגבר במידה קשה, IVC מורחב, אין עדות ליתר לחץ דם ריאתי, הגדלה קלה של העליה השמאלית. הודגמה אלקטרודת קוצב בחללים ימנים Electrode in RV.</t>
  </si>
  <si>
    <t>חדר שמאלי מוחרב עם התכווצות גלובלית שמורה, אקינזיה תחתונה אחורית קלה. חדר ימני בגודל והתכווצות תקינה, מסתם אורטלי מסוייד, אנולוס מיטרלי מסוייד, עלים מעובים דלף קשה מרכזי. דלף קל לבינוני של טריקספיד, עדות ליתר לחץ דם ריאתי קשה, הגדלה בינונית של העליה השמאלית.</t>
  </si>
  <si>
    <t>חדר שמאלי בגודל תקין, ספטום בזלי מעובה, התכווצותו הגלובלית ואיזורית תקינה, חדר ימין תקין בגודל ותפקוד, מסתם אורטלי מסוייד ללא הצרות, אי ספיקה אורטלית מינימלית, אי ספיקה מיטרלית קלה, אי ספיקה טריקוספידלית קלה, לחץ דם ריאתי מוגבר במידה עד בינונית, הגדלה קלה של העליה השמאלית, הגדלה של העליה הימנית. הודגם תפליט פלוירלי לא גדול מימין. הודגם ממצא מובילי עם גבי המסתם האורטלי בכיוון ה LVOT בגודל עד 5 מ"מ, נראה פחות בולט מהבדיקה הקדומת.</t>
  </si>
  <si>
    <t>Preserved LV systolic function Normal right ventricle structure and function. Right sided pacemaker electrodes Left atrial enlargement No left atrial appendage thrombus seen Dilated right atrium. Mildly dilated ascending aorta Aortic sclerosis without significant stenosis Moderate aortic regurgitation Mild calcific mitral stenosis Moderate mitral regurgitation Moderate to severe tricuspid regurgitation Interference of RV pacemaker lead on septal tricuspid leaflet Moderate pulmonary</t>
  </si>
  <si>
    <t>חדר שמאלי בגודל תקין, היפרטרופיה קלה של הספטום, תפקודו הגלובלי הסיסטולי תקין ואף היפרדינמי. לא ניתן לקבוע תפקוד דיאסטולי. חדר ימין בגודל ותפקוד תקינים. עליה שמאלית מורחבת במידה קלהץ. מסתם אאורטלי מסוייד תלת עלי מפתחו תקין ללא הצרות עם דלף מנימלי. מסתם מטרלי עם דלף קל. מסתם טריקוספידלי עם דלף בינוני עד קשה. לחץ דם ראתי סיסטולי מוערך כמוגבר במידה קשה IVC מורחב 25 ממ, ואינו עובר תמט נשימתי הולם באינספיריום. ללא עדות לתפליט פריקרדיאלי. אאורטה עולה מורחבת במידה קלה.</t>
  </si>
  <si>
    <t>חדר שמאל תקין בגודלו, היפרטרופי קונצנטרית, תפקוד גלובאלי ירוד במידה קלה - בהשוואה לבדיקה קודמת רושם לירידה קלה בתפקוד חדר שמאל כאשר בולטת יותר היפוקינזיה קלה לטרלית וקידמית. לחצי מילוי גבוהים של חדר שמאל. חדר ימין תקין. העליה השמאלית מורחבת במידה קלה. אנולוס המסתם המטרלי מסוייד והמסתם מדגים אי-ספיקה מינימלית, מסתם אורטלי תותב ביולוגי, עלי המסתם מעובים (בהשוואה לבדיקה קודמת) אך תפקודו שמו. אי ספיקה טריקוספידלית קלה עד בינונית. יתר לחץ דם ראתי בדרגה בינונית עד קשה. הודגם נוזל פלאורלי מימין.</t>
  </si>
  <si>
    <t>עליה שמאלית מורחבת. חדר ימין תקין. חדר שמאל ברוחבתקין עם תפקוד גלובלי ירוד במידה קלה עד בינונית. אקינזיה קידמית, היפוקינזיה ספטלית , טרלית ושל חלק מהאפקס. טבעת מיטרלית מסויידת. TENTING של המסתם המיטרלי עם דלף מיטרלי בינוני. טבעת מיטרלית מעט מסויידת. אס"ק אורטלית קלה. אס"ק אורטרלית מינימלית. אס"ק טריקוספידלית מינימלית. לא ניתן להעריך לחץ ריאתי . תבנית מילוי פסוידו נורמלית. הודגם נוזל פלוירלי מימין.</t>
  </si>
  <si>
    <t>הדמיה עם שלילת קריש דם בעליה ואוזנית עליה שמאל , מדידות של הLAA מעבר של המחיצה הבין עליתית , מדידות לאחר הזרקת חומר ניגוד והשתל סוגר ווצ'מן עם תוצאה סופית טובה . מחיצה בין עליתית עם שנט שארי שמאל-ימין</t>
  </si>
  <si>
    <t>חדר שמאל בגודל תקין, תפקודו הגלובלי מופחת במידה בינונית-קשה, אקינזיה אחורית אינפריורית ולטרלית, חדר ימין מורחב, תפקודו מופחת במידה קשה, הרחבה של עליה שמאלית וימנית, מסתם אאורטלי מסוייד, STRAND עדין באספקט אאורטלי, אי ספיקה אאורטלית קלה, TETHERING של עלי המסתם המיטרלי, אי ספיקה מיטרלית בינונית, אי ספיקה טריקוספידלית בינונית, לחץ דם ראתי תקין , אלקטרודת קוצב בחדר ימין , IVC מורחב עם שינוי נשימתי חלקי.</t>
  </si>
  <si>
    <t>חדר שמאל מורחב עם ירידה גלובלית בינונית בתיפקודו, היפוקינזיה גלובלית עם אקיזניה אחורית תחתונה, ספטום היפרטרופי, תבנית מילוי רסטרקטיבית, חדר ימין תקין בגודלו ותפקודו, עליה שמאלית מורחבת במידה קלה, אי ספיקה מיטרלית וטריקוספידלית מינימלית, בשל סיגנל TR קלוש לא ניתן להעריך לחץ דם ריאתי. תפליט פלואורלי.</t>
  </si>
  <si>
    <t>חדר שמאל בגודל תקין, הפרטרופי במקצת, התכווצות גלבולית תקינה, עליה שמאלית תקינה בגודלה, חללי הלב ימניים תקינים, טבעת מסתם מיטרלי מסוידת, אי ספיקה מיטרלית קלה-בינונית, מסתם אורטלי מסויד עם הצרות אאורטלית קשה, אי ספיקה אאורטלית מינימלית, אי ספיקה טריקוספידלית קלה, לחץ דם ריאתי תקין.</t>
  </si>
  <si>
    <t>חדר שמאל בגודל תקין, הפרטרופי במקצת, התכווצות גלובלית אסינכרונית, ירודה במידה קלה, הפוקינזיה אינפריורית וספטלית, עליה שמאלית מורחבת במידה קלה, חדר ימני בגודל תקין עם תיפקוד שמור, מסתמים מיטרלי ואאורטלי תותבים ביולוגים, אי ספיקה מיטרלית ואאורטלית מינימלית, מסתם טריקוספידלית אחרי תיקון, אי ספיקה טריקוספידלית קלה-בינונית, לחץ דם ריאתי מוגבר במידה קלה, נוזל פריקרדיאלי בכמות קטנה. Electrode in RA, RV.</t>
  </si>
  <si>
    <t>חדר שמאלי בגודל תקין, תפקודו ירוד במידה קלה בינונית, היפוקינזיה ספטלית אנטריורית ואפיקלית, תבנית המילוי רסטרקטיבית, חדר ימין תקין בגודלו ותפקודו, מסתם אורטלי מסוייד מעט, אי ספיקה אורטלית מינימלית, אי ספיקה מיטרלית קלה עד בינונית, אי ספיקה טריקוספדלית קלה, לחץ דם ריאתי מוגבר במידה קשה, הגדלה של העליה השמאלית.</t>
  </si>
  <si>
    <t>חדר שמאלי בגודל והתכווצות גלובלית ואיזורית תקינה, חדר ימין תקין, מסתם אורטלי מסוייד, אנולוס מיטרלי מסוייד, דלף קל לבינוני של מיטרל, דליפה בינונית לקשה לטריקספיד, עדות ליתר לחץ דם ריאתי קשה, הגדלה קלה של העליה השמאלית. יכול להתאים ללחצי מילוי גבוהים של חדר שמאל. תפליט פלואורלי.</t>
  </si>
  <si>
    <t>חדר שמאלי בגודל תקין, ספטום מעט מעובה עם תנועה אבנורמלית (קיצוב), התכווצותו הגלובלית ירודה במידה בינונית,עליה שמאלית מוגדלת במידה קלה. חדר ימני מורחב, התכווצותו ירודה במידה קלה, הרחבה קלה של העלייה הימנית. מסתם אורטלי מסוייד ללא הצרות, אי ספיקה אורטלית קלה, אי ספיקה מיטרלית קלה עד בינונית, אי ספיקה טריקוספידלית בינונית, לחץ דם ריאתי מוגבר במידה קלה. הודגם אלקטרודת קוצב בחללים ימניים.</t>
  </si>
  <si>
    <t>חדר שמאלי בגודל תקין, היפרטרופי , התכווצותו הגלובלית ירודה במידה קלה, איקניהז אינפריורית , פוסטריורית, מסתם אאורטלי מסוייד עם הצרות קלה על פניו, אנולוס מיטרלי מסוייד, אי ספיקה מיטרלית מינימלית , אי ספיקה טריקוספידלית קלה, לחץ דם ריאתי מוגבר במידה קשה, העליה השמאלית מוגדלת במידה בינונית, עליה ימנית מוגדלת במידה קלה, יכול להתאים ללחצי מילוי גבוהים של חדר שמאל, חדר ימין מעט מורחב עם תיפקוד גבולי.</t>
  </si>
  <si>
    <t>חדר שמאלי בגודל והתכווצות גלובלית ואיזורית תקינה (בנוכחות הפרעת קצב), הפרטרופיה קונצנטרית ניכרת, חדר ימני מעובה בגודל והתכווצות תקינה , פרוזודרים מורחבים מאוד. שורש אאורטה מורחבת, טבעת מסתם מיטרלי ומסתם אאורטלי מעט מסוידים פתיחתם תקינה. אי ספיקה מיטרלית קלה עד בינונית, אי ספיקה טריקוספידלית עד קשה. עדות ליתר לחץ דם ריאתי, IVC מורחב ללא תגובה רספירטורית וגודש ורידי.</t>
  </si>
  <si>
    <t>חדר שמאלי מורחב במידה קשה, התכווצותו הגלובלית ירודה במידה קשה, חדר ימין מורחב תפקודו מופחת במידה קשה עם אלקטרודות קוצב בחללים ימניים, הרחבה של האורטה העולה, מסתם אורטלי מסוייד ללא הצרות, מסתם מירטלי מעובה עם אי ספיקה מיטרלית קלה לבינונית, אי ספיקה טריקוספידלית בינונית לקשה, לחץ דם ריאתי מוגבר במידה קשה, הגדלה בינונית של העליה השמאלית, הגדלה של העליה הימנית. IVC רחב עם ירידה בשינויים הנשימתיים וזרימה הפוכה בורידי הכבד.</t>
  </si>
  <si>
    <t>חדר שמאל בגודל תקין, היפרטרופיה קלה של הספטום, התכווצותו הגלובלית תקינה, חדר ימין מורחב עם תפקוד יירוד במידה בינונית, הרחבה קלה של עליה שמאלית וימנית, מסתם אאורטלי תותב מכני עם תפקוד תקין, מסתם מיטרלי תותב מכני עם תפקוד תקין, מסתם טריקוספידלית לאחר תיקון עם דלף מינימלי, לחץ דם ריאתי מוגבר במידה בינונית.</t>
  </si>
  <si>
    <t>הדמיה קשה טכנית. חדר שמאלי בגודל תקין, ספטום מעובה במידה קלה, התכווצות גלובלית ואיזורית תקינה, חדר ימני בגודל והתכווצות תקינה, אי ספיקה אורטלית קלה, אי ספיקה מיטרלית וטריקוספידלית מינימלית, אין עדות ליתר לחץ דם ריאתי, הגדלה בינונית של העליה השמאלית. הרחבה של הסינוסים האורטלים.</t>
  </si>
  <si>
    <t>חדר שמאל בגודל ותפקוד תקין. עיבוי של הספטום הבזאלי. אי ספיקה מיטרלית עד בינונית, הגדלה קלה של העליה השמאלית. תבנית המילוי פסאודונורמלית. חדר ימני עם תפקוד תקין. אי ספיקה טריקוספידלית קלה עד בינונית. לחץ ראתי מוגבר במידה קלה.</t>
  </si>
  <si>
    <t>חדר שמאלי בגודל תקין, התכווצות גלובלית מופחתת במידה קלה, אקינזיה אינפריורית אחורית ספטובזאלית וספטואפיקלית, חדר ימני בגודל והתכווצות תקינה, מסתם אורטלי מסוייד , אי ספיקה קלה, אי ספיקה מיטרלית וטריקוספידלית קלה, אין עדות ליתר לחץ דם ריאתי, הגדלה קלה של העליה השמאלית.</t>
  </si>
  <si>
    <t>חדר שמאלי מורחב במידה קלה, דפנותיו מעובים, התכווצות גלובלית תקינה, חדר ימני בגודל והתכווצות תקינה, מסתם אורטלי מסוייד במידה קשה, היצרות אאורטלית קלה, אי ספיקה אורטלית קלה, מסתם מיטרלי מסוייד, אי ספיקה מיטרלית בינונית, תיתכן תת הערכה, אי ספיקה טריקוספדלית בינונית, לחץ דם ריאתי מוגבר במידה קשה, הגדלה קשה של העליה השמאלית.</t>
  </si>
  <si>
    <t>חדר שמאל מורחב במידה קלה (יכול להיות תקין ביחס לBSA) , דפנותיו מעובות במידה קלה, תפקודו הסיסטולי הגלובלי של חדר שמאל מופחת במידה קלה עם היפוקינזיה אפיקלית, מיד אינפריות ואקינזיה תחתונה בזאלית, תנועה אבנורמלית של הספטום לפרקים, לא ניתן לקבוע תפקוד דיאסטולי, עליות מורחבות במידה קלה חדר ימין בגודל ותפקוד תקינים , ל"ד ריאתי מוערך מוגבר במידה קלה (תתכן תת הערכה בשל סיגנל דופלר לא מלא) מסתם אאורטלי מסוייד עם דלף מינימלי ללא הצרות, אנולוס מיטראלי מסוייד ללא הצרות, דלף מיטראלי וטריקוספידלי קל. מודגם</t>
  </si>
  <si>
    <t>חדר שמאל ברוחב תקין עם תפקוןד גלובלי ירוד במידה בינונית-קשה. אקינזיה ספטלית ותחתונה, היפוקינזיה של שאר הדפנות. חדר ימין בגודל ותפקוד. הסתיידות של הטבעת המיטרלית ושל המסתם האורטלי. אי ספיקה מיטרלית וטריקוספידלית קלה. לחץ דם ריאתי מוגבר במידה בינונית. עליה שמאלית מורחבת במידה קלה. אלקטרודת קוצב בחללי ימניים. הודגם תפליט פלאורלי דו צדדי.</t>
  </si>
  <si>
    <t>פרפור פרוזדורים. חדר שמאלי בגודל תקין, ספטום היפרטרופי, התכווצותו גלובלית ואיזורית תקינה, חדר ימין תקין בגודלו ותפקודו, מסתם אורטלי מסוייד, עם היצרות קלה-בינונית , אי ספיקה אורטלית קלה, טבעת מסתם מיטרלי מסויידת, אי ספיקה מיטרלית קלה עד בינונית , אי ספיקה טריקוספדלית קלה עד בינונית, לחץ דם ריאתי מוגבר במידה בינונית, הגדלה של העליה השמאלית וימנית. הודגם נוזל פלאורלי מצד ימין.</t>
  </si>
  <si>
    <t>חדר שמאל מורחב במידה קשה , תפקודו הסיסטולי הגלובלי ירוד במידה קשה עם אקינזיה אפיקלית,ספטאלית ואחורית בזאלית השאר היפוקינטי, תבנית המילוי הדיאסטולי רסטרקטיבית ,עליה שמאל מורחבת במידה קלה. חדר ימין מורחב עם תפקוד סיסטולי ירוד במידה קשה, ל"ד ריאתי מוערך מוגבר במידה קשה מסתם אאורטלי מעובה עם דלף מינימלי ללא הצרות, דלף מיטראלי קל+ (למרות TETHERING של עלה אחורי). דלף טריקוספידלי בינוני. אלקטרודות קוצב בחללים הימניים.</t>
  </si>
  <si>
    <t>חדר שמאלי בגודל תקין, התכווצותו גלובלית ואיזורית שמורה, התכווצות אסיכרונית, חדר ימני בגודל והתכווצות תקינה, אי ספיקה מיטרלית מינימלית, אי ספיקה טריקוספידלית קלה עד בינונית, לחץ דם ריאתי מוגבר במידה בינונית, ללא הגדלה של העליה השמאלית.</t>
  </si>
  <si>
    <t>בדיקה קשה מאד טכנית ומוגבלת חדר שמאל בגודל תקין קשה להעריך את תפקודו הגלובלי הרושם כי ירוד במידה בינונית, יש דחיקה של הספטום הבינחדרי כביטוי לעומס מימין. חדר ימין מורחב עם תפקוד מופחת במידה בינונית. מסתם מיטרלי לאחר תיקון עם מפל לחצים מוגבר על פניו (בדומה לבדיקה מ11.2020), דלף המוערך כקל-בינוני (תיתכן תת הערכה), דלף טריקוספידלי קשה. לחץ דם ראתי מוגבר במידה קשה. הרחבה קלה של העליה השמאלית. הודגמה אלקטרודת קוצב בחדר ימין.</t>
  </si>
  <si>
    <t>חדר שמאל ברוחב תקין, תפקודו הגלובלי והאיזורי תקין. חדר ימין בגודל ובתפקוד תקין. המסתם האאורטלי לאחר TAVI עם תפקוד תקין ללא דליפה. האנולוס המיטרלי מסוייד במידה קשה עם היצרות קלה. דליפה טריקוספידלית קלה, עדות ליתר לחץ דם ריאתי קל. עלייה שמאלית מורחבת. אלקטרודת קוצב בחללים הימניים.</t>
  </si>
  <si>
    <t>איכות הדמיה מוגבלת חדר שמאל בגודל תקין, תפקודו הסיסטולי הגלובלי ירוד במידה קלה עד בינונית באופן דיפוזי, לא ניתן לקבוע תפקוד דיאסטולי, עליה שמאל מורחבת במידה קלה חדר ימין בגודל תקין עם תפקוד שמור ל"ד ריאתי מוגבר במידה קלה (תתכן תת הערכה של החומרה) מסתם אאורטלי במבנה תקין עם דלף מינימלי ללא הצרות, תותב ביולוגי בעמדה מיטראלית עם תפקוד תקין, דלף טריקוספידלי עד בינוני . סכום - בהשוואה לאקו קודם מה12/10/2015 יש ירידה בולטת בתפקוד הסיסטולי של חדר שמאל (באופן דיפוזי) ובנוכחות MULTIPLE MYELOMA (ל</t>
  </si>
  <si>
    <t>חדר שמאלי בגודל תקין, היפרטרופיה קלה של הספטום, התכווצות גלובלית ואיזורית תקינה, חדר ימני בגודל והתכווצות תקינה, מסתם אורטלי מסויד עם הצירות קלה לבינונית ודלף קל. טבעת מסתם מיטרלי מסוידת עם מפל לחצים מוגבר על פני המסתם ודלף בינוני, דלף טריקוספידלי קל, לחץ דם ריאתי מוגבר במידה בינונית, הגדלה בינונית של העליה השמאלית. עליה ימין לא מוגדלת. הודגם תפליט פריקרדיאלי בכמות מינימלית. תפליט פלאורלי משמאל ומימין,</t>
  </si>
  <si>
    <t>חדר שמאלי מעובה, עם התכווצות גלובלית תקינה, אקינזיה אחורית לטרלית עם מעורבות אינפריורית, הדופן הקידמית והספטלית היפרדינמית, תבנית המילוי רסטריקטבית, חדר ימני בגודל והתכווצות תקינה, אי ספיקה מיטרלית בינונית קשה, סילון אקסצנטרי לטרלי אחורי משני לרטרקציה של העלה האחורי, אי ספיקה טריקוספידלית קלה עם יתר לחץ דם ריאתי בחומרה בינונית (תיתכן תת הערכה של חומרת הלחץ הריאתי), עליה שמאלית מורחבת.</t>
  </si>
  <si>
    <t>חדר שמאלי מורחב מאוד והתכווצות גלובלית מופחתת במידה קשה (ראה פיזור אזורי), אין פעילות מכנית בעליה השמאלית, חדר ימני מורחה והיפוקינטי בחומרה בינונית, מסתם מיטרלי וטריקוספידלית לאחר תיקון, תפקוד המסתמים תקין, עדות ליתר לחץ דם ריאתי קל, הגדלה של העליה השמאלית והימנית. קוצב מימין.</t>
  </si>
  <si>
    <t>חדר שמאל בגודל ותפקוד תקין , היפרטרופי, חדר ימין בגודל ותפקוד תקין , הרחבה של עליה שמאלית, מסתם אאורטלי תותב ביולוגי, מפל לחצים מוגבר על פניו בדומה לבדיקה קודמת , אי ספיקה מיטרלית מינימלית , אי ספיקה טריקוספידלית בינונית-קשה, לחץ דם ראתי מוגבר במידה בינונית, הרחבה של האאורטה העולה והסינוסים האאורטלים</t>
  </si>
  <si>
    <t>חדר שמאלי בגודל והתכווצות גלובלית ואיזורית תקינה, חדר ימני בגודל והתכווצות תקינה, דלף קל לבינוני של מסתם אורטלי, מסתם מיטרלי עם פתיחה כיפתית ודלף קל לבינוני, דלף קל לבינוני של טריקספיד, עדות ליתר לחץ דם ריאתי קל, הגדלה קלה של העליה השמאלית.</t>
  </si>
  <si>
    <t>חדר שמאל בגודל תקין , דפנות מעובים, תפקודו הסיסטולי הגלובלי תקין, הודגמה אקינזיה אינפרובזלית. חדר ימין תקין בגודל ותפקוד. עליות מורחבות. מבנה תקין של המסתמים. הודגמה אי ספיקה אורטלית קלה, מיטרלית מינימלית, טריקוספידלית קלה. לחץ דם ריאתי תקין. נצפה תפליט פריקרדיאלי בכמות קטנה.</t>
  </si>
  <si>
    <t>בדיקה מאוד קשה טכנית, בוצעה בישיבה בשל קוצר נשימה. לא אבחנתית חדר שמאלי מעט מורחב, הפרטרופי, תפקודו הגלובלי תקין חדר ימין מורחב, תפקודו כנראה שמור, פרוזדורים מורחבים. מסתם מיטרלי עם שינויים ראומטיים, מפל לחצים מתאים להיצרות קלה, מסתם אאורטלי מסוייד, אי ספיקה אאורטלית קלה, הודגם דלף טריקוספידלי בינוני, לחץ ריאתי מוגבר במידה קשה.</t>
  </si>
  <si>
    <t>חדר שמאל מורחב במידה קשה, תפקודו הגלובלי מופחת במידה קשה, תבנית המילוי פסאודונורמאלית, חדר ימין בגודל ותפקוד תקין, הרחבה בינונית של עליה שמאלית, אי ספיקה מיטרלית קלה-בינונית, אי ספיקה טריקוספידלית מינימלית, לא הודגמה עקומת TR להערכת לחץ דם ראתי, IVC מעט מורחב עם שינוי נשימתי חלקי , אלקטרודת קוצב בחדר ימין</t>
  </si>
  <si>
    <t>חדר שמאל בגודל תקין, ספטום מעובה, תפקודו הסיסטולי הגלובלי תקין. הפרעה דיאסטולית דרגה 3. עליה שמאל מורחבת. חדר ימין בגודל ותפקוד תקינים. מסתם אאורטלי תלת עלי, דרך המסתם דלף קל. דלף מיטרלי קל עד בינוני. דלף טריקוספידלי קל. נימדד ל"ד ריאתי מוגבר במידה קלה. שורש אאורטה מורחב.</t>
  </si>
  <si>
    <t>מבחן אקו במאמץ סובמקסימלי עם עדות לאיסכמיה אינפריורית. חדר שמאלי בגודל תקין עם תפקוד גלובלי ואיזורי תקין במנוחה . לחץ דם ריאתי תקין במנוחה ובמאמץ .</t>
  </si>
  <si>
    <t>עליה שמאלית מורחבת. חדר ימין תקין עם אלקטרודת קוצב בתוכו. חדר שמאל מורחב, הספטום הבזלי מעובה, תפקוד גלובלי ירוד במדיה קשה. אקינשיה אינפריורית, אחורית, ספטלית, דיסקינזיה אפיקלית. אס"ק מיטרלית בינונית עדקשה. אס"ק טרקיוספידלית קל. יל"ד ריאתי בינוני. תבנית מילוי רסטריקטיבית.</t>
  </si>
  <si>
    <t>אין עדות לוגטציות על המסתמים יש סטרנד דגנרטיבי על מסתם אאורטאלי מעובה. חדר שמאל בגודל תקין עם תפקוד גלובלי ירוד דיפוזית במידה בינונית.חדר ימין בגודל תקין עם תפקוד ירוד במידה קלה. הפרעה בתפקוד דיאסטולי עם לחצי מלוי גבוהים (דרגה II ) . ללא מחלה מסתמית משמעותית. אין עדות לPFO אין עדות לקריש דם בעליה שמאל או באוזנית מחלה אטרוסקלרוטית קשה של האאורטה היורדת והקשת (עם רבדים טרשתיים מרובים אך ללא ממצאים מוביליים)</t>
  </si>
  <si>
    <t>חדר שמאלי מורחב במידה בינונית, ספטום מעובה במידה קלה , תפקודו הגלובלי הסיסטולי מופחת במידה קשה באופן דיפוזי. חד רימין מורחב במידה קלה תפקודו מופחת במידה קלה עד בינונית. עליה שמאלית מורחבת במידה קשה עליה ימין מורחבת מסתצם אאורטלי מסוייד קלות עם דלף מנימלי מסתם מטרלי עם טבעת מסויידת ודלף בינוני מסתם טריקוספידלי עם דלף בינוני לחץ ראתי סיסטולי מוערך כמוגבר במדיה קשה וריד נבוב תחתון מורחב , עובר תמט נשימתי הולם באינספיריום מודגם תפליט פריקרדיאלי מנימלי אאורטה עולה מורחבת במידה ק</t>
  </si>
  <si>
    <t>בדיקה טכנית קשה, חלקית לא הודגמו כלל מנחי הלב, במיגבלה זו, חדר שמאלי מורחב במידה קלה התכווצות גלובלית ואיזורית מופחחת במידה קלה לבינוני לפחות, איקינזיה ספטלית וספטואפיקלית, לא הודגם קיר קידמי היטב, חדר ימני בגודל תקין התכווצות שמור (במיגבלת ההדמיה), מסתם אורטלי מסוייד, אי ספיקה טריקוספידלית קלה, לחץ דם ריאתי מוגבר במידה קלה, עליה שמאל מורחבת, הרחבה של סינוס אורטלי.</t>
  </si>
  <si>
    <t>חדר שמאלי בגודל והתכווצות גלובלית ואיזורית תקינה, תבנית המילוי פסאודו-תקינה, חדר ימני בגודל והתכווצות תקינה, מסתם אאורטלי מסוייד עם היצרות קלה, הסתיידות טבעת מיטרלית. היצרות מיטרלית קלה. אי ספיקה מיטרלית בינונית עד קשה, סילון אקצנרי קידמי. אי ספיקה טריקוספידלית מינימלית. יתר לחץ דם ריאתי בינוני , הרחבה קלה של העליה השמאלית.</t>
  </si>
  <si>
    <t>חדר שמאל מורחב במידה קלה, תפקודו הסיסטולי הגלובלי ירוד במידה קשה באופן דיפוזי עם וריאביליות אזורית , תבנית המילוי הדיאסטולי רסטרקיבית, עליה שמאל מורחבת במידה בינונית חדר ימין מעט מורחב עם תפקוד סיסטולי ירוד במידה בינונית , ל"ד ריאתי מוערך מוגבר במידה קשה מסתם אאורטלי מסוייד עם דלף קל ללא הצרות, מסתם מיטראלי עם TETHERING של עלה אחורי ודלף בינוני עד קשה, דלף טריקוספידלי בינוני. אלקטרודות קוצב בחללים הימניים</t>
  </si>
  <si>
    <t>חדר שמאל מורחב, התכווצותו הגלובלית מופחתת במידה בינונית, היפוקנזיה גלובלית, אקינזיה ספטלית אפיקלית. חדר ימין בגודל והתכווצות תקינה. מסתם אורטלי ללא עדות להיצרות או דלף, מסתם מיטרלי עם אי ספיקה בינונית-קשה, אי ספיקה טריקוספידלית קלה, לחץ דם ריאתי מוגבר במידה בינונית. הרחבה בינונית של העליה השמאלית. הודגם תפליט פלאורלי גדול משמאל.</t>
  </si>
  <si>
    <t>חדר שמאל מורחב, דפנותיו אינן מעובות, קיימת פגיעה נרחבת וקשה בהתכווצות הדפנות עם תפקוד סיסטולי גלובלי ירוד במידה קשה. הפרעה דיאסטולית דרגה 2. חדר ימין מורחב עם תפקוד ירוד במידה קלה. עליות מורחבות. מבנה ותפקוד מסתם אאורטלי תקין. אי ספיקה מיטרלית קלה. אי ספיקה טריקוספידלית קלה עד בינונית. נימדד יתר לחץ דם ריאתי מוגבר במידה קשה.</t>
  </si>
  <si>
    <t>הבדיקה בוצעה בשכיבה עם הגב! חדר שמאלי ברוחב תקין, מעט היפרטרופי, התכווצותו הגלובלית ואיזורית תקינה. הפרעה דיאסטולית דרגה 2. חדר ימני בגודל והתכווצות תקינה. מסתם אורטלי מסוייד עם הצרות בינונית ודלף מיזערי. טבעת מסתם מיטרלי מסויידת, ללא הפרעה בתפקודו. לא ניתן להעריך ל"ד ריאתי בהעדר סיגנל TR.</t>
  </si>
  <si>
    <t>עליה שמאלית תקינה. חדר ימין תקין. חדר שמאל ברוחב תקין עם תפקוד גלובלי שמור. הספטום מעובה, אקיזניה אינפרו בזלית ושל הספטום הבזלי, שאר הספטום היפוקיזנטי. אס"ק מיטרלית קלה. אס"ק טריקוספידלית מינימלית. לחץ ריאתי מוערך כתקין. ידלציין קושי טכני רב בהערכה של תפקוד החודר, עם רושפם של ווריאציה בהתכווצות ביןם הפעימות השונות. יש לשקול הערכת תפקוד החדר על ידי MRI. בדיקת סינכרוניזציה: חדר ימין מתכווץ 5 מילישניות אחרי חדר שמאל (לא משמעותי) YU INDEX=13 (לא משמעותי) BAX INDEX= 40( לא משמעותי) הקיר</t>
  </si>
  <si>
    <t>חדר ימין מורחב, היפוקינטי בינוני. חדר שמאל ברוחב תקין עם תפקוד גלובלי ירוד במידה קשה. אס"ק מיטרלית קלה אס"ק טרקיוספידלית קלה עד בינונית. יל"ד ריאתי קל. נוזל פלוירלי דו צדדי.ן. אלקטרודה של קוצב מימין.</t>
  </si>
  <si>
    <t>חדר שמאלי תקין בגודלו, דופנותיו תקינים בעובים, תפקוד גלובלישמור, אקינזיה אינפרו בזלית, היפוקינזיה אחורית. יחס E/E, מחשיג על לחצי מילוןי גבוהים בחדר שמאל. חדר ימני תקין בגודלו ובתפקודו. אי ספיקה מיטרלית מינימלית. אי ספיקה טרקיוספידאלית קלה עד בינונית. לחץ ריאתי מוגבר במידה קשה . עלחה שמאלית מורחבת במידה קלה. נוזל פריקרדיאלי בכמות קטנה. נוזל פלוירלי דו צדדי.</t>
  </si>
  <si>
    <t>חדר שמאלי בגודל תקין, התכווצותו הגלובלית שמורה, היפוקנזיה ספטלית ואפיקלית. חדר ימני בגודל תקין והתכווצות תקינה. מסתם אאורטלי תותב ביולוגי עם תפקוד תקין. טבעת מסתם מיטרלי מסויידת עם דלף קל. דליפה טריקוספידלית קלה לבינונית. לחץ דם ריאתי תקין. ללא הגדלה של העליה השמאלית. הודגמה אלקטרודת קוצב בחללים מימין.</t>
  </si>
  <si>
    <t>חדר שמאלי בגודל תקין, התכווצות גלובלית ואיזורית תקינה. חדר ימני בגודל והתכווצות תקינה. מסתם אורטלי מעט מסוייד עם דלף קל, טבעת מסתם מיטרלית מסויידת עם דלף קל עד בינוני, אי ספיקה טריקוספדלית קלה. לחץ דם ריאתי מוגבר במדיה קלה ללא הגדלה של העליה השמאלית.</t>
  </si>
  <si>
    <t>חדר שמאלי בגודל תקין, היפרטרופי, התכווצות גלובלית ואיזורית שמורה, פחות טוב מבדיקה קודמת, תבנית המילוי פסאודונורמלית, חדר ימני בגודל והתכווצות תקינה, דלף קל לבינוני של מיטרל, דלף קל של טריקספיד, עדות ליתר לחץ דם ריאתי קל, הגדלה בינונית של העליה השמאלית. תפליט פריקרדיאלי קטן.</t>
  </si>
  <si>
    <t>חדר שמאלי ברוחב תקין, הספטום מעט מעובה. תפקודו הגלובלי והאזורי תקין. הפרעה דיאסטולית בינונית. חדר ימין ברוחב תקין, תפקודו שמור. פרוזדור שמאלי מורחב קל. מסתם אאורטלי מסוייד בינוני-קשה, מוצר במידה בינונית עד קשה. מפל מקסימלי 57/30 מ RPS ושטח מסתם 0.9 סמ"ר. דלף אאורטלי קל+. שורש האאורטה , האאורטה העולה וקשת האאורטה ברוחב תקין. הודגם דלף מיטרלי קל-בינוני. דלף טריקוספידלי מינימלי. לחץ ריאתי 49 ממ"כ מוגבר קל-בינוני.</t>
  </si>
  <si>
    <t>חדר שמאל בגודל תקין ,תפקודו הסיסטולי הגלובלי תקין ללא הפרעה אזורית , לא ניתן לקבוע תפקוד דיאסטולי (בשל SEVERE MAC) , עליה שמאל מורחבת במידה קלה חדר ימין בגודל ותפקוד תקינים , ל"ד ריאתי מוערך מוגבר במידה קשה מסתם אאורטלי מסוייד קלות עם דלף מינימלי ללא הצרות, אנולוס מיטראלי מסוייד במידה קשה ללא הצרות, דלף מיטראלי קל , מודגם דלף טריקוספידלי קל (תתכן תת הערכה. לציין היפוך זרימה בורידי הכבד מחשיד לTR יותר משמעותי)</t>
  </si>
  <si>
    <t>חדר שמאלי בגודל תקין, ספטום מעובה במידה קלה, התכווצות גלובלית תקינה, בספק אקינזיה תחתונה, חדר ימני בגודל והתכווצות תקינה. מסתם אורטלי מסוייד, אי ספיקה מיטרלית בינונית עד קשה, מרכזית ברובה, לא ברור לי המנגנון, אי ספיקה טריקוספידלית קלה עד בינונית. לחץ דם ריאתי מוגבר במידה קלה. העליה השמאלית בגודל תקין.</t>
  </si>
  <si>
    <t>חדר שמאלי מורחב במידה קלה, היפרטרופי במידה קלה, התכווצותו גלובלית ואיזורית תקינה. תבנית המילוי פסאודונורמלית. חדר ימני תקין בגודלו ותיפקודו. עליות מוגדלות במידה בינונית. אי ספיקה מיטרלית מינימלית, אורטלית קלה, טריקוספידלית קלה. לחץ ריאתי מוגבר במידה קלה. IVC ללא קולפס מספק. הרחבה קלה של אאורטה העולה וסינוסים אורטליים.</t>
  </si>
  <si>
    <t>חדר שמאל מורחב במידה קלה, תפקודו הגלובלי מופחת במידה בינונית , חדר ימין מורחב תפקודו שמור, הרחבה קשה של עליה שמאלית, מסתם אאורטלי מסוייד, פתיחתו מוגבלת, היצרות אאורטלית בינונית קשה, מסתם מיטרלי תותב עם תפקוד תקין, אי ספיקה טריקוספידלית קשה, חוסר קואפטציה של עלי המסתם, IVC מורחב ללא שינוי נשימתי, אלקטרודת קוצב בחדר ימין , לחץ דם ראתי מוגבר במידה קלה (תתכם תת הערכה בשל חומרת ה-TR). בסוף הבדיקה החולה החלה להצטמרר - לא בוצע אקו לב עם דובוטמין .</t>
  </si>
  <si>
    <t>חדר שמאלי מורחב והתכווצותו הגלובלית ירודה במיהה בינונית עד קשה, ירידה דיפוזית. הפרעה דיאסטולית דרגה II. חדר ימני בגודל והתכווצות תקינה. מסתם אורטלי מעט מסויד עם מפל לחצין תקין על פניו ולדיפה מיזערית, מסתם מיטרלי עם טבעת מסוידת עם דלף קל, אי ספיקה טריקוספידלית קלה. לחץ דם ראתי מוגבר במידה בינונית. הגדלה קלה של העליה השמאלית. הרחבה קלה של עליה ימנית. הודגם תפליט פריקרדאלי גדול ללא סימני לחץ על חדר ימין. אין ווריאצתיה נשימתית פטולוגית של הזרידמ המיטרלית. IVCללא קולפס נשימתי הודגם תפליט פלא</t>
  </si>
  <si>
    <t>חדר שמאלי מורחב במידה קלה, התכווצות גלובלית ירודה במידה קשה, אקינזיה אחורית אינפריורית היפוקינזיה קשה של שאר הדפנות, חדר ימני בגודל והתכווצות תקינה, מסתם מיטרלי לאחר תיקון, אי ספיקה מיטרלית קלה עד בינונית , אי ספיקה טריקוספדלית קלה, לחץ דם ריאתי מוגבר במידה קלה, הגדלה של העליה השמאלית.</t>
  </si>
  <si>
    <t>עליה שמאלית בגודל תקין. חדר ימין מורחב והיפוקינטי בינונית עם אלקטרודת קוצב בתוכו. חדר שמאל ברוחב תקין עם תפקוד גלובלי שמור. השטחה ספטלית עקב עומס מימין. מסתם אורטלי מעט מסויד, דלף מיטרלי קל. העדר מגע בין עלי המסתם הבטריקוספידלי עם דדלף טריקוספידלע חופשי שאינו מאפשר הערכה של הלחץ בהריאתי. נוזל פלוירלי דדו צדדי. מיימת. IVC מורחב וללא קולפס נשימתי.</t>
  </si>
  <si>
    <t>חדר שמאל בגודל תקין, תפקודו הגלובלי ירוד במידה קשה. ראה שינויים איזורים, חדר ימין בגודל ותפקוד תקינים. עליה שמאלית מורחבת במידה בינונית. מסתם אורטלי מסוייד, הצרות קלה, דלף קל, דלף קל מיטרלי ומינימלי של טריקספיד, לא הודגמה עקומת TR להערכת לחץ דם ריאתי. תפליט פריקרדיאלי מינימלי, תפליט פלאורלי שמאלי בולט.</t>
  </si>
  <si>
    <t>חדר שמאלי מורחב, היפרטרופי, התכווצות גלובלית ירודה במידה בינונית לקשה, תבנית המילוי פסאודונורמלית, חדר ימני בגודל והתכווצות תקינה, דלף קל של מסתם מיטרלי וטריקספדלי, עדות ליתר לחץ דם ריאתי קשה, הגדלה קלה של העליה השמאלית.</t>
  </si>
  <si>
    <t>חדר שמאל מורחב במידה בינונית (ביחס לBSA ) תפקודו הסיסטולי ירוד במידה קשה באופן דיפוזי (יש וריאביליות אזורית מסויימת, התכווצות מעט יותר טובה של סגמנטים בזאליים) ,לא ניתן לקבועע תפקוד דיאסטולי, עליה שמאל מורחבת במידה בינונית. חדר ימין בגודל ותפקוד תקינים ,לא ניתן להעריך ל"ד ריאתי בהעדר סיגנל TR מסתם אאורטלי במבנה ותפקוד תקינים, מסתם מיטראלי עם עלה אחורי מקובע דבר הגורם לדלף מיטראלי קשה , דלף טריקוספידלי מינימלי. מודגם תפליט פריקרדיאלי קטן ללא סימני לחץ על מדורים ימניים</t>
  </si>
  <si>
    <t>חדר שמאל מורחב במידה קשה,תפקודו הסיסטולי הגלובלי מופחת במידה קשה (ללא שינוי מהותי מאקו קודם בוצעה השוואה בין התמונות) עם ספטום דיסקינטי , שאר הדפנות למעט סגמנטים בזאליים של אחורי, תחתון וקדמי עם היפוקינזיה קשה/ אקינזיה (ראה תרשים) , לא ניתן לקבוע תפקוד דיאסטולי, עליה שמאל מורחבת במידה בינונית. חדר ימין בגודל תקין עם תפקוד שמור , ל"ד ריאתי מוגבר במידה קשה תותב מכאני בעמדה אאורטלית עם תפקוד תקין, תותב מכאני בעמדה מיטראלית עם תפקוד תקין, דלף טריקוספידלי בחומרה עד קשה. אלקטרודות קוצב בחללים הי</t>
  </si>
  <si>
    <t>חדר שמאלי מורחב במידה קלה , התכווצותו הגלובלית מופחתת במידה קלה, אקינזיה אינפריורית וספטובזאלית, חדר ימני בגודל והתכווצות תקינה, אי ספיקה אורטלית מינימלית, אי ספיקה מיטרלית קלה עד בינונית, אי ספיקה טריקוספידלית מינימלית אין עדות ליתר לחץ דם ריאתי, הגדלה בינונית של העליה השמאלית. האורטה עולה מורחבת.</t>
  </si>
  <si>
    <t>חדר שמאל בגודל תקין, הפרטרופי, התכווצות גלובלית שמורה, אקינזיה אינפרו-בזלית וספטו-בזלית, תבנית המילוי מתאימה להפרעה בהרפיה, עליה שמאלית מורחבת במידה קלה, חללי הלב ימניים תקינים, אי ספיקה מיטרלית ואאורטלית קלה, טריקוספידלית מינימלית, לחץ דם ריאתי תקין.</t>
  </si>
  <si>
    <t>חדר שמאלי מורחב במידה קלה תפקודו הסיסטולי הגלובלי ירוד במידה קשה עם אקינזיה לטראלית, תחתונה, אחורית ואינפרוספטאלית שאר הדפנות היפוקינטיות (ראה תרשים) , תבנית המילוי הדיאסטולי רסטרקטיבית, עליה שמאל מורחב תבמידה קלה חדר ימין מורחב עם תפקוד סיסטולי ירוד במידה קשה, ל"ד ריאתי מוערך מוגבר במידה קשה. מסתם אאורטלי במבנה ותפקוד תקינים, דלף מיטראלי מינימלי ודלף טריקוספידלי קל. תפליט פלאורלי גדול מימין.</t>
  </si>
  <si>
    <t>חדר שמאלי בגודל תקין, התכווצותו הגלובלית תקינה, חדר ימני בגודל והתכווצות תקינה, אי ספיקה מיטרלית וטריקוספידלית מינימלית, אין עדות ליתר לחץ דם ריאתי, הגדלה קלה של העליה השמאלית. הודגם נוזל פלאורלי. הודגם נוזל פריקרדיאלי בכמות בינונית עם שירכות ללא סימני לחץ על עליה או חדר ימני</t>
  </si>
  <si>
    <t>חדר שמאל מורחב במידה קלה, תפקודו הגלובלי מופחת במידה בינונית באופן דיפוזי, יותר בדופן תחתון. חדר ימין בגודל תקין, תפקודו תקין. עליה שמאלית מורחבת במידה קלה. אי ספיקה מיטרלית בינונית. אי ספיקה טריקוספידלית קלה עד בינונית. לחץ דם ריאתי מוגבר במידה קשה. הודגם תפליט פריקרדיאלי מינימלי. הודגם נוזל פלאורלי.</t>
  </si>
  <si>
    <t>לב מושתל. חדר שמאלי בגודל תקין, היפרטרופיה קשה של ספטום, התכווצות גלובלית ואיזורית תקינה, חדר ימני בגודל והתכווצות תקינה, אי ספיקה מיטרלית וטריקוספידלית קלה, אין עדות ליתר לחץ דם ריאתי, הגדלה קלה של העליה השמאלית.</t>
  </si>
  <si>
    <t>חדר שמאלי בגודל תקין, היפרטרופיה של הספטום, התכווצות גלובלית תקינה, מסתם אאורטלי מסוייד עם הצרות קלה על פניו, אנולוס מיטרלי מסוייד, אי ספיקה מיטרלית קלה, אי ספיקה טריקוספידלית קלה + , לחץ דם ריאתי מוגבר במידה בינונית, העליה השמאלית מוגדלת במידה קלה. חדר ימין עם תפקוד שמור.</t>
  </si>
  <si>
    <t>חדר שמאלי בגודל והתכווצות גלובלית ואיזורית תקינה, חדר ימני בגודל והתכווצות תקינה, מסתם אורטלי תותב מכני , מפל לחצים תקין, חשד לדלף אאורטלי משמעותי , מסתם מיטרלי תותב מכני עם תפקודו תקין, מסתם טריקוספדלי תותב ביולוגי עם תפקודו תקין, לא הודגמה עקומת TR להערכת לחץ דם ראתי , הגדלה של העליה השמאלית. מומלץ ביצוע TEE להערכה נוספת של מסתם אאורטלי</t>
  </si>
  <si>
    <t>עליה שמאלית מורחבת. חדר ימין היפוקינטי בינונית עם אלקטרודת קוצב בתוכו. חדר שמאל ברוחב תקין עם תפקוד גלובלי ירוד במידה קשה , דיפוזית. מסתם אאורטלי מעובה, אס"ק מיטרלית מינימלית. אס"ק טריקוספידלית קלה. לחץ ריאתי מוגבר בינונית. תבנית מילוי פסוידו נורמלית.</t>
  </si>
  <si>
    <t>חדר שמאל עם תפקוד היפרדינמי. חדר ימין תקין. דלף אאורטלי קל. דלף מיטרלי מינימלי. הודגם נוזל פריקרדיאלי בכמוות בינוית+, בעיקרו צמוד לקיר האחורי והלטרי, מעט נוזל צמוד לחדר ימין. יש ווריאציה נשימתית משעותית גבולית( בסביבות 20-25%) של הזירמה המיטרלית והIVC מורחב וללא קולפס נשימתי( חולה עם CPAP) בזמן הבדיקה. לא הודגמו סימני לחץ על חדר ימין וגם לא על העליה הימנית.</t>
  </si>
  <si>
    <t>בדיקת TEE בוצעה להערכה של תפקוד מסתמים תותבים. חדר שמאל בגודל תקין דחוק ע"י חדר ימין, תפקודו הגלובלי שמור עם תנועה אבנומרלית של הסטום, לא ניתן לקבוע תפקוד דיאסטולי, עליה שמאל מורחבת במידה קלה. בעליה ימין יוצא מהSVC יש ממצא מאוד מובילי ארוך שטיבו לא ברור (טרומבוס ? , שרידים של LINE מרכזי שהיה ? אחר ? ) חדר ימין מורחב במידה קשה תפקודו הגלובלי ירוד במידה בינונית עד קשה,ל"ד ריאתי מוגבר במידה קשה ביותר , זהה לל"ד סיסטמי. מסתם אאורטלי מבנה ותפקוד תקינים ללא ממצאים על פניו , תותב ביולוגי בעמדה מיט</t>
  </si>
  <si>
    <t>חדר שמאלי בגודל תקין,ספטום בזלי מעובה, התכווצות גלובלית ואיזורית תקינה,חדר ימני בגודל והתכווצות תקינה, מסתם אורטלי מסוייד,ללא הצרות,טבעת מסתם מיטרלי מסויידת,אי ספיקה קלה, אי ספיקה טריקוספידלית קלה, לחץ דם ריאתי מוגבר במידה בינונית, הגדלה קלה של העליה השמאלית.</t>
  </si>
  <si>
    <t>בדיקה טכנית קשה. חדר שמאלי תקין בגודלו, היפרטרופי. התכווצותו הגלובלית תקינה, עקומת מילוי תבנית של הפרעה ברלקסציה, חדר ימני בגודל והתכווצות תקינה, מסתם אורטלי מסוייד עם היצרות המוערכת כבינונית, טבעת המסתם המיטרלי מסויידת ועלי המסתם מעובים ויוצרים מפל לחצים המצאים להיצרות קלה ודלף קל עד בינוני. דלף טריקוספידלי קל עד בינוני, לחץ דם ריאתי סיסטולי מוגבר במידה קלה עד בינוני . עליה השמאלית מורחבת במידה קלה.</t>
  </si>
  <si>
    <t>חדר שמאל בגודל תקין, תפקודו הגלובלי מופחת במידה קלה, אקינזיה אחורית , היפוקינזיה אינפריורית , חדר ימין בגודל ותפקוד תקין, עליה שמאלית בגודל תקין , מסתם מיטרלי תותב עם תפקוד תקין , אי ספיקה אאורטלת מינימלית , אי ספיקה טריקוספידלית מינימלית , לחץ דם ראתי תקין</t>
  </si>
  <si>
    <t>חדר שמאלי בגודל תקין והתכווצות גלובלית מופחתת במידה קלה, אקינזיה ספטלית, חדר ימני מורחב והתכווצות שמורה, עומס נפח על המחיצה הבינחדריתמסתם מיטרלי אחרי קליפ, אי ספיקה קלה, אי ספיקה אורטלית קלה, מסתם טריקוספידלי ללא קואפטציה , WIDE OPEN, אי ספיקה טריקוספידלית קשה מאוד, עדות ליתר לחץ דם ריאתי קל (תתכן תת הערכה), הגדלה של העליה השמאלית והימנית. IVC רחבה.</t>
  </si>
  <si>
    <t>חדר שמאלי תקין בגודלו ,תפקודו הגלובלי והאיזורי תקינים . תבנית המילוי פסאודונורמלית. עליה שמאל מורחבת במידה קלה . חדר ימני תקין בגודלו ובתפקודו עם ל"ד ריאתי מוגבר במידה בינונית. הגדלה קלה של העליה השמאלית. מבנה ותפקוד המסתמים תקין, הודגמו תפליטים פלאורליים דו"צ עם סגמנטים של ריאה בתמט.</t>
  </si>
  <si>
    <t>חדר שמאל בגודל תקין, התכוצותו הגלובלית תקינה. חדר ימין בגודל ותפקוד תקין. עליה שמארלית מורחבת במידה קלה. אי ספיקה מיטרלית קלה. אי ספיקה טריקוספדלית מנימלית. לחץ דם ריאתי בגבול העליון של הנורמה.</t>
  </si>
  <si>
    <t>חדר שמאלי ברוחב תקין, דפנותיו בעובי תקין, תפקודו הגלובלי והאזורי בגבול הנורמה. חדר ימין ברוחב ותפקוד תקין. פרוזדורים ברוחב תקין. מסתם אאורטלי מסויד, היצרות אאורטלית בינונית, דלף אורטלי מינימלי. אנולוס מיטרלי מסויד מעט, דלף מיטרלי מינימלי. הודגם דלף טריקוספידלי קל, לחץ ריאתי מעט מוגבר.</t>
  </si>
  <si>
    <t>חדר שמאלי בגודל תקין, דפנותיו מעט מעובות, עם התכווצות גלובלית תקינה. לא ניתן להעריך תפקוד דיאסטולי. עליות מורחבות. חדר ימני בגודל והתכווצות תקינה. מסתם אאורטלי מסוייד עם הצרות עד בינונית עם דלף מינימלי. טבעת מסתם מיטרלי מסויידת עם מפל לחצים מעט מוגבר על פניו ודלף קל עד בינוני. דלף טריקוספידלי לפחות בינוני. IVC מורחב עם תמט נשימתי תקין.</t>
  </si>
  <si>
    <t>חדר שמאלי מורחב במידה בינונית, התכווצות גלובלית ירודה במידה קשה, היפוקינזיה דיפוזית, חדר ימני בגודל והתכווצות תקינה, TETHERING של עלי המסתם , אי ספיקה מיטרלית קשה, אי ספיקה טריקוספדלית קשה, לחץ דם ראתי מוגבר במידה קלה (תתכן תת הערכה בגלל חומרת הדליפה הטריקוספידלית ), הגדלה קל של העליה השמאלית, אלקטרודת קוצב בחדר ימין</t>
  </si>
  <si>
    <t>חדר שמאלי מורחב, התכווצות גלובלית ירודה במידה קשה, אקינזיה ספטלית, אינפריורית, היפוקינזיה של שאר הדפנות, תבנית המילוי פסאודונורמלית, חדר ימני בגודל תקין, התכווצות ירודה במידה קלה, מסתם אאורטלי תותב ביולוגי עם דלף קל עד בינוני, טבעת המסתם המיטרלי מסויידת, אי ספיקה מיטרלית בינונית, אי ספיקה טריקוספידלית קלה עד בינונית, לחץ דם ריאתי מוגבר מידה בינונית, העליה השמאלית מוגדלת במידה קלה.</t>
  </si>
  <si>
    <t>חדר שמאלי בגודל והתכווצות גלובלית ואיזורית תקינה. חדר ימני בגודל תקין והתכווצות תקינה. השטחה קלה של ספטוםב ינדחרי כביטוי למעמסת לח על חדר ימין. מסתם אורטלי מסוייד ללא דלף. דליפה מיטרלית קלה, דליפה טריקוספידלית בינונית לקשה. לחץ דם ריאתי מוגבר במידה בינונית לקשה. עליה שמאל בגודל תקין, עליה ימנית מורחבת. תפליט פלואורלי.</t>
  </si>
  <si>
    <t>חדר שמאל בגודל תקין, דפנותיו אינן מעובות, תפקודו הסיסטולי הגלובלי תקין. הפרעה דיאסטוליתד דרגה 1. חדר ימין בגודל ותפקוד תקינים. עלי מסתם אאורטלי מסויידים, דרך המסתם הצרות קלה. אי ספיקה מיטרלית מיזערית וטריקוספידלית קלה עד בינונית. נימדד יתר לחץ דם ריאתי מוגבר במידה קלה. הודגמה אלקטרודה מימין.</t>
  </si>
  <si>
    <t>חדר שמאל בגודל תקין, התכווצות גלובלית ירודה במידה בינונית, אקינזיה אפיקלית נירחבת, הפרטרופיה של הספטום בזלי-13מ"מ, עליה שמאלית מורחבת במידה קלה, חללי הלב ימניים תקינים, טבעת מסתם מיטרלי מסוידת, אי ספיקה מיטרלית, אאורטלית וטריקוספידלית מינימלית, לחץ דם ריאתי מוגבר במידה קלה.</t>
  </si>
  <si>
    <t>חדר שמאל בגודל והתכווצותו תקין, הפרוזדו השמאלי בגודל תקין, האוזנית והוורידים הפולמונלים נקיים, המחיצה הבין עלייתית ללא פגם, מסתם האורטלי מסויד במידה קלה, פתיחתו תקינה, המסתם המיטרלי מדגים מסה מובילית בגודל 4 ממי בחלק האטריאלי של העלה הפוסטריורי ( כנראה סטרנד), מסתם טריקוספידלי והפולמונלי תקינים, בדופלר אי ספיקה אורטלית בינונית, אי ספיקה מיטרלית קלה, אי ספיקה טריקוספידלית קלה עד בינונית,רצוי לעקוב אחרי הסטרנד המיטרלי . הודגמה אנאוריזמה אפיקלית ממוקמת,</t>
  </si>
  <si>
    <t>חדר שמאל בגודל תקין, התכווצות גלובלית מופחתת במידה קלה-בינונית, אקינזיה אפיקלית, היפוקינזיה אחורית, עליה שמאלית מורחבת במידה קלה , חדר ימני תקין עליה ימנית מורחבת, טבעת מסתם מיטרלי מסוידת, אי ספיקה מיטרלית קשה, מסתם אאורטלי מסויד אי ספיקה אאורטלית מינימלית, אי ספיקה טריקוספידלית קלה-בינונית, לחץ דם ריאתי מוגבר במידה בינונית, נוזל פריקירדיאלי בכמות קטנה, הודגם נוזל פלאוראלי משמאל .</t>
  </si>
  <si>
    <t>חדר שמאל בגודל תקין, התכווצותו הגלובלית והאזורית תקינה, תבנית המילוי פסאודונורמאלית, חדר ימין בגודל ותפקוד תקין, עליה שמאלית מורחבת במידה קלה, אי ספיקה אאורטלית קלה , אי ספיקה מיטרלית וטריקוספידלית קלה, לחץ דם ריאתי מוגבר במידה בינונית, תפליט פריקרדיאלי מינימלי, תפליט פלאורלי דוצ</t>
  </si>
  <si>
    <t>חדר שמאל מורחב במידה בינונית (ביחס לBSA) , תפקודו הסיסטולי הגלובלי ירוד במידה קשה ביותר באופן דיפוזי עם וריאביליות אזורית מסויימת (ראה תרשים) , תבנית המילוי הדיאסטולי פסאודונורמלית ,עליה שמאל מורחבת במידה קשה, עליה ימין מורחבת חדר ימין מורחב עם תפקוד סיסטולי ירוד במידה קשה, ל"ד ריאתי מוערך מוגבר במידה בינונית מסתם אאורטלי מסוייד עם דלף מינימלי, ללא הצרות , דלף מיטראלי קל עד בינוני, דלף טריקוספידלי בינוני. מודגם תפליט פריקריאלי בינוני ללא סימני לחץ על מדורים ימניים</t>
  </si>
  <si>
    <t>חדר שמאל מורחב במידה קלה, הפרטרופי, התכווצות גלובלית ירודה במידה קשה, עליה שמאלית מורחבת במידה בינונית, חדר ימני מורחב במידה קלה עם תיפקוד ירוד במידה בינונית, עליה ימנית מורחבת במידה קלה, מסתם מיטרלי תותב ביולוגי עם אי ספיקה קלה-בינונית (פאראולולארי), מסתם אורטלי מסויד, אי ספיקה אאורטלית קלה-בינונית, מסתם טריקוספידלי אחרי תיקון, אי ספיקה טריקוספידלית קלה-בינונית, לחץ דם ריאתי מוגבר במידה קשה, הודגם קוצב בחללי הלב ימניים.</t>
  </si>
  <si>
    <t>שתי העליות מורחבות. חדר ימין מורחב והיפוקינטי עם אלקטרודת קוצב בתוכו. חדר שמאל היפרטרופי, ברוחב תקין עם תפקוד שמור. הסתיידות קלה של הטבעת המיטרלית ושלה מסתם אורטלי. קיים דלף מיטרליקל, מאוד אקצנטרי. אס"ק טריקוספידלית בינונית עד קשה. יל"ד ריאתי בינוני. יחס E/E' מתאים ללחצי מילוי תקינים.</t>
  </si>
  <si>
    <t>חדר שמאל מורחב במידה קלה, תפקודו הגלובלי מופחת במידה קשה, אקינזיה נרחבת (ראה פיזור איזורי), תבנית המילוי מתאימה להפרעה בהרפיה, חדר ימין בגודל ותפקוד תקין , הרחבה של עליה שמאלית, מסתם אאורטל מסוייד, אי ספיקה מיטרלית וטריקוספידלית קלה, לחץ דם ראתי מוגבר במידה קלה.</t>
  </si>
  <si>
    <t>חדר שמאל בגודל תקין, ההתכווצותו הגלובלית ואיזורית תקינה, תבנית מילוי מתאימה להפרעה ברלקסציה, עליה שמאלית מורחבת במידה קלה, טבעת המסתם המיטרל ימסויידת במידה קלה, אי ספיקה מיטרלית קלה, מסתם אורטלי מעובה, אי ספיקה אורטלית מינימלית, אי ספיקה טריקוספידלית מינימלית,לחץ דם ריאתי מוגבר במידה קלה, הודגם נוזל פריקארדיאלי בכמות מינימלית.</t>
  </si>
  <si>
    <t>חדר שמאלי מורחב והתכווצות גלובלית מופחתת במידה בינונית-קלה, אקינזיה אפיקלית ספטלית והיפוקינזיה אחורית ואינפריורית (ראה פיזור אזורי), חדר ימני בגודל והתכווצות תקינה, מסתם אורטלי תותב ביולוגי עם תפקוד תקין, מסתם מיטרלי אחרי קליפ, מפל קל מאוד ואי ספיקה בינונית, אי ספיקה טריקוספידלית קלה עד בינונית עם יתר לחץ דם ריאתי בחומרה קלה. הגדלה של העליה השמאלית.</t>
  </si>
  <si>
    <t>חדר שמאלי מעובה, בגודל והתכווצות גלובלית ואיזורית תקינה, תבנית המילוי רסטריקטיבית , חדר ימני מעובה, מורחב והיפוקינטי, אי ספיקה טריקוספידלית קשה, אורטלית ומיטרלית קלה, עדות ליתר לחץ דם ריאתי קל (תתכן תת הערכה), הגדלה של העליה השמאלית ובעיקר הימנית.</t>
  </si>
  <si>
    <t>חדר שמאל בגודל תקין, ספטום מעובה, התכווצותו הגלובלית תקינה. הפרעה דיאסטולית דרגה 1. חדר ימין תקין. עליה שמאלית מורחבת במידה בינונית. מסתם אאורטלי מעובה, דרך המסתם דלף מיזערי. אי ספיקה מיטרלית וטריקוספידלית קלה. לחץ דם ריאתי תקין.</t>
  </si>
  <si>
    <t>חדר שמאל בגודל תקין, דפנותיו מעובות, תפקודו הסיסטולי הגלובלי שמור. הפרעה דיאסטולית דרגה 2. עליות מורחבות. חדר ימין עם תפקוד תקין. מסתם אאורטלי תותב ביולוגי (אחרי TAVI) עם תפקוד תקין ודלף קל. טבעת מסתם מיטרלי מסויידת, דרך המסתם דלף קל. דלף טריקוספידלי קל. נימדד לחץ דם ריאתי מוגבר במידה קלה.</t>
  </si>
  <si>
    <t>חדר שמאלי בגודל צתקין תפקודו הגלובלי הסיסטולי תקין, ללא הפרעה אזורית בולטת. צלא ניתן לקבוע תפקוד דיאסטולי. חדר ימין בגודל ותפקוד תקינים. עליה שמאלית מורחבת במידה קלה. מסתם אאורטלי מסוייד בעיקר הסתיידות פוקלית דרכו אי ספיקה מנימלית ללא הצרות . מסתם מטרלי מסוייד עם טבעת מסויידת , דרך המסתם אי ספיקה קלה עד בינונית. אי ספיקה טריקוספידלית קלה עד בינונית. לחץ דם ראתי סיסטולי ראתי מוערך כמוגבר במידה קשה . תפליט פריקרדיאלי בכמות קטנה , ללא סימני לחץ על מדוריים ימניים. IVC אינו מורחב אך עובר תמט</t>
  </si>
  <si>
    <t>חדר שמאלי בגודל תקין, דפנות מעובות, התכווצות גלובלית ואיזורית תקינה. לא ניתן להעריך תפקוד דיאסטולי. חדר ימני בגודל והתכווצות תקינה. מסתם אורטלי תותב ביולוגי (לאחר TAVI) עם מפל לחצים תקין ודלף מינימלי. מסתם מיטרלי מסויד עם מפל לחצים מוגבר במידה קלה על פני המסתם, עם דלף בינוני. לא הודגם לח"ד ריאתי בהעדר עקומת דופלר. עליה שמאלית מורחבת במידה קלה. לא הודגמו וגטציות על המסתמים בטכניקה זאת.</t>
  </si>
  <si>
    <t>עליה שמאלית מורחבת. חדר ימין היפוקינזטי בינונית עם אלקטרודת קוצב בתוכו. חדר שמאל ברוחב תקין עם תפקוד גלובלי ירוד במדיה קלה עד בינונית. הפרעה דיפוזית קלה , יותר בולטת בקיר ספטלית ואחורית, כולל אקינזיה האינפרו בזלית ושל הספטום הבזלי. הסתיידות של הטבעת המיטרלית ושל המסתם האאורטלי.. אס"ק מיטרלית מינימלית אס"ק טריקוספידלית קלה עד בינונית. לחץ ריאתי מוגבר במדיהקשה. יחס E/E' מתאים ללחצי מילוי מוגברים משמאל. יש לציין גלים נמוכים בTDI. נוזל פריקרדאלי מינימלי.</t>
  </si>
  <si>
    <t>חדר שמאל מורחב תפקודו הגלובלי מופחת במידה קשה בצורה דיפוזית, חדר ימין מורחב עם תפקוד מופחת במידה בינונית, הרחבה בינונית של עליה שמאלית , מסתם אאורטלי תותב מכני עם תפקוד תקין , מסתם מיטרלי תותב מכני עם תפקוד תקין , מסתם טריקוספידלי לאחר תיקון, אי ספיקה טריקוספידלית קשה, IVC מורחב ללא שינוי נשימתי, היפוך זרימה סיסטולי ב-IVC , אלקטרודת קוצב בחדר ימין</t>
  </si>
  <si>
    <t>עליה שמאלית מוורחבת. חדר ימין תקין. חדר שמאל מורחב , היפרטרופי עם תפקוד גלבולי שמור וללא הפרעה אזורית. מסתם אורטלי מעובה עם דלף מינימלי. אטס"ק מיטרלית בינונית. אס"ק טריקוספידלית קלה. לחץ ריאתי תקין. הפרעה דיאסטולית דרגה II.</t>
  </si>
  <si>
    <t>חדר שמאל בגודל תקין, תפקודו הגלובלי תקין. חדר ימני בגודל ותפקוד תקין. עליה שמאלית בגודל תקין. מסתם אורטלי מסוייד. טבעת המסתם המיטרלי מסויידת , דלף קל עד בנוני של מסתם מיטרלי ודלף בינוני של טריקספיד. לחץ דם ריאתי מוגבר בחומרה בינונית עד קשה.</t>
  </si>
  <si>
    <t>חדר שמאל בגודל תקין התכוצותו הגלובלית תקינה. חדר ימין בגודל ותפקוד תקין. עליה שמאלית מורחבת במידה קלה. מסתם אורטלי מסויד עם היצרות קשה, דלף קל. אי ספיקה מיטרלית קלה וטריקוספדלית מנימלית. לחץ דם ריאתי תקין.</t>
  </si>
  <si>
    <t>עליה שמאלית מורחבת. חדקר ימין בולט עם תפקוד תקין. אלקטרודה של קוצב בתוכו. חדר שמאל ברוחב תקין עם תפקוד גלובלי תקין, הספטום מעט היפוקינטי. מסתם מיטרלית לאחר תיקון עם דלף קל ומפל מעט מוגבר. מסתםפ אורטלי מסויד, מדגים היצרות קלה עד בינונית. . אס"ק טריקוספידלית בינונית עד קשה( כנראה משנית להפרעה בתנועה של העלה הטריקוספידלי הקידמי על על די האלקטרודה.</t>
  </si>
  <si>
    <t>חדר שמאלי בגודל תקין, ספטום מעובה במידה קלה, התכווצות גלובלית ואיזורית תקינה, חדר ימני בגודל והתכווצות תקינה, מסתם אורטלי מסוייד, הצרות בינונית, אי ספיקה קלה, מראה המסתם תומך בהיצרות קשה יותר אם כי יחס VTI תומך בהיצרות בינונית. מנגד, הנתאמה לשטח גוף מסתם מוצר יותר. יש מקום לשקול TEE או הדמיה אחרת להערכת מידת ההיצרות האורטלית. טבעת מסתם מיטרלי מסויידת, עלי המסתם מוסיידים, אי ספיקה קלה, אי ספיקה טריקוספידלית קלה, אין עדות ליתר לחץ דם ריאתי אם כי תבנית הזרימה על פני מסתם פולמונלי תומכת ביל"ד ריאתי</t>
  </si>
  <si>
    <t>חדר שמאלי בגודל תקין, ספטום מעובה במידה קלה, התכווצות גלובלית ירודה במידה בינונית עד קשה, אקינזיה לטרלית, אינפריורית בזלית, ופוסטריורית. היפוקינזיה קידמית. חדר ימני בגודל והתכווצות תקינה. מסתם אורטלי מסוייד הודגם מפל קטן אבל (קשה להעריך שטח מסתם עקב קושי בהדמיה), אי ספיקה מיטרלית וטריקוספידלית קלה. לחץ דם ריאתי מוגבר במידה בינונית. הגדלה קלה של העליה השמאלית.</t>
  </si>
  <si>
    <t>חדר שמאל מורחבת במידה קלה, תפקודו הסיסוטלי הגלובלי ירוד במידה קלה עם אקינזיה אפיקלית ומיד אנטרוספטאלית, עליה שמאל מורחבת במידה קלה, עליה ימין מורחבת חדר ימין בגודל ותפקוד תקינים , ל"ד ריאתי מוערך מוגבר במידה קלה מסתם אאורטלי מסוייד עם דלף מינימלי ללא הצרות, אנולוס מיטראלי מסוייד ללא הצרות, דלף מיטראלי וטריקוספידלי מינימלי. מודגם תפליט פריקרדיאלי קטן ללא סימני לחץ על מדורים ימניים . סינוסים אאורטליים מורחבים</t>
  </si>
  <si>
    <t>חדר שמאלי מורחב במידה קלה והתכווצותו הגלובלית ירודה במידה קשה, עיבוי של הספטום הבזאלי. חדר ימין תקין בגודלו ובהתכווצות, מסתם אורטלי מסויד, ללא היצרות, הסתיידות טבעת מיטרלית. אי ספיקה מיטרלית בינונית עד קשה רסטריקציה של עלה אחורי ודגט מאוד אקסנטרי אחורי לטרלי, דליפה אורטלית וטריקוספידלית קלה. יתר לחץ דם ריאתי בינוני, הרחבה קלה של העליה השמאלית. תפליט פריקרדיאלי קטן עם מעט לחץ דיאסטולי על העליה. IVC בגודל תקין עם שינויים שנימתיים וזרימה הפוכה בורידי הכבד.</t>
  </si>
  <si>
    <t>חדר שמאלי בגודל תקין, התכווצותו הגלובלית ואיזורית תקינה, תבנית המילוי מעידה על הפרעה ברלקסציה, חדר ימני בגודל ותפקוד תקין, הרחבה קלה של שורש האורטה, מסתם אורטלי מסוייד ללא הצרות, אי ספיקה אורטלית מינימלית, אי ספיקה מיטרלית קלה, אי ספיקה טריקוספידלית קלה, לחץ דם ריאתי מוגבר במידה בינונית, הגדלה קלה של העליה השמאלית, הגדלה של העליה הימנית. IVC בגודל תקין עם שינוי נשימתי חלקי</t>
  </si>
  <si>
    <t>בדיקה באיכות טכנית ירודה. חדר שמאל ברוחב תקין, היפרטרופי, תפקודו הגלובלי מופחת דיפוזית במידה קשה. חדר ימין בגודל ובתפקוד תקין. המסתם האאורטלי מסוייד עם פתיחה תקינה , האנולוס המיטרלי מסוייד. דליפה טריקוספידלית מינימלית, עדות ליתר לחץ דם ריאתי קל. עליה שמאלית מורחבת במידה קלה. תפליט פלאורלי מימין.</t>
  </si>
  <si>
    <t>חדר שמאלי ברוחב תקין, ספטום מעובה, תפקודו הגלובלי של חדר שמאלי מופחת במידה בינונית. הודגמה אקינזיה פוסטריורית, לטרלית ואנפרובזלית. תבנית המילוי מתאימה להפרעה ברלקסציה. חדר ימין ברוחב תקין, תפקודו שמור. פרוזדורים ברוחב תקין. הודגם דלף מיטרלי קל, דלף טריקוספידלי מינימלי, לחץ ריאתי מוערך כתקין.</t>
  </si>
  <si>
    <t>חדר שמאל מורחב במידה קלה, התכווצותו הגלובלית מופחתת במידה קלה, הודגמה אקינזיה אינפרובזלית, אקינזיה ספטו בזלית, אקינזיה פוסטריורית, חדר ימין בגודל ותפקוד תקין, עליות מורחבות במידה בינונית, אי ספיקה אאורטלית בינונית, אי ספיקה מיטרלית בינונית, אי ספיקה טריקוספידלית קלה עד בינונית, לחץ דם ריאתי מוגבר במידה קלה,, לחץ דם ראתי תקין</t>
  </si>
  <si>
    <t>חדר שמאל בגודל תקין, התכווצותו הגלובלית ירודה דיפוזית במידה בינונית-קשה חדר ימין תקין, עליה שמאלית מורחבת במידה קלה, מסתם אאורטלי מסוייד, היצרות אאורטלית קשה, (low flow low gradient low LVEF) אי ספיקה מיטרלית קלה עד בינונית, אי ספיקה טריקוספידלית קלה, לחץ דם ריאתי מוגבר במידה קשה.</t>
  </si>
  <si>
    <t>חדר שמאלי בגודל תקין, דפנותיו מעובים במידה קלה, התכווצות גלובלית ואיזורית תקינה, חדר ימני בגודל והתכווצות תקינה, מסתם אורטלי מסוייד, טבעת מסתם מיטרלי מסויידת, אי ספיקה קלה, אי ספיקה טריקוספידלית קלה עד בינונית, לחץ דם ריאתי מוגבר במידה בינונית, הגדלה קלה של העליה השמאלית. הודגם תפליט פלאורלי דו צדדי.</t>
  </si>
  <si>
    <t>חדר שמאלי בגודל והתכווצות גלובלית תקינה, תבנית המילוי ללא עדות להפרעה דירסטולית, חדר ימני בגודל והתכווצות תקינה, מסתם אורטלי מסויד ללא היצרות משמעותית ודלף קל, דלף מיטרלי מינימלי, דלף טריקוספידלי מינימלי, לחץ דם ריאתי תקין, עליות בגודל תקין, הודגם תפליט פלאורלי משמאל ומימין.</t>
  </si>
  <si>
    <t>חדר שמאלי מורחב, ההתכווצותו גלובלית ירודה במידה בינונית עד קשה, אקינזיה אחורית, לטרלית ואינפריורית, היפוקינזיה שאר הדפנות, חדר ימין תקין בגודלו ותפקודו גבולי, מסתם אורטלי מסוייד עם היצרות בינונית על פניו, אי ספיקה אורטלית קלה עד בינונית, טבעת מסתם מיטרלי מסויידת, אי ספיקה מיטרלית קשה, אי ספיקה טריקוספדלית קלה עד בינונית, לחץ דם ריאתי מוגבר במידה קשה, הגדלה של העליה השמאלית וימנית.</t>
  </si>
  <si>
    <t>קשה טכני, בשכיבה על הגב, בפרפור עליות . חדר שמאלי בגודל תקין והתכווצותו גלובלית ירודה במידה קלה, אקינזיה אינפריורית, מיד-פוסטריורית ושל הספטום בזלי אחורי. ספטום מעובה בבסיסו. חדר ימני בגודל והתכווצות תקינה , מסתם אאורטלי מסויד, פתיחתו תקינה , אי ספיקה מיטרלית וטריקוספידלית מינימלית . אין עדות ליתר לחץ דם ריאתי, הרחבה קלה של העליה השמאלית .</t>
  </si>
  <si>
    <t>חדר שמאלי בגודל תקין, ספטום היפרטרופי, התכווצותו הגלובלית ומופחתת במידה קלה עד בינונית, אקינזיה אחורית, ספטלית, אינפריורית, עם מעורבות לטרלית, תבנית המילוי עם הפרעה ברלקסציה, מסתם אורטלי מסוייד ללא הצרות משמעותית, אי ספיקה אורטלית מינמלית, טבעת ועלי המסתם המיטרלי מסויידים, אי ספיקה מיטרלית קלה, אי ספיקה טריקוספידלית קלה, אין עדות ליתר לחץ דם ריאתי, הגדלה קלה של העליה השמאלית.</t>
  </si>
  <si>
    <t>חדר שמאלי בגודל תקין, ספטום היפרטרופי, התכווצות גלובלית ואיזורית תקינה, חדר ימני בגודל והתכווצות תקינה, מסתם אורטלי מסוייד, הצרות בינונית, אם כי בהתאמה לשטח גוף מדובר בהיצרות קשה יותר, אי ספיקה מינימלית, טבעת מסתם מיטרלי מסויידת, אי ספיקה קלה, אי ספיקה טריקוספידלית בינונית, לחץ דם ריאתי מוגבר במידה קלה, הגדלה קלה של העליה השמאלית. מתאים ללחצי מילוי גבוהים של חדר שמאל.</t>
  </si>
  <si>
    <t>חדר שמאל מורחב במידה קשה, תפקודו הגלובלי מופחת במידה קשה , אקינזיה נרחבת, חדר ימין מורחב והיפוקינטי, הרחבה בינונית של עליה שמאלית, מסתם מיטרלי תותב, מפל לחצים בדומה לבדיקה קודמת, אי ספיקה טריקוספידלית בינונית, לחץ דם ראתי מוגבר במידה קשה, אלקטרודת קוצב בחדר ימין.</t>
  </si>
  <si>
    <t>חדר שמאלי מעט מעובה, בגודל והתכווצות גלובלית ואיזורית תקינה, תבנית המילוי מתאימה להפרעה ברלקסציה, חדר ימני בגודל והתכווצות תקינה, אי ספיקה טריקוספידלית קלה, אין עדות ליתר לחץ דם ריאתי, ללא הגדלה של העליה השמאלית.</t>
  </si>
  <si>
    <t>חדר שמאל מורחב במידה קלה, דפנותיו מעט מעובות, תפקודו הגלובלי והאזורי תקין.תבנית המילוי מתאימה להפרעה בהרפיה, חדר ימין ברוחב ותפקוד תקין. פרוזדור שמאלי מורחב בינונית. מסתם אאורטלי מעט מסוייד, ללא הצרות, הודגם דלף קל. אנולוס מיטרלי מסוייד, דלף מיטרלי קל. דלף טריקוספידלי מינימלי, לחץ ריאתי תקין. הודגם תפליט פריקרדיאלי קטן ללא שינוי מבדיקה קודמת מ-2016</t>
  </si>
  <si>
    <t>בדיקה באיכות טכניתיריודה. חדר שמאלי בגודל והתכווצות גלובלית שמורה, רושם להיפוקינזיה אחורית ואינפריורית, חדר ימני בגודל והתכווצות תקינה, מסתם אורטלי מעט מסוייד, אי ספיקה אורטלית מינימלית, אי ספיקה מיטרלית קלה, לא ניתן להעריך לחץ דם ריאתי, ללא הגדלה של העליה השמאלית.</t>
  </si>
  <si>
    <t>חדר שמאלי בגודלתקין והתכווצות גלובלית ואיזורית תקינה, תבנית המילוי פסאודו - תקינה, חדר ימני בגודל והתכווצות תקינה, מסתם אורטלי מסויד עם הצרות בינונית, אי ספיקה מיטרלית קלה עד בינונית, אין סיגנל דופלר להערכת עדות ליתר לחץ דם ריאתי, הגדלה של העליה השמאלית. תפליט פלאורלי מימין.</t>
  </si>
  <si>
    <t>מושתל לב. חדר שמאלי תקין בגודלו,דופנותיו תקינים בעובים,תפקוד גלובלי תקין עם אסינכרוניה קלה משנית להפרעת ההולכה. תבנית מילוי יכולה להתאים ללחצי מילוי גבוהים של חדר שמאלי. אי ספיקה מיטרלית מינימלית, אי ספיקה טרקיוספידאלית מינימלית. לחץ ריאתי מוגבר במדיה קלה מאוד. הגדלה קלה של העליה השמאלית.</t>
  </si>
  <si>
    <t>חדר שמאלי מורחב עם התכווצות גלובלית מופחתת במידה קשה (ראה פיזור איזרי), תבנית המילוי פסאודונורמלית, חדר ימני מורחב והיפוקינטי, אי ספיקה מיטרלית קלה, מסתם אורטלי תותב עם מפל תקין על פניו, אי ספיקה מיטרלית בינונית וטריקוספידלי בינונית קשה עם יתר לחץ דם ריאתי בחומרה קלה ועליות מורחבות, בהערכת סיכרוניזציה בינחדרית נמצא פער של 29 משנ (לא משמעותי), בהערכת סינכרניזציה חדרית (12 סגמניטים), נמצאה סטיית תקן של 26 משנ (לא משמעותי), הפער בין המחיצה והלטרלית 50 משנ (לא משמעותי), המאחרת ביותר היא הדופן האינפר</t>
  </si>
  <si>
    <t>עליה שמאליתי מורחבת. חדר ימין מורחב והיפוקינטי בינונית. חדר שמאל מעט מורחב עם תפקוד גלבוי ירוד במידה קשה. קאישניה אפיקלית, ספטלית, אינפריורית, מיד פוסטריורית. . השאר היפוקעינטי קשה. מסתם אורטלי מעובה. אס"ק מיטרלית וטריקוספידלית. לחץ ריאתי תקין. תבנית מילוי רסטריקטבית. נוזל פלוירלי מימין.</t>
  </si>
  <si>
    <t>פרפור פרוזדורים איכות הדמיה מוגבלת (האפקס בעיקר לא מודגם היטב) חדר שמאל בגודל תקין ,היפרטרופי במידה קלה, תפקודו הסיסטולי הגלובלי תקין ללא הפרעה אזורית ברורה ,לא ניתן לקבוע תפקוד דיאסטולי , עליה שמאל מורחבת במידה קלה חדר ימין נראה מעט מורחב עם תפקוד סיסטולי תקין , ל"ד ריאתי מוערך מוגבר במידה בינונית מסתם אאורטלי מסוייד ללא דלף או הצרות, אנולוס מיטראלי מסוייד ללא הצרות ,דלף מיטראלי וטריקוספידלי מינימלי</t>
  </si>
  <si>
    <t>מושתל לב. חדר שמאלי מורחב במידה קלה, התכווצותו הגלובלית ירודה במידה קלה-בינונית EF-45%. אקינזיה מידספטלית והיפוקינזיה אפיקלית ואינפריורית. חדר ימני בגודל והתכווצות שמורה. מסתם אאורטלי מסוייד מעט עם דלף קל מאד. אי ספיקה מיטרלית קלה עד בינונית. אי ספיקה טריקוספדלי קשה. לחץ דם ריאתי מודבר במידה בינונית 52 ממ"כ. נצפו אלקטרודות קוצב.</t>
  </si>
  <si>
    <t>חדר שמאלי בגודל תקין, דפנותיו מעובים, ההתכווצותו גלובלית ואיזורית תקינה, חדר ימין תקין בגודלו ותפקודו, מסתם אורטלי מסוייד עם היצרות קלה, מסתם מיטרלי מסוייד עם אי ספיקה מיטרלית בינונית ומפל לחצים מוגבר על פניו (בנוכחות דופק של 85 פעימות לדקה), לחץ דם ריאתי מוגבר במידה קשה, הגדלה של העליה השמאלית וימנית.</t>
  </si>
  <si>
    <t>בדיקה קשה טכנית. חדר שמאלי מורחב במידה קלה, התכווצותו הגלובלית ירודה במדיה קלה, אקינזיה ספטלית, חדר ימני בגודל והתכווצות תקינה, מסתם אורטלי מעט מסויד, מסתם מיטרלי מעובה, טבעת מיטרלית מעט מסודיית, אי סםפיקה מיטרלית קשה, אי ספיקה טריקוספידלית בינונית, לחץ דם ריאתי מוגבר במידה קשה, הגדלה קלה של העליה השמאלית. הפרעה דיסאטולית דרגה III.</t>
  </si>
  <si>
    <t>חדר שמאלי מורחב במידה בינונית, ספטום מעובה במידה קלה, התכווצות גלובלית ירודה במידה בינונית עד קשה, אקינזיה פוסטריורית ולטרלית שאר הדפנות היפוקינטי, חדר ימני מורחב, התכווצות שמורה, מסתם אורטלי תותב מכני עם מפל לחצים תקין על פניו, מסתם מיטרלי תותב מכני עם מפל לחצים תקין על פניו, אי ספיקה טריקוספידלית בינונית, לחץ דם ריאתי מוגבר במידה בינונית, הגדלה בינונית של העליה השמאלית.</t>
  </si>
  <si>
    <t>חדר שמאלי בגודל והתכווצות גלובלית ואיזורית תקינה, תבנית המילוי פסאודו - תקינה, חדר ימני מורחב והתכווצותו מעט מופחתת , מבתם אורטלי תותב ביולוגי עם מפלים מוגברים המצביעים על הצרות משמעותית, אי ספיקה מיטרלית קלה עד בינונית, אורטלית קלה וטריקוספידלית קלה עד בינונית. עדות ליתר לחץ דם ריאתי בחומרה בינונית, ללא הגדלה של העליה השמאלית, הימנית מורחבת. בהשוואה לבדיקת אקו בשיבא מלפני שנה יש עליה במפל על המסתם התותב, (26)48 ממכ ל (40)71 ממכ יש לפנות לרופא המטפל שהפנה לבדיקה בהקדם.</t>
  </si>
  <si>
    <t>מטופל בפרפור 110-144 במהלך הבדיקה חדר שמאל הגודל תקין, דפנותיו מעובות. קיימת אקינזיה אפיקלית עם קושי בהערכת התפקוד הסיסטולי הכולל עקב AF מהיר עם R-R משתנה. רושם לירידה בינונית בתפקוד הסיסטולי של חדר שמאל. לא ניתן להעריך תפקוד דיאסטולי. חדר ימין בגודל ותפקוד תקינים. עלי מסתם אאוטלי וטבעת מסתם מיטראלי מסויידים. דלף מיטראלי וטריקוספידלי קל. נמדד יתר לחץ דם ריאתי קשה.</t>
  </si>
  <si>
    <t>חדר שמאל מורחב במידה קלה, הפרטרופי, התכווצות גלובלית מופחתת במידה קלה ,אקינזיה פוסטריוריות, לטרלית, עליה שמאלית מורחבת במידה קלה, חללי הלב ימניים תקינים, טבעת מסתם מיטרלי מסוידת, אי ספיקה מיטרלית קלה עד בינונית, מסתם אורטלי מסויד, עם מפלים מוגברים על פניו המתאים להיצרות קלה אי ספיקה אורטלית קלה, אי ספיקה טריקוספידלית קלה עד בינונית, לחץ דם ריאתי מוגבר במידה בינונית, IVC רחבה עם תמת נשימתי חלקי.</t>
  </si>
  <si>
    <t>חדר שמאלי מורחב, התכווצות גלובלית ירודה במידה קשה. חדרר ימני מורחב עם ירידה בינונית לפחות בהתכווצות, דלף בינוני מיטרלי, קשה להדמיה, דלף קשה של טריקספיד, עדות ליתר לחץ דם ריאתי בינוני, הגדלה בינונית של העליה השמאלית. הגדלה של עליה ימין. מתאים ללחצי מילוי גבוהים של חדר שמאל. הרחבה של אורטה עולה. בבדיקת סינכרוניזציה בינחדרית: חדר ימין מתכוות 22 מילישניות לפני חדר שמאל - לא תקין. בבדיקת סינכרוניזציה תוך חדרית:YU INDEX=43MSEC. לא תקין, קיר לטרלי מתגכווץ 50 מילישניות לאחר קיר ספטלי.</t>
  </si>
  <si>
    <t>חדר שמאלי בגודל בגודל תקין, התכווצותו ירודה במידה בינונית, אקינזיה אפיקלית רחבה, חדר ימני בגודל והתכווצות תקינה, מסתם אורטלי מסוייד עם דלף מינימלי, טבעת מסתם מיטרלי מסויידת ,דלף מיטרלי קשה, גט אחורי לטרלי, TENTING של עלה קידמי המחליק על פני עלה אחורי רסטרקטיבי. דלף טריקוספידלי קשה, לחץ דם ריאתי מוגבר במידה קשה, ללא הגדלה של העליה השמאלית.תפליט פריקרדיאלי מינימלי, תפליט פלואורלי.</t>
  </si>
  <si>
    <t>חדר שמאלי בגודל תקין, דפנותיו מעובות במידה קלה, התכווצות גלובלית ואיזורית תקינה, חדר ימני בגודל והתכווצות תקינה, אי ספיקה מיטרלית וטריקוספידלית מינימלית, לא ניתן להעריך לחץ דם ריאתי בהעדר סיגנל TR, העליה השמאלית מורחבת במידה קלה.</t>
  </si>
  <si>
    <t>חדר שמאל בגודל תקין, התכווצות גלובלית ירודה במידה בינונית, אקינזיה ספטלית, היפוקינזיה אינפריורית ואחורית., תבנית מילוי רסטריקטיבית, עליה שמאלית מורחבת במידה בינונית, חדר ימני מורחב עם תיפקוד ירוד במידה בינונית לפחות, עליה ימנית מורחבת במידה קלה עד בינונית, אי ספיקה מיטרלית קלה, אי ספיקה טריקוספידלית בינונית, לחץ דם ריאתי מוגבר במידה בינונית, הודגם קוצב בחללי הלב ימניים, הודגם נוזל פלאוראלי מימין.</t>
  </si>
  <si>
    <t>חדר שמאל בגודל תקין, ספטום היפרטרופי, התכווצותו הגלבולית יירודה במידה קלה, אקיזניה אינפריורית, היפוקינזיה פוסטריורית, חדר ימין בגודל ותפקוד תקינים, הרחבה קלה של עליה שמאלית, מסתם אאורטלי מסוייד, טבעת המסתם מיטרלית מסויידת, אי ספיקה מיטרלית קלה, אי ספיקה טריקוספידלית מינימלית, לחץ דם ריאתי מוגבר במידה בינונית.</t>
  </si>
  <si>
    <t>הדמיה קשה. חדר שמאל מורחב ,תפקודו הסיסטולי הגלובלי ירוד במידה קלה. הודגמה אקינזיה אינפריורית עם מעורבות אחורית לטרלית. חדר ימין בגודל ותפקוד תקינים. עליה שמאלית מורחבת. מסתם אורטלי מסוייד, ללא הצירות, דלף קל. מסתם המיטרלי מסוייד, דלף מיטרלי קל עד בינוני. אי ספיקה טריקוספידלית קלה, לחץ דם ריאתי תקין.</t>
  </si>
  <si>
    <t>איכות הדמיה נמוכה (קשה להעריך הפרעות איזוריות כראוי) חדר שמאל מעט מורחב, היפרטרופי במידה קלה, תפקודו הסיסטולי הגלובלי תקין ללא הפרעה אזורית ברורה תבנית המילוי הדיאסטולי פסאודונורמלית, עליה שמאל מורחבת במידה בינונית. חדר ימין בגודל תקין עם תפקוד סיסטולי תקין (בהסתייגות שלא מודגם היטב) , לא ניתן להעריך ל"ד ריאתי בהעדר סיגנל TR מספק. מסתם אאורטלי מעובה קלות ללא דלף או הצרות, דלף מיטראלי וטריקוספידלי מינימלי. לא הודגמה הרחבה של אאורטה עולה</t>
  </si>
  <si>
    <t>חדר שמאל בגודל תקין, היפרטרופיה של הספטום הבזלי, ההתכווצותו הגלובלית ירודה במידה קשה, דיסקינזיה אפיקלית, אקינזיה ספטלית, אקינזיה אינפריורית ואחורית, תבנית מילוי פסאודונורמאלית, חדר ימין בגודל ותפקוד תקין, עליה שמאלית מורחבת במידה קלה, אי ספיקה מיטרלית קלה, אי ספיקה טריקוספידלית מינימלית</t>
  </si>
  <si>
    <t>חדר שמאלי בגודל והתכווצות גלובלית ואיזורית תקינה, חדר ימין תקין, הסתיידות אנולוס מיטרלי, דליפה מינימלית של מסתם אורטלי מיטרלי וטריקספידלי, עדות ליתר לחץ דם ריאתי קל, הגדלה קלה של העליה השמאלית. יכול להתאים ללחצי מילוי גבוהים של חדר שמאל. עליה ימין מורחבת. תפליט פריקרדיאלי קל, מעט יותר מאשר בבדיקה קודמת.</t>
  </si>
  <si>
    <t>חדר שמאלי מורחב במידה קלה, ההתכווצותו גלובלית ירודה במידה קשה בצורה דיפוזית, חדר ימין תקין בגודלו, תפקודו שמור, אי ספיקה מיטרלית קלה, אי ספיקה טריקוספדלית מינמלית, לחץ דם ריאתי מוגבר במידה בינונית, הגדלה קלה של העליה השמאלית, נוזל פריקרדירלי בכמות מינימלית, נוזל פלאורלי מימין .</t>
  </si>
  <si>
    <t>חדר שמאל מורחב במידה בינונית, התכווצות גלובלית ירודה במידה בינונית-קשה, עליות מורחבות במידה קלה, אי ספיקה מיטרלית בינונית, אי ספיקה אאורטלית מינימלית, אי ספיקה טריקוספידלית קלה. חדר ימני מורחב עם תיפקוד ירוד במידה קלה-בינונית, לחץ דם ריאתי מוגבר במידה בינונית. הודגמה אלקטרודת קוצב בחללי הלב הימניים הודגם נוזל פלאוראלי.</t>
  </si>
  <si>
    <t>חדר שמאלי מורחב במידה קלה, עם התכווצות גלובלית מופחתת במידה קשה, תבנית המילוי רסטרקטיבית חדר ימני מורחב עם תפקוד מופחת במידה קשה, מסתם אורטלי מסויד, דלף מיטרלי קל, דלף טריקוספדלי קשה, IVC רחב ללא הענות נשימתית , לא ניתן להדגים לח"ד ריאתי בגלל חומרת הדלף הטריקוספידלי ,הודגם תפליט פלאורלי דו"צ</t>
  </si>
  <si>
    <t>לב מושתל.חדר שמאל בגודל תקין, דפנותיו מעובות התכווצותו הגלובלית והאיזורית תקינה. חדר ימין בגודל תקין. תבנית מילוי תקינה. אי ספיקה מיטרלית קלה אי ספיקה טריקוספדלית מנימלית, לחץ דם ריאתי תקין</t>
  </si>
  <si>
    <t>בדיקה טכנית קשה מאוד. חדר שמאל בגודל תקין התכוצותו הגלובלית מופחתת במידה קלה עד בינונית.חדר ימין עם רושם לתפקוד שמור. תבנית מילוי עם הפרעה ברלקסציה.עליה שמאלית מורחבת. לא ניתן לדון על ממצאים נוספים בשל איכות הבדיקה.</t>
  </si>
  <si>
    <t>חדר שמאל מורחב, תפקודו הגלובלי מופחת במידה קשה, עם היפוקינזיה דיפוזית חדר ימין מורחב עם תפקוד מופחת. דליפה מיטרלית קלה, דליפה טריקוספידלית בינונית, IVC מורחב ללא שינוי נשימתי , עדות ליתר לחץ דם ריאתי בינוני. עליה שמאלית מורחבת במידה בינונית.</t>
  </si>
  <si>
    <t>ביקורת. חדר שמאלי מורחב והתכווצות גלובלית ירודה במידה קשה, אקינזיה ספטלית, אפיקלית , קידמית, היפוקינזיה אינפריורית חדר ימני בגודל והתכווצות תקינה עם אלקטרודת קוצב בתוכו, מסתם מיטרלי לאחר MITRAL CLIP, אי ספיקה מיטרלית בינונית, מפל לחצים מוגבר על פניו, מסתם טריקוספדלי לאחר CLIP עם אי ספיקה קלה עד בינונית, לחץ דם ריאתי מוגבר במידה בינונית, הגדלה של העליה השמאלית.</t>
  </si>
  <si>
    <t>ליד מיטת החולה + מסכת חמצן חדר שמאלי תקין בגודלו, דפנותיו ובעיקר הספטום מעובות, והתכווצותו גלובלית ירודה במידה קלה עד בינונית. תבנית המילוי רסטריקטיבית. חדר ימני מורחב במידה קלה והתכווצותו ירודה במידה קלה. עליות מורחבות. אי ספיקה מיטרלית קלה עד בינונית, הסתיידות טבעת מיטרלית. מסתם אאורטלי מסוייד עם אי ספיקה קלה. אי ספיקה טריקוספידלית קלה עד בינונית. לחץ דם ריאתי מוגבר במידה קשה. תפליטים פלאורליים, תפליט פריקרדיאלי מינימלי. IVC רחב, ללא תמט.</t>
  </si>
  <si>
    <t>חדר שמאל מורחב, דפנותיו אינן מעובות, קיימת פגיעה נרחבת וקשה בהתכווצות הדפנות עם תפקוד סיסטולי גלובלי ירוד במידה קשה. לא ניתן להעריך תפקוד דיאסטולי. חדר ימין בגודל תקין עם ירידה קלה בתפקודו. עליה שמאל מעט מורחבת. עלי מסתם אאורטלי מסויידים, דרך המסתם אי ספיקה קלה. אי ספיקה מיטרלית בינונית עם tenting של העלים וסילון אקסנטרי אחורי. אי ספיקה טריקוספידלית קלה. נימדד יתר לחץ דם ריאתי מוגבר במידה קלה. מודגמת אלקטרודה בחללים ימניים.</t>
  </si>
  <si>
    <t>חדר שמאל מורחב במידה קשה תפקודו הגלובלי ירוד במידה קשה ביותר (רוב הדפנות אקינטיות ויש מעט סגמנטים היפוקינטיים גם הם עם היפוקיניזה קשה). עליה שמאל מורחבת במידה ניכרת. חדר ימין מורחב ותפקודו ירוד במידה קשה. ל"ד ריאתי מוגבר במידה קלה. מסתם אארוטלי במבנה ותפקוד תקינים. מסתם מיטראלי עם רסטריקציה של עלה אחורי הגורמת לדף בחומרה עד קשה. דלף טריקוספידלי בינוני. אלקטרודת קוצב בחללי הלב הימניים.</t>
  </si>
  <si>
    <t>בדיקת אקו חלקית בחשד לטמפונדה מודגם חדר שמאלי מעובה בצורה קונצנטרית (גם החדר הימני מעובה), התכווצות גלובלית תקינה ללא הפרעה אזורית ברורה, מודגם תפיט פריקרדיאלי גדול, פחות סביב החדר הימני, לא מודגמת דחיקת חללים, הוריד הנבוב התחתון אינו מורחב ויש השתנות נשימתית. בהשוואה לבדיקה שבוצעה באפריל כמות התפליט דומה, ולהערכתי אינו גורם להשפעה המודינמית משמעותית.</t>
  </si>
  <si>
    <t>חדר שמאלי ברוחב תקין, ספטום מעט מעובה ואסינכרוני, תפקודו הגלובלי והאזורי תקין EF-57%. סימנים ללחצי מילוי מוגברים. גל E גבוה עם יחס גבוה ב TDI - נובע מ MR משמעותי והפרעה דיאסטולית. חדר ימין מורחב מעט והיפוקינטי קל. פרוזדורים מורחבים במידה קלה. מסתם מיטרלי מעובה וכיפתי עם הגבלה בתנועת עלה אחורי. היצרות מטרלית קלה מפל 10/5 ודלף בינוני-קשה (בגבול קשה). הודגם דלף טריקוספידלי בינוני עד קשה ופולמונלי קל. לחץ ריאתי 73 ממ"כ מוגבר במידה קשה. אנוריזמה של IAS . הודגם PFO קטן עם מעבר משמאל לימין.</t>
  </si>
  <si>
    <t>חדר שמאלי מורחבת במידה בינונית, תפקודו הגלךובלי הסיסטולי מופחת במביהד יבנונית עד קשה עם אקינזיה לטלרית אחרוית תחתונה , קמדית היפוקנזיה של השאר. תבנית מילוי דיאסטולי פסוידונורמלית חדר ימין בגודל ותפקוד תקינים עליה שמאלית ברוחב תקין מסתם אוארטלי עם דלף מנימלי מסתם מטרלי עם דלף קל עד נבינוני דלף טריקוספידלי קל לחץ דם ראתי סיסטולי מוערך כתקין וריד נבוב תחתון אינו מורחב ועובר תמט נשימתי הולם באינספיריום ללא תפליט פריקרדיאלי אאורטה עולה ושורש האאורטה ברוחב תקין אלקטרודת קוצב</t>
  </si>
  <si>
    <t>חדר שמאל בגודל תקין, דפנותיו מעובות, תפקודו הסיסטולי הגלובלי תקין. לא ניתן להעריך תפקוד דיאסטולי. חדר ימין בגודל ותפקוד תקינים. מבנה ותפקוד מסתמים תקין. לא נימדד יתר לחץ דם ריאתי. שורש אאורטה ואאורטה עולה מורחבים. ללא עדות לתפליט פריקרדיאלי.</t>
  </si>
  <si>
    <t>חדר שמאל מורחב במידה קלה, היפרטרופי במידה קלה, תפקודו הסיסטולי הגלובלי תקין ללא הפרעה אזורית ברורה, לא ניתן לקבוע תפקוד דיאסטולי,עליות מורחבות במידה קלה. חדר ימין בגודל ותפקוד תקינים , ל"ד ריאתי מוערך מוגבר במידה קלה. מסתם אאורטלי מסוייד ללא דלף או הצרות, אנולוס מיטראלי מסוייד, דלף מיטראלי קל, דלף טריקוספידלי מינימלי . מודגם תפליט פריקרדיאלי מינימלי חסר משמעות המודינמית.</t>
  </si>
  <si>
    <t>בדיקה קשה טכנית חדר שמאלי בגודל תקין התכווצות גלובלית ואיזורית תקינה, תבנית המילוי תקינה, חדר ימני בגודל והתכווצות תקינה, עיבוי עלי המסתם האורטלי עם דלף מינימלי, אי ספיקה מיטרלית וטריקוספידלית קלה, לחץ דם ריאתי תקין, עליות תקינות.</t>
  </si>
  <si>
    <t>הבדיקה בוצעה כשהנבדק בישיבה. חדר שמאל מורחב במידה קלה, היפרטרופי, תפקודו הגלובלי מופחת במידה קשה עם היפוקינזיה דיפוזית יותר בולטת באפקס. חדר ימין בגודל תקין עם תפקוד מופחת במידה קלה. דליפה מיטרלית בחומרה קלה עד בינונית. בהעדר דליפה טריקוספידלית לא ניתן למדוד לחץ דם ריאתי. עליה שמאלית מורחבת במידה בינונית. האאורטה העולה והסינוסים האורטלים מורחבים במידה קלה. תבנית מילוי פסוידו נורמלית.</t>
  </si>
  <si>
    <t>חדר שמאל תקין בגודלו , התכווצותו ירודה במידה קלה-בינונית בצורה דיפוזית ללא הפרעה איזורית ברורה, דפנותיו מעובים,עליה שמאלית בגודל תקין, מסתם אאורטלי מעט מסוייד, אי ספיקה אאורטלית קלה, אי ספיקה מיטרלית וטריקוספידלית קלה, לא הודגמה עקומת TR להערכת לחץ דם ראתי</t>
  </si>
  <si>
    <t>חדר שמאלי בגודל תקין, התכווצותו הגלובלית שמורה, חדר ימני מורחב במידה קלה, תפקודו מופחת במידה קלה, מסתם אורטלי מסוייד שטח מסתם מחושב מתאים להצרות בינונית, מפל לחצים לא בהתאמה יתכן משני לנפח פעימה נמוך, טבעת המסתם המיטרלי מסויידת, אי ספיקה מיטרלית קלה, אי ספיקה טריקוספידלית בינונית, לחץ דם ריאתי מוגבר במידה קשה, הגדלה קלה של העליה השמאלית, הודגמה מיימת.</t>
  </si>
  <si>
    <t>הדמיה קשה טכנית, בוצעה בשכיבה על הגב. חדר שמאלי מורחב במידה קלה, התכווצות גלובלית ירודה במידה קשה, אקינזיה אינפריורי, פוסטריורית, ספטלית ואפיקלית. חדר ימני בגודל תקין, התכווצות ירודה במידה קלה, אי ספיקה מיטרלית בינונית עד קשה, אי ספיקה טריקוספידלית קלה. לחץ דם ריאתי מוגבר במידה קלה. הגדלה קלה של העליה השמאלית.</t>
  </si>
  <si>
    <t>מטופל באי שקט. חדר שמאלי בגודל תקין, התכווצות גלובלית ירודה במידה בינונית לקשה, הירידה היא גלובלית אך בולטת יותר בקיר תחתון אחורי ספטלי, חדר ימני בגודל תקיןם עם ירידה לפחות בינונית בהתכווצותו, מסתם אורטלי מסוייד, עלי מסתם מיטרלי מסויידים, אי ספיקה מיטרלית בינונית, אי ספיקה טריקוספידלית קלה עד בינונית. לחץ דם ריאתי מוגבר במידה קשה. הגדלה קלה של העליה השמאלית. הודגם תפליט פלאורלי דו צדדי.</t>
  </si>
  <si>
    <t>חדר שמאלי בגודל תקין, ספטום היפרטרופי, התכווצותו הגלובלית תקינה, אקינזיה אינפרו-בזלית, חדר ימני בגודל והתכווצות תקינה, טבעת המסתם המיטרלי מסויידת, אי ספיקה מיטרלית קלה, אי ספיקה טריקוספידלית קלה, לחץ דם ריאתי מוגבר במידה קלה, הגדלה קלה של העליה השמאלית, הגדלה של העליה הימנית.</t>
  </si>
  <si>
    <t>חדר שמאלי מעובה, בעיקר במחיצה, בגודל תקין והתכווצות גלובלית מופחתת במידה קשה, ירידה די דיפוזית, אין פעילות מכנית בעליה השמאלית, חדר ימני בגודל תקין והתכווצות מעט מופחתת, מבנה המסתמים תקין, אי ספיקה אורטלית קלה, מיטרלית וטריקוספידלית קלה עד בינונית, עדות ליתר לחץ דם ריאתי, הגדלה של העליה השמאלית והימנית, קוצב מימין, IVC עם הענות נשימתית מופחתת. גירגור עדין בשריר הלב מחשיד לעמילואיד.</t>
  </si>
  <si>
    <t>חדר שמאל מורחב , תפקודו הגלובלי מופחת במידה קשה , אקינזיה אינפריורית אחורית לטרלית עם מעורבות אפיקלית, היפוקינזיה קשה של שאר הדפנות, תבנית המילוי רסטרקטיבית, חדר ימין מורחב עם תפקוד מופחת במידה בינונית, הרחבה של עליה שמאלית, מסתם אאורטלי מסוייד, אי ספיקה אאורטלית קלה, מסתם מיטרלי מעובה ומסוייד , TETHERING קשה של עלי המסתם, אי ספיקה מיטרלית קלה-בינונית, אי ספיקה טריקוספידלית בינונית-קשה, לחץ דם ראתי מוגבר במידה קשה, אלקטרודת קוצב בחדר ימין , הודגמה מיימת.</t>
  </si>
  <si>
    <t>חדר שמאלי מורחב עם התכווצות גלובלית ואיזורית תקינה, היפרטרופי, חדר ימני בגודל והתכווצות תקינה, מסתם אאורטלי מסוייד ומוצר במידה קלה, אי ספיקה אורטלית בינונית, יש מקום להדמות ב TEE את מדית הדלף, תיתכן תת הערכה, אי ספיקה מיטרלית קלה לבינונית ודלף וטריקוספידלי בינוני, לחץ דם ריאתי מוגבר במידה בינונית, עליות מורחבות. הרחבה של אורטה עולה סינוס אורטחלי וקשת האורטה.</t>
  </si>
  <si>
    <t>חדר שמאל מורחב, התכווצותו הגלובלית ירודה במידה קשה, אקינזיה אפיקלית, ספטלית, ואנטריורית, חדר ימין מורחב במידה קלה תפקודו מופחת, מסתם אאורטלי מעובה, אי ספיקה אאורטלית מינימלית, אי ספיקה מיטרלית קלה עד בינונית, אי ספיקה טריקוספידלית קלה , לחץ דם ריאתי מוגבר במידה קלה, חדר ימין בגודל ותפקוד תקין, הודגמה אלקטרודת קוצב בחללים הימניים, ממצא מובילי על אלקטרודת הקוצב בחלקה העליתי (משמעות בהתאם לקלניקה) .</t>
  </si>
  <si>
    <t>הדמיה קשה טכנית ממנחים אפיקליים. חדר שמאלי בגודל תקין, קושי בהערכת תפקד אזורי עקב הדמיה מוגבלת של האנדוקרד אך רושם כי התפקוד הגלובלי שמור. הפרעה דיאסטולית דרגה 2. חדר ימני בגודל תקין והתכווצות תקינה. מסתם אאורטלי תקין. דליפה מיטרלית וטריקוספידלית קלה. לחץ דם ריאתי גבולי. הגדלה קלה של העליה השמאלית.</t>
  </si>
  <si>
    <t>חדר שמאל בגודל ותפקוד תקין, חדר ימין בגודל תקין, תפקודו שמור, הרחבה קשה של עליה שמאלית וימנית, מסתם אאורטלי מסוייד, היצורת אאורטלית בינונית, אי ספיקה אאורטלית קלה, מסתם מיטרלי תותב מתכתי, תנועת הדסקות נראית תקינה, מפל לחצים מוגבר על פניו בדומה לבדיקה קודמת, לא הודגם דלף משמעותי, מסתם טריקוספידלי תותב מתכתי עם מפל לחצים מוגבר בדומה לבדיקה קודמת, לחץ דם ראתי מוגבר במידה קשה, IVC רחב ללא שינוי נשימתי, הודגמה מיימת.</t>
  </si>
  <si>
    <t>הדמיה קשה מאוד, קשה להעריך תיפקוד חדרים, חדר שמאלי מורחב עם ירידה עד קלה לבינונית בתיפקוד, חדר ימין מורחב עם ירידה בינונית בתיפקוד, דלף קל מיטרלי ודלף בינוני של טריקספיד, עדות ליתר לחץ דם ריאתי בינוני לקשה, הגדלה קלה של העליה השמאלית והימנית. תבנית המילוי רסטרקטיבית.</t>
  </si>
  <si>
    <t>חדר שמאלי ברוחב תקין, הפרטראופי, תפקודו הגלובלי בגבול הנורמה, חדר ימין מעט מורחב, תפקודו מופחת במידה קשה. פרוזדורים מורחבים. מסתם אאורטלי מסוייד, הצרות קלהץ הודגם דלף מיטרלי מינימלי, דלף טריקוספידלי קל עד בינוני, לחץ ריאתי מוגבר במידה קשה. הודגם תפליט פריקרדיאלי מינימלי, הודגם תפליט פלאוראלי.</t>
  </si>
  <si>
    <t>חדר שמאל במעט מורחב, דפנותיו אינן מעובות, תפקודו הסיסטולי הגלובלי ירוד במידה בינונית (ראה פיזור אזורי). הפרעה דיאסטולית דרגה 1. חדר ימין בגודל ותפקוד תקינים. עלי מסתם אאורטלי מעט מסויידים, דרך המסתם דלף מיזערי. אי ספיקה מיטרלית וטריקוספידלית מיזערית. לא נימדד יתר לחץ דם ריאתי. הודגם PDA - ידוע מבדיקות קודמות.</t>
  </si>
  <si>
    <t>בדיקה קשה טכנית. חדר שמאלי ברוחב תקין, ספטום מעט מעובה, תפקודו הגלובלי תקין יפוקינזיה אינפרובזאלית. חדר ימין ברוחב ותפקוד תקין. פרוזדור שמאלי מעט מורחב.אנולוס מיטרלי מסוייד במדה קלה, דלף מיטרלי קל עד בינוני. מסתם אאורטלי מעט מסוייד, לא הודגמה הפרעה המודינמית. דלף טריקוספידלי מינימלי, לחץ ריאתי מוערך כתקין.</t>
  </si>
  <si>
    <t>בדיקה קשה טכנית חדר שמאלי מורחב במידה קלה עם התכווצות גלובלית שמורה, היפוקינזיה ספטלית , חדר ימני עם התכווצות שמורה( גבולית) אלקטרודת קוצב בתוכו, מסתם אורטלי מעט מסויד, דלף אורטלי ומיטרלי מינימלי,דלף טריוספידלי בינוני,IVC רחב ללא הענות נשימתית, לח"ד ריאתי מוגבר במידה קשה, תפליט פריקרדיאלי משמאל בכמות מינימלית</t>
  </si>
  <si>
    <t>חדר שמאלי בגודל תקין והתכווצותו ירודה במידה בינונית, ראה פיזור אזורי, ספטום מעובה במידה קלה, חדר ימני בגודל תקין והתכווצותו ירודה במידה קשה, מסתם אורטלי מסוייד, מסתם מיטרלי מסוייד ומוצר במידה קלה,אי ספיקה מיטרלית בינונית, אי ספיקה טריקוספידלית קשה, לחץ דם ריאתי מוגבר במידה קשה, עליות מורחבות, תפליט פלאוראלי מימין.</t>
  </si>
  <si>
    <t>עליה שמאלית מורחבת. חדר ימין היפוקינטי קשה. חדר שמאל ברוחב תקין עם תפקוד גלובלי ירוד במידה בינונית עד קשה. אקינזיה אחורית, לטרלית, אפיקלית, אינפריורירת. השאר היפוקינטני. אס"ק מיטרלית ביננית. אס"ק טריקספידלית בינונית. יל"ד ריאתי קשה. תבנית מילוי רסטריקטיבית. מיימת. נוזל פלוירלי משמאל. אקלטרודת קוצב מימין. בדיקת סינכרוניזציה: חדר ימין מתכווץ 0 מילישניות לפני חדר שמאל ( לא משמעותי) YU INDEX=22( לא משמעותי) BAX INDEX=500לא משמעותי) הקיר הספטלי מתכווץ אחרון.</t>
  </si>
  <si>
    <t>לב מושתל, בדיקה בוצעה בשיבה על הגב, חדר שמאל מורחב במידה קלה, התכווצותו הגלובלית מופחתת במידה קלה , אקינזיה אינפרו-בזאלית, חדר ימין התכצותו שמורה, אי ספיקה מיטרלית בינונית, אי פסיקה טריקוספידלית קלה עד יבנונית, לחץ דם ריאתי מוגבר במידה בינונית</t>
  </si>
  <si>
    <t>חדר שמאל בגודל תקין ,תפקודו הסיסטולי הגלובלי תקין ללא הפרעה אזורית ,,תבנית המילוי הדיאסטולי פסאודונורמלית ,עליה שמאל מורחבת במידה קלה חדר ימין בגודל ותפקוד תקינים , ל"ד ריאתי מוערך מוגבר במידה קלה מבנה ותפקוד המסתמים תקין</t>
  </si>
  <si>
    <t>חדר שמאל מורחב במידה קשה, היפרטרופיה קלה, תפקודו הגלובלי מופחת במידה קשה באופן דיפוזי, תבנית המילוי רסטרקטיבית, חדר ימין בגודל ותפקוד תקין, הרחבה בינונית של עליה שמאלית , TETHERING של עלי המסתם המיטרלי, אי ספיקה מיטרלית קלה-בינונית, מסתם אאורטלי מעובה, אי ספיקה מינימלית, אי ספיקה טריקוספידלית קלה, לחץ דם ראתי מוגבר במידה בינונית, אלקטרודת קוצב בחדר ימין .</t>
  </si>
  <si>
    <t>לב מושתל .חדר שמאל בגודל תקין התכוצותו הגלובלית תקינה. חדר ימין בגודל ותפקוד תקין. תבנית מילוי תקינה. אי ספיקה מיטרלית וטריקוספדלית מנימלית. ללא סיגנל TRברור</t>
  </si>
  <si>
    <t>חדר שמאל מורחב, תפקודו הגלובלי מופחת במידה קשה, תבנית המילוי פסאודונורמאלית, חדר ימין בגודל ותפקוד תקין , הרחבה בינונית של עליה שמאלית, אי ספיקה מיטרלית קלה-בינונית, אי ספיקה טריקוספידלית קשה, אלקטרודת קוצב בחדר ימין , לחץ דם ראתי מוגבר במידה קשה, לא הודגמו וגטציות על פני מסתמי הלב ועל פני הקוצב , לא הודגם טרומבוס בחללי הלב, לא הודגם PFO</t>
  </si>
  <si>
    <t>חדר שמאל מורחב עם התכווצות גלובלית ירודה במידה בינונית, ישנה אקינזיה ודיסקינזיה אפיקלית נירחבת, מעורבות אחורית לטלרית והיפוקינזיה קידמית. חדר ימין שמור, מסתם אורטלי מעובה עם דלף מינימלי, מסתם מיטרלי עם דלף קל לבינוני, דלף מינימלי של טריקספיד, ניצפה PFO עם שנט משמאל לימין.</t>
  </si>
  <si>
    <t>חדר שמאלי בגודל תקין,והתכווצות גלובלית מופחתת במידה קשה, ירידה גלובלית דיפוזית, אין פעילות מכנית בעליה השמאלית, חדר ימני מורחב והיפוקינטי קל, קוצב מימין, אי ספיקה טריקוספידלית בינונית, מיטרלית קלה ואורטלית מינימלית, עדות ליתר לחץ דם ריאתי קל, הגדלה של העליה השמאלית.</t>
  </si>
  <si>
    <t>חדר שמאלי בגודל תקין, התכווצותו הגלובלית ואיזורית תקינה, תבנית מילוי דיאסטולי מתאימה להפרעה דרגה II ( פסוידונורמלית), חדר ימני בגודל והתכווצות תקינה, מסתם אורטלי מעט מסוידף, אי ספיקה אורטלית קלה, אי ספיקה מיטרלית בינונית, אי ספיקה טריקוספידלית קלה עד בינונית, לחץ דם ריאתי מוגבר במידה בינונית, הגדלה קלה של העליה השמאלית. וריד נבוב תחתון מורחב ולא עובר תמט נשימתי הולם ללא עדות לתפליט פריקרדיאלי ללא הרחבה של אורטה עולה או שורש האאורטה</t>
  </si>
  <si>
    <t>הדמיה תת-אופטימלית. חדר שמאלי בגודל ותפקוד תקינים. עיבוי הדפנות בחדר שמאל. תבנית זרימה בדופלר פסאודונורמלית. חדר ימין בגודל ותפקוד תקינים. פרוזודר שמאלי מורחב. אנולוס מיטרלי ומסתם אאורטלי מעט מסוידים פתיחתם תקינה. עדות לנוזל פריקרדיאלי במידה קלה. IVC- מורחב -2.8ס"מ עם תגובה רספירטורית מופחתת. וגודש של הורידים ההפטיים.</t>
  </si>
  <si>
    <t>חדר שמאל עם חלל בגודל תקין ,הספטום מעובה במידה קלה, תפקודו הסיסטולי הגלובלי של חדר שמאל תקין ללא הפרעה אזורית ,לא ניתן לקבוע תפקוד דיאסטולי, עליה שמאל מורחבת במידה קלה-בינונית, עליה ימין מורחבת חדר ימין בגודל תקין (לציין רושם שיש הרחבה של האנולוס הטריקוספידלי), תפקודו הסיסטולי הגלובלי מופחת במידה גבולית, ל"ד ריאתי מוערך מוגבר במידה קלה (תתכן תת הערכה בגלל סיגנל TR חלש) מסתם אאורטלי מסוייד קלות ללא דלף או הצרותדלף מיטראלי קל , מודגם דלף טריקוספידלי קל בלבד אולם לציין שיש היפוך זרימה סיסטולי ב</t>
  </si>
  <si>
    <t>חדר שמאל בגודל תקין, תפקודו הגלובלי מופחתת במידה קלה עד בינונית בדומה לבדיקה קודמת, אקינזיה פוסטריורית, אינפריורית, חדר ימין מורחב מעט, תפקודו מופחת במידה קלה עד בינונית. עליות מורחבות במידה קלה. אי ספיקה מיטרלית מינימלית. אי ספיקה טריקוספידלית קלה. לחץ דם ריאתי מוגבר במדיה קלה,. הפרעה ברלקסציה של חדר שמאל עם לחצי מילוי גבוהים.</t>
  </si>
  <si>
    <t>חדר שמאלי בגודל תקין, תפקודו הגלובלי תקין , היפוקינזיה אינפרובזאלית, חדר ימני בגודל תקין והתכווצות תקינה. מסתם אאורטלי מסוייד, פתיחתו תקינה. דליפה מיטרלית קלה. לא ניתן להעריך לחץ דם ריאתי בהעדר סיגנל TR. הגדלה קלה של העליה השמאלית.</t>
  </si>
  <si>
    <t>חדר שמאל עם חלל בגודל תקין, היפרטרופי במידה קלה, תפקודו הסיסטולי הגלובלי שמור עם אקינזיה אחורית והיפוקינזיה לטראלית וקדמית התכווצות ערה של שאר הדפנות (ראה תרשים), תבנית המילוי הדיאסטולי מתאימה להפרעה ברלקסציה , עליה שמאל מורחבת במידה קלה חדר ימין בגודל תקין עם תפקוד סיסטולי שמור ,לא ניתן להעריך ל"ד ריאתי בהעדר סיגנל TR מסתם אאורטלי במבנה ותפקוד תקינים, מסתם מיטראלי מסוייד עם דלף מינימלי ללא הצרות, דלף טריקוספידלי מינימלי</t>
  </si>
  <si>
    <t>חדר שמאל מורחב במידה קשה, תפקודו הגלובלי מופחת במידה קשה, אקינזיה ספטלית, אנטריורית ואפיקלית רחבה, היפוקינזיה של שאר הדפנות, חדר ימין מורחב במידה קלה, תפקודו הגלובלי תקין, הרחבה בינונית של עליה שמאלית, אי ספיקה מיטרלית וטריקוספידלית קלה, לחץ דם ראתי מוגבר במידה בינונית, אלקטרודת קוצב בחדר ימין .</t>
  </si>
  <si>
    <t>בדיקת TEE בוצעה בשאלה של אנדוקרדיטיס. מסתם אאורטלי מעט מעובה עם דלף קל וללא ממצאים על פניו. מסתם מיטראלי לאחר תיקון ע"ש אלפיירי (טבעת וSTICH בין שני העלים) עם דלף בחומרה קשה משני גם למצב לאחר התיקון (יש דליפה קשה דרך שני הפתחים של המסתם ) וגם DEHISENCE חלקי באיזור הטבעת הקדמי , ממצאים שלמעשה ידועים ומודדמים כבר בTEE מ17/11/2014. אין וגצטיות ברורות על המסתם אם כי לציין מעט ממצאים מוביליים עדינים סביב הטבעת שמתאימים לתפרים. מסתם טריקוספידלי עם דלף בחומרה קשה (עקב אנולוס מורחב והעדר קואפטציה</t>
  </si>
  <si>
    <t>פירפור פרוזדורים חדר שמאלי בגודל תקין התכווצות גלובלית ואיזורית תקינה, חדר ימני מורחב במידה קלה, התכווצות מופחתת במידה בינונית , אי ספיקה אורטלית ומיטרלית קלה, אי ספיקה טריקוספידלית קלה-בינונית, לחץ דם ריאתי מוגבר במידה קשה, העליה השמאלית תקינה עליה ימנית מורחבת, IVC מורחב ללא שינויים נשימתיים, נוזל פריקרדיאלי בכמות גדולה ללא סימני תמט של המדורים הימניים</t>
  </si>
  <si>
    <t>בדיקה חלקית בוצעה בישיבה. הדמיה קשה טכנית מאד. רובה לא אבחנתית. במיגבלה זו, חדר שמאל עם התכווצות תקינה, חדר ימין התכווצות תקינה. הודגם תפליט פריקרידיאלי בינוני לגדול, קשה להערכה לגבי משמעות המודינמית. הודגם תפליט פלאורלי מימין.</t>
  </si>
  <si>
    <t>חדר שמאל בגודל תקין, הפרטרופי, התכווצות גלובלית תקינה, תבנית המילוי פסאודונורמאלית, עליה שמאלית מורחבת במידה קלה, חללי הלב ימניים תקינים, מסתם אאואטלי מעובה, אי ספיקה מיטרלית וטריקוספידלית קלה, לחץ דם ריאתי מוגבר במידה קשה, נוזל פריקרדיאלי בכמות בינונית ללא שינוי מבדיקה קודמת מ-4.2013 , IVC מורחב ללא קולפס.</t>
  </si>
  <si>
    <t>חדר שמאלי מורחב, התכווצותו הגלובלית ירודה במידה קשה, אקינזיה נרחבת, חדר ימני מורחב במידה קלה, התכווצות תקינה, TETHERING של עלי המסתם המיטרלי, אי ספיקה מיטרלית בינונית-קשה , אי ספיקה טריקוספידלית מינימלית, הגדלה בינונית של העליה השמאלית. הרחבה קלה של עליה הימנית, הודגמה אלקטרודת קוצב בחלל הלב הימני. IVC מורחב עם שינוי נשימתי חלקי</t>
  </si>
  <si>
    <t>בקורת דרגת הדלף הטריקוספידלי נראה שירדה בהשוואה לאקו קודם מ9/8/2021 וכעת נראה בחומרה בינונית עד קשה . לציין שהIVC עדיין מורחב ללא תמט נשימתי שאר ממצאי הבדיקה ללא שינוי מאקו קודם</t>
  </si>
  <si>
    <t>קוטר חדר שמאל המתוקנן ל BSA הינו תקין, דפנותיו מעובים קל, התכווצות גלובלית ואזורית תקינה. בעקומת מילוי ליקוי קל בהרפיה, עליה שמאל מוגדלת קל. חדר ימני בגודל והתכווצות תקינה. מסתם אורטלי מסוייד, נייחות מוגבלת של עלה לא קורורני, זרימות דופלר תקינות דרכו. טבעת מסתם מטראלי מסויידת קל, דליפה מיטרלית וטריקוספידלית מינימלית. לא ניתן להעריך לחץ דם ריאתי עקב סגנל TR קלוש. IVC בקוטר ותמט נשימתי תקין כביטויי ללחץ וריד מרכזי לא מוגבר. תפליט פריקרדיאלי קטן ביותר, פס דקיק ביותר בצמוד לחדר ימין, אחורית לל</t>
  </si>
  <si>
    <t>חדר שמאלי מורחב במידה קלה, דפנותיו מעובות, התכווצות גלובליתשמורה, חדר ימני מורחב, התכווצות ירודה במידה בינונית, מסתם אורטלי מסוייד ללא הצרות, אי ספיקה מיטרלית וטריקוספידלית קלה, לחץ דם ריאתי מוגבר במידה בינונית, הגדלה קלה של העליה השמאלית וימנית.IVC מורחב ללא שינוי נשימתי</t>
  </si>
  <si>
    <t>חדר שמאל מורחב במידה קלה, תפקודו הגלובלי מופחת במידה קלה בינוינת בצורה דיפוזית, חדר ימין בגודל ותפקוד תקין, הרחבה של עליה שמאלית, אי ספיקה מיטרלית וטריקוספידלית מינימלית, לא הודגמה עקומת TR להערכת לחץ דם ראתי.</t>
  </si>
  <si>
    <t>לב משותל, חדר שמאל בגודל תקין, התכווצותו הגלובלית תקינה, חדר ימין תקין, אי ספיקה מיטרלית קלה עד בינונית, אי ספיקה טריקוספידלית קלה עד בינונית, הודגמו אלקטרודות קוצב בלב ימני, לחץ דם ריאתי תקין</t>
  </si>
  <si>
    <t>חולה עם LVAD RPM 6000 בדיקה באיכות טכנית ירודה ביותר. חדר שמאל מורחב עם תפקוד מופחת שקשה לאמוד אותו, לא ברור לי אם מסתם אורטלי ניפתח, דליפה אאורטלית קלה לבינונית. ללא מדידת זרימותב קנולות.</t>
  </si>
  <si>
    <t>חדר שמאל בגודל תקין, התכווצותו הגלובלית תקינה. חדר ימין בגודל ותפקוד תקין. עליה שמאלית מורחבת במידה קלה. אי ספיקה מיטרלית קלה. אי ספיקה אורטלית מנימלית. אי ספיקה טריקוספדלית קלה. לחץ דם ריאתי תקין.</t>
  </si>
  <si>
    <t>חדר שמאלי תקין בגודלו , תפקודו הגלובלי שמור. היפוקינזיה אינפריורית אחורית עם מעורבות ספטלית, חדר ימני מורחב והיפוקינטי, מסתם האורטלי מסויד , אי ספיקה האורטלית קלה. אי ספיקה מיטרלית קלה. אי ספיקה טריקוספידאלית בינונית-קשה לפחות, לחץ ריאתי מוגבר במידה קלה. לא ניתן להדגים מנח סבקוסטלי.</t>
  </si>
  <si>
    <t>חדר שמאל מורחב, תפקודו הגלובלי מופחת במידה קשה, היפוקינזיה דיפוזית עם אקינזיה אנטריורית ואפיקלית, חדר ימן מורחב במידה קלה, תפקודו מופחת במידה קלה, הרחבה של עליה שמאלית וימנית, אי ספיקה אאורטלית קלה, אי ספיקה מיטרלית בינונית, אי ספיקה טריקוספידלית בינונית, IVC מורחב , לחץ דם ראתי מוגבר במידה קשה , אלקטרודת קוצב בחדר ימין</t>
  </si>
  <si>
    <t>לב מושתל. חדר שמאל בגבול עליון ברוחבו התכווצותו הגלובלית מופחתת במידה בינונית עד קשה באופן די דיפוזי (פחות בחלקים הבזלים). תבנית מילוי רסטרקטיבית (מושתל לב(?)). חדר ימין בגודל ותפקוד תקין. אי ספיקה טריקוספדלית מנימלית לחץ דם ריאתי מוגבר במידה קלה.</t>
  </si>
  <si>
    <t>חדר שמאלי בגודל והתכווצות גלובלית ואיזורית תקינה, חדר ימני מורחב עם ירידה קלה בהתכווצות, מסתם אורטלי ראומטי מסוייד עם דלף קל, מסתם מיטרלי תותב מכני עם מםל מוגבר בדומה לבדיקה קודמת ודלף פאראולוורלי קל לבינוני לפחות, מסתם טריקספידלי לאחר תיקון עם דלף קשה, עדות ליתר לחץ דם ריאתי קשה, הגדלה קשה של העליה השמאלית. הגדלה של עליה ימנית.</t>
  </si>
  <si>
    <t>בדיקת TEE להערכת התאמה לTRI-CLIP מודגם דלף טריקוספידלי קשה , משנית להרחבה של האנולוס יש הגבלה בתנועתיות של העלה הספטאלי עם OVER-RIDING של העלה האחורי ודלף טריקוספידלי קשה שיוצא בין העלה הספטאלי לעלה האחורי עם סילון הדלף קדמי (לכיוון המסתם האאורטלי) . המגע (קואפטציה) בין העלה הקדמי לספטאלי ובין העלה האחורי לקדמי נראה תקין וכאמור עיקר הדלף בשל העדר מגע בין עלה אחורי לעלה ספטאלי (באספקט הפוסטריורי שלו) . מסתם אאורטלי תלת עלי מעובה עם ממצא מובילי קטן צמוד לעלה הלא קורונרי (באורך כ8 מ"מ) יכול להת</t>
  </si>
  <si>
    <t>חדר שמאל מורחב התכווצותו הגלובלית מופחתת במידה בינונית (ראה פיזור איזורי). חדר ימין בגודל ותפקוד תקין .עליה שמאלית מורחבת במידה בינונית, מסתם אורטלי מעט מסויד עם התרחבות קלה של הסינוסים ודלף במידה קלה. אי ספיקה מיטרלית קלה אי ספיקה טריקוספדלית קלה לחץ דם ריאתי מוגבר במידה בינונית. עליה שמאלית מורחבת.</t>
  </si>
  <si>
    <t>עליה שמאלתי מורחבת. חדר ימין תקין. חדר שמאל מעט מורחב, היפרטרופי עם תפקוןד גלבולי שמור. אקינזיה אינפרו בזלךית. אס"ק מיטרלית קלה עד בינונית. אס"ק טריקוספידלית קלה. יל"ד ריאתי קשה. תבנית מילוי פסוידו נורמלית.</t>
  </si>
  <si>
    <t>חדר שמאלי מורחב והתכווצות גלובלית מופחתת במידה קשה (ראה פיזור אזורי), תבנית המילוי רסטריקיבית, חדר ימני בגודל תקין והתכווצות שמורה, אי ספיקה מיטרלית בינונית וטריקוספידלית קלה, אעדות ליתר לחץ דם ריאתי ניכר, הגדלה של העליה השמאלית והימנית. בהערכת סינכרוניזציה בינחדרית לא נמצא פערבין החדרים, בהערכת סינכרונזציה חדרית (12 סגמנטים) נמצאה סטיית תקן של 18 משנ, הפער בין המחיצה והלטרלית 25 משנ, המאחרת ביותר היא הדופן האינפריורית.</t>
  </si>
  <si>
    <t>חדר שמאלי בגודל והתכווצות גלובלית ואיזורית תקינה. חדר ימני בגודל והתכווצות תקינה. מסתם אורטלי מסוייד, חוסר התאמה בין חישוב שטח למפל לחצים, היצרות ככל הניראה קלה לבינונית, אי ספיקה קלה, אנולוס מיטרלי מסוייד, אי ספיקה מיטרלית בינונית, אי ספיקה טריקוספידלית קלה. לחץ דם ריאתי מוגבר במידה בינונית. הגדלה בינונית של העליה השמאלית. יכול להתאים ללחצי מילוי גבוהים של חדר שמאל, הודגם תפליט פריקרדיאלי בכמות קלה עד בינונית ללא סימני לחץ על חדר ימין. הודגם תפליט פלאורלי דו צדדי.</t>
  </si>
  <si>
    <t>חדר שמאלי מורחב. הודגמה אקינזיה אפיקלית רחבה, היפוקינזיה אינפריורית, ההתכווצות מופחתת במידה קשה. החדר הימני נראה בגודל תקין עם תפקוד שמור. אלקטרודת קוצב. הפרוזדור ימני מורחב. מסתם אאורטלי מסוייד, ללא הצרות. אי ספיקה מיטרלית קלה בינונית. אי ספיקה טריקוספידלית קלה. לחץ ריאתי מוגבר במידה קלה. לא נמצא נוזל פריקרדיאלי.</t>
  </si>
  <si>
    <t>חדר שמאל תקין בגודלו ותיפקודו, חדר ימין מורחב והיפוקינטי, דחיקה של המחיצה הבינחדרית, עליות מורחבות, אי ספיקה אורטלית מינימלית מטרלית קלה וטריקוספידלית בינונית עד קשה, לחץ ריאתי מוגבר במידה קשה, IVC מורחב ללא תמת, הודגמה מיימת.</t>
  </si>
  <si>
    <t>חדר שמאלי מורחב עם התכווצות גלובלית ירודה במידה קשה אקינזיה קידמית אפיקלית לטרלית אחורית ותחתונה, חדר ימין תקין, תבנית המילוי פסאודונורמלית, דליפה מיטרלית וטריקספידלית קלה, עדות ליתר לחץ דם ריאתי קשה, הגדלה בינונית של העליה השמאלית. ניצפה אלקטרודת קוצב בחללים ימניים.</t>
  </si>
  <si>
    <t>חדר שמרל תקין בגודלו התכווצותו הגלובלית ירודה במידה קלה עד בינונית, אקינזיה אינפריורית בזלית, פוסטריורית לטרלית ואפיקלית התכווצות ערה של השאר. , חדר ימין תקין בגודלו ותיפקודו, אי ספיקה אורטלית קלה אס"ק מיטרלית אס"ק טריקוספידלית קלה עד בינונית לחץ ראיתי מוגבר במידה קשה, הודגם PFO,</t>
  </si>
  <si>
    <t>איכות הדמיה מוגבלת (בעיקר מחלון פרא-סטרנאלי) חדר שמאל בגודל תקין,תפקודו הסיסטולי הגלובלי מופחת במידה קלה (מקטע פליטה מוערך בין 45%-50%) באופן דיפוזי, לא ניתן לקבוע תפקוד דיאסטולי, עליות בגודל תקין חדר ימין בגודל ותפקוד תקינים ,לא ניתן להעריך ל"ד ריאתי בהעדר סיגנל TR מסתם אאורטלי לא הודגם היטב (לא ניתן לקבוע מ"ס עלים) ללא דלף או הצרות, דלף מיטראלי וטריקוספידלי מינימלי. אלקטרודות קוצב בחללים הימניים</t>
  </si>
  <si>
    <t>חדר שמאלי בגודל והתכווצות גלובלית ואיזורית תקינה. חדר ימין מורחב במעט עם ירידה בינונית עד קשה בתיפקודו. מסתם אורטלי מעובה עם דליפה קלה. מסתם מיטרלי תותב מכני עם מפל מעט מוגבר בדומה לבדיקה קודמת. דלף פאראולוולר בינוני שתואר כבר בעבר. מסתם טריקספידלי תותב ביולוגי עם מפל מעט מוגבר, דליפה קלה אינטראולוולרית ודליפה קלה עד בינונית פאראוולוולרית ספטלית מאוד אקסנטרית. ניצפתה גם בעבר. עדות ליתר לחץ דם ריאתי קשה, הגדלה קשה של העליה השמאלית. ניצפה ממצא מוארך מובילי באורך של 1.1 ס"מ בספטום הבינעלייתי טיבו ל</t>
  </si>
  <si>
    <t>חדר שמאל בגודל תקין, דפנותיו מעובות, תפקודו הסיסטולי הגלובלי תקין. לא ניתן להעריך תפקו דיאסטולי. עליות מורחבות. חדר ימין בגודל ותפקוד תקינים. עלי מסתם אאורטלי מעובים, ללא הפרעה בתפקוד המסתם. אי ספיקה מיטרלית וטריקוספידלית קלה עד בינונית. נימדד יתר לחץ דם ריאתי מוגבר במידה בינונית. הודגמה אלקטרודת קוצב מימין.</t>
  </si>
  <si>
    <t>עליה שמאלית מורחבת חדר ימין תקין. חדר שמאל ברוחב תקין עם תפקוד גלובלי ואזורי תקין. הספטום מעובה. הבסתיידות קלה של הטבעת המיטרלית ושל המסתם האאורטלי. אס"ק מיטרלית מינימלית. אס"ק אאורטלית מינימלית. אס"ק טריקוספידלית מינימלית. לחץ ריאתי מוגבר במדיה קלה. תבנית מילוי פסוידו תקינה.</t>
  </si>
  <si>
    <t>חדר שמאלי מורחב, ספטום היפרטרופי, התכווצותו הגלובלית מופחתת במידה קלה, אקינזיה תחתונה ואינפרולטראלית עם אנאוריזמה אינפרובזאלית. הפרעה דיאסטולית דרגה 2. עליות מורחבות. חדר ימני בגודל והתכווצות תקינה. אי ספיקה אורטלית מינימלית, אי ספיקה מיטרלית קלה, אי ספיקה טריקוספידלית מינימלית. לא ניתן להעריך לחץ דם ריאתי ללא עקומת TR.</t>
  </si>
  <si>
    <t>חדר שמאלי בגודל והתכווצות גלובלית ואיזורית תקינה, הפרטרופיה ספטלית. חדר ימני בגודל והתכווצות תקינה. עליה שמאלית מוגדלת. מסתם אורטלי עם עלים מסוידים ופתיחה מוגגבלת, הצרות קשה ואי ספיקה קלה. אי ספיקה מיטרלית טריויאלית. אי ספיקה טריקוספידלית קלה-בינונית. לחץ דם ראתי מוגבר. נוזל פריקרדיאלי בכמות קטנה.</t>
  </si>
  <si>
    <t>חדר שמאלי מורחב במידה קלה, התכווצותו הגלובלית מופחתת במידה קשה, אקיניזה אינפריורית אחורית לטרלית, היפוקינזיה קשה של שאר הדפנות, תבנית המילוי רסטרקטיבית, חדר ימני מורחב התכווצותו מופחתת במידה בינונית, אי ספיקה מיטרלית קלה-בינונית, אי ספיקה טריקוספידלית קשה, לחץ דם ריאתי מוגבר במידה קשה, הגדלה קלה של העליה השמאלית, הגדלה של העליה הימנית. הודגמה אלקטרודת קוצב בחללים הימניים.</t>
  </si>
  <si>
    <t>מטופל בפרפור במהלך הבדיקה.איכות הדמיה מוגבלת עם וריאביליות בולטת בהתכווצות בין הפעימות (מקשה על הערכת תפקוד סיסטולי). חדר שמאל בגודל תקין, היפרטרופי במידה קלה, תפקודו הסיסטולי הגלובלי שמור (לציין בחלק מהפעימות התכווצות ירודה ובחלק תקינה) , לא ניתן לקבוע תפקוד דיאסטולי, עליה שמאל מורחבת במידה בינונית. חדר ימין מורחב עם תפקוד סיסטולי ירוד במידה קשה (בהסתייגות שלא מודגם היטב),לא ניתן להעריך ל"ד ריאתי בהעדר סיגנל TR מספק. מסתם אאורטלי מסוייד עם דלף מינימלי ללא הצרות, דלף מיטראלי וטריקוספידלי ק</t>
  </si>
  <si>
    <t>חדר שמאל בגודל והתכווצות גלובלית ואיזורית תקינה. חדר ימני מעט מוגדל עם התכווצות תקינה. עליה שמאל מעט מוגדלת. תותב ביולוגי בעמדה אורטלית עם תפקוד תקין, אי ספיקה קלה פרוולוולרית. מסתם מיטרלי עם טבעת מעט מסוידת, מפל לחצים מוגבר במידה קלה ואי ספיקה קלה. אי ספיקה טריקוספידלית קלה. לחץ דם ראתי מעט מוגבר. הרחבה של אורטה עולה</t>
  </si>
  <si>
    <t>חדר שמאל בגודל תקין, היפרטרופיה קלה של הספטום, התכווצותו הגלובלית והאיזורית תקינה. חדר ימין בגודל ותפקוד תקינים. עליות בגודל תקין. מסתם אאורטלי מסוייד, טבעת המסתם מיטרלית מסויידת. לא נרארו וגטציות בטכניקה זו. אי ספיקה מיטרלית מינימלית, אי ספיקה טריקוספידלית מינימלית, לחץ דם ריאתי 41 בממ"כ מוגבר במידה קלה. תפקוד דיאסטולי תקין.</t>
  </si>
  <si>
    <t>בפרפור עליות, מונשם, בבידוד, חדר שמאלי מורחב במידה קלה והתכווצותו גלובלית ירודה במידה בינונית, חדר ימני מורחב, תפקודו ירוד במידה בינונית, אי ספיקה מיטרלית וטריקוספידלית בינונית, לחץ דם ריאתי מוגבר במידה בינונית, עליות מורחבות.</t>
  </si>
  <si>
    <t>חדר שמאלי מורחב במידה קשה, ההתכווצותו גלובלית ירודה במידה קשה, חדר ימין מורחב עם ירידה קלה בתיפקודו, אקינזיה אפיקלית, מסתם אורטלי תותב- מכני, עם תיפקוד שמור, מסתם מיטרלי תותב- מכני, מפל תקין על פניו, אי ספיקה טריקוספדלית קלה לבינונית, לחץ דם ריאתי מוגבר במידה בינונית, העליה השמאלית מורחבת במידה קשה. הרחבה של עליה ימין, IVC מורחבת ללא שינויים נשימתיים.</t>
  </si>
  <si>
    <t>חדר שמאל מורחב במידה קלה, ספטום מעובה , תפקודו הגלובלי תקין, היפוקינזיה ספטואפיקלית, תבנית המילוי פסאודונורמאלית, חדר ימין בגודל ותפקוד תקין. עליה שמאלית מורחבת במידה קלה. דלף מיטרלי קל. דלף טריקוספיד מינימילי.לחץ דם ריאתי מוערך כתקין.</t>
  </si>
  <si>
    <t>חדר שמאלי קתין בגודלו , דפנותיו מעובים במידה קלה, תפקוד גלובלי ואזורי תקין, ללא הפרעה אזורית בולטת. חדר ימני תקין בגודלו ובתפקודו, עדות לאלקטרדוה של קוצב בחללי הלב הימניים. טבעת מסתם מיטרלי מסוידת, עלים מעט מסוידים, פתיחה תקינה. אי ספיקה מטרלית בינונית. אי ספיקה טרקיוספידאלית קלה לבינונית. מסתם אורטלי מעובה ומסוייד היצרות קלה לבינונית. לחץ ריאתי מוגבר במידה קשה. עליה שמאל מורחבת במידה קלה, יכול להתאים ללחצי מילוי גבוהיים, IVC מורחב, תגובתו לנשימה ירודה, עליה ימין מורחבת.</t>
  </si>
  <si>
    <t>חדר שמאלי בגודל תקין עם התכווצות גלובלית מופחתת במידה בינונית-קשה . חדר ימני בגודל תקין עם התכווצות ירודה. עליות מוגדלות. אי ספיקה מיטרלית קלה-בינונית. אי ספיקה טריקוספידלית קלה-בינונית. תותב ביולוגי אורטלי עם דלף קל. ללא קרישי דם באוזנית עליה שמאלית</t>
  </si>
  <si>
    <t>חדר שמאל מורחב במידה קלה, היפרטרופי, תפקודו ירוד במידה בינונית עם הפרעה דיפוזית, קשה יותר אינפרופוסטריורית. עקומת מילוי פסוידונורמלית. חדר ימין לא מורחב, תפקודו שמור. פרוזדורים מורחבים במידה קלה. מסתם אאורטלי וטבעת מסתם מיטרלי מסויידים. דליפה מיטרלית קלה עד בינונית, טריקוספידלית מינימלית לחץ ראתי מוגבר במידה קלה. הודגם קוצב בחללים הימניים.</t>
  </si>
  <si>
    <t>חדר שמאל בגודל תקין, התכווצותו הגלובלית והאיזורית תקינה, תבנית המילוי מדגימה הפרעה ברלקסציה. חדר ימין בגודל והתכווצות תקינה. מבנה ותפקוד המסתמים תקין,לא ניתן להעריך לחץ דם ריאתי, ללא הגדלה של העליה השמאלית. הודגם נוזל פריקרדיאלי בכמות קטנה.</t>
  </si>
  <si>
    <t>חדר שמאלי בגודל תקין עם היפרטרופיה ועיבוי קל של הספטום,ההתכווצותו הגלובלית והאיזורית תקינה. תבנית המלוי פסאודונורמלית (הפרעה דיאסטולית דרגה II ) . עליה שמאל מורחבת במידה קלה. חדר ימין בגודל ותפקוד תקינים, לא ניתן להעריך ל"ד ריאתי בהעדר סיגנל TR מסתם אאורטלי במבנה ותפקוד תקינים, דלף מיטראלי קל ודלף טריקוספידלי מינמלי.</t>
  </si>
  <si>
    <t>חדר שמאל בגודל תקין ,תפקודו הסיסטולי הגלובלי ירוד במידה קשה באופו דיפוזי עם וריאביליות אזורית מסויימת (האפקס , קיר תחתון , קיר אחורי, וקיר אנטריורי אמצעי אקינטיים השאר היפוקינטי-ראה תרשים), לא ניתן לקבוע תפקוד דיאסטולי, עליה שמאל מורחבת במידה קלה חדר ימין בגודל תקין עם תפקוד סיסטולי ירוד במידה בינונית , לא ניתן להעריך ל"ד ריאתי בהעדר סיגנל TR מספק מסתם אאורטלי מסוייד קלות ללא דלף או הצרות, דלף מיטראלי קל ודלף טריקוספידלי מינימלי</t>
  </si>
  <si>
    <t>עליה שמאלית מורחבת. חדר ימין תקין. חדר שמאל היפרטרופי עם תפקוד גלובלי תקין. מסתם אורטלי מעט מסויד. אס"ק מיטרלית מינימלית. אס"ק טריקוספידלית מינימלית. יל"ד ריאתי קשה. הפרעה ברלקסציה.</t>
  </si>
  <si>
    <t>חדר שמאל תקין בגודלו , דופנותיו תקינים בעובים, תפקוד גלובלי ואזורי תקין. חדר ימני אינו מוחרב, תפקודו נראה שמור. טבעת מסתם מיטרלי מסוידת, פתיחה תקינה, אי ספיקה מיטרלית קלה-בינונית. אי ספיקה אורטלית מינימלית. אי ספיקה טריקוספיאדלית קלה-בינונית. לחץ ריאתי מוגבר במידה קשה. עליות מורחבות במידה קלה.</t>
  </si>
  <si>
    <t>חדר שמאל מורחב במידה קלה, היפרטרופי, תפקודו הגלובלי ואזורי תקין. חדר ימין בגודל ובתפקוד תקין. המסתם האאורטלי מעובה עם דליפה קלה. האנולוס המיטרלי מעט מסוייד, דליפה מיטרלית קלה-בינונית. דליפה טריקוספידלית קלה, עדות ליתר לחץ דם ריאתי בחומרה קלה עליות מורחבות. תפליט פלאורלי מימין( חשד)</t>
  </si>
  <si>
    <t>חדר שמאל בגודל תקין התכוצותו הגלובלית תקינה. הספטום הבזלי מעובה. חדר ימין בגודל ותפקוד תקין. תבנית מילוי פסוידו- תקינה.עליה שמאלית מורחבת.מסתם אורטלי מסויד. אי ספיקה מיטרלית מנימלית.וטריקוספדלית קלה לחץ דם ריאתי מוגבר במידה קלה.</t>
  </si>
  <si>
    <t>ביקה קשה טכנית חדר שמאלי בגודל תקין, דפנותיו מעט מעובות, התכווצותו הגלובלית מופחתת במידה קלה , אקינזיה אחורית, אינפריורית. עליות מורחבות. חדר ימני בגודל והתכווצות תקינה. אי ספיקה מיטרלית משמעותית (קושי טכני בהערכה). אי ספיקה טריקוספידלית קלה עד בינונית. לחץ דם ריאתי מוגבר במידה קלה.</t>
  </si>
  <si>
    <t>חדר שמאל בגודל ותפקוד תקין. מסתם אורטאלי מסויד ללא היצרות. חדר ימין מוגדל , היפרטרופי עם תפקוד ירוד. דחיקה של הספטום בעיקר בסיסטולה לכיוון שמאל כביטוי לעומס לחץ על חדר ימין. יתר לחץ דם ריאתי קשה ללא היצרות או דלף דרך המסתם הריאתי. אי ספיקה טריקוספידלית קשה.</t>
  </si>
  <si>
    <t>חדר שמאל בגבול הנורמה, תפקוד גלובלי בגדר עליון של הנורמה, היפרטרופיה קונצנטרית קלה 15/12 מ"מ. הפרעה ברלקסציה עם יחס מוגבר ב TDI ופרוזדורים מורחבים - השמאלי במידה בינונית והימני במידה קלה - מתאים להפרעה דיאסטולית בינונית. חדר ימין בגדל ותפקוד תקין. מסתם אאורטלי תלת עלי מסויד קל ומוצר במידה קלה עד בינונית AVA-1.5 סמ"ר עם דלף מינמלי. אי ספיקה מטרלית בינונית אקסנטרית לטרלית וטריקוספידלית קלה-בינונית. לחץ ריאתי 63 ממ"כ מוגבר במידה קשה. עדות לנוזל פריקרדיאלי במידה קלה ללא סימני לחץ.</t>
  </si>
  <si>
    <t>בדיקה חלקית, קשה מאוד טכנית, בוצעה בישיבה. חדר שמאל בגודל תקין, היפרטרופי, התכווצותו הגלובלית תקינה ללא הפרעה אזורית בולטת, מסתם אורטלי מסוייד, טבעת המסתם מיטרלית מסויידת, ללא דלף מיטרלי משמעותי, לא ניתן לקבוע לחץ דם ריאתי בשל העדר סיגנל TR.</t>
  </si>
  <si>
    <t>חדר שמאל מורחב במידה קלה, היפרטרופיה קלה, תפקודו הגלובלי מופחת במידה קשה , אקינזיה ספטלית אנטריורית ואפיקלית רחבה, היפוקינזיה של שאר הדפנות, תבנית המילוי רסטרקטיבית, חדר ימין מורחב במידה בינונית, תפקודו מופחת במידה בינונית, הרחבה של עליה שמאלית וימנית, אי ספיקה אאורטלית מינימלית, אי ספיקה מיטרלית קלה, אי ספיקה טריקוספידלית קלה-בינונית, לחץ דם ראתי מוגבר במידה קשה, אלקטרודת קוצב בחדר ימין</t>
  </si>
  <si>
    <t>חדר שמאלי עם חלל קטן, התכווצותו הגלובלית היפרדינמית, הודגם מפל מידוטריקולרי של עד 80 ממ"כ בולסלווה, חדר ימני בגודל והתכווצות תקינה, מסתם אאורטלי מסויד, אי ספיקה מיטרלית מינימלית, אי ספיקה טריקוספידלית קלה, אין עדות ליתר לחץ דם ריאתי, הגדלה קלה של העליה השמאלית. הודגם נוזל פריקרדיאלי בכמות גדולה ללא סימנים של לחץ על חדר ימני, IVC מורחב ללא תמט נשימתי.</t>
  </si>
  <si>
    <t>עליה שמאלית מורחבת. חדר ימין היפוקינטי בינונית. חדר שמאל מורחב עם תפקוד גלובלי ירוד במדיה קשה , ירידה דיפוזית. מסתם אורטלי מעט מסויד עם דלף מיזערי. טבעת מיטרלית מאוד מסויידת, אס"ק מיטרלית קלה עד ביונית. אס"ק טריקוספידלית קשה לחץ ריאתי מוגבר במדיה בינונית עד קשה. תבנית מילוי פסוידו-תקינה. נוזל פלוירלי מימין.</t>
  </si>
  <si>
    <t>חדר שמאל מורחב, היפרטרופי, התכווצות גלובלית ואיזורית שמור, מסתם אאורטלי מסוייד עם הצרות קלה על פניו, אנולוס מיטרלי מסוייד, אי ספיקה מיטרלית קלה, אי ספיקה טריקוספידלית מינימלית, לחץ דם ריאתי מוגבר במידה בינונית, העליה השמאלית מוגדלת במידה קלה. יכול להתאים ללחצי מילוי גבוהים.</t>
  </si>
  <si>
    <t>חדר שמאל בגודל תקין עם ירידה קלה עד בינונית בתפקוד הסיסטולי (ראה פיזור אזורי). הפרעה דיאסטולית דרגה 1. חדר ימין בגודל ותפקוד תקינים. עליה שמאל מורחבת. עלי מסתם אאורטלי מסויידים, ללא הפרעה בתפקודו. טבעת מסתם מיטראלי מסויידת, דרך המסתם אי ספיקה מזערית. אי ספיקה טריקוספידלית מזערית. לא נימדד יתר לחץ דם ריאתי.</t>
  </si>
  <si>
    <t>חדר שמאלי בגודל תקין והתכווצות גלובלית שמורה, חדר ימני בגודל והתכווצות תקינה, דלף מיטרלי קל, דלף טריקוספידלי קל, לחץ דם ריאתי מוגבר במידה בינונית, הגדלה של העליה השמאלית. ממצא אקוגני בקוטר 1 ס"מ כדורי במוצא חדר שמאל להמשך בירור באקו דרך הושט.</t>
  </si>
  <si>
    <t>חדר שמאל תקין בגודלו , דפנותיו מעובים, ירידה בינונית לקשה בתיפקודו, אקינזיה אפיקלית ספטלית נירחבת, חדר ימין מורחב עם ירידה בינונית בתיפקודו, עליה שמאלית וימנית מורחבת, בעמדה אורטלית מסתם תותב עם תיפקוד שמור, עלי מסתם מיטרלי ואנולוס מסויידים פתיחתם מוגבלת במידה קלה, אי ספיקה מיטרלית וטריקוספידלית קלה, לחץ ריאתי מוגבר במידה בינונית, IVC מורחב ללא תמת.</t>
  </si>
  <si>
    <t>הרחבה קלה של האורט העולה. עליה שמאלית מורחבת. חדר ימין היפוקינטי קל. חדר שמאל מורחב עם תפקוד גלובלי ירוד במדיה קשה. אקינזיה אחורית, ספטלית, אינפריורית, לטרלית, היפוקיזניה דיפוזית קשה. הסתיידות קלה של הטבעת המיטרלית. דלף מיטרלי קל. אס"ק טריקוספידלית קל. יל"ד ריאתי ביוני. נוזל פריקרדיאלי קטן עד בינוני. נוזל פלוירלי דו צדדי. תבנית מילוי פסוידו נורמלית.</t>
  </si>
  <si>
    <t>חדר שמאל בגודל תקין,תפקודו הסיסטולי ירוד במידה קשה עם אקינזיה אפיקלית נרחבת, ספטאלית וקדמית. תבנית המילוי הדיאסטולי רסטרקטיבית, עליות מורחבות במידה קלה חדר ימין בגודל תקין עם תפקוד סיסטולי ירוד במידה קשה, ל"ד ריאתי מוערך מוגבר במידה בינונית (תתכן תת הערכה בשל סיגנל TR חלש) מסתם אאורטלי מסוייד ללא דלף או הצרות, אנולוס מיטראלי מסוייד במידה קשה ללא הצרות,דלף מיטראלי וטריקוספידלי קל.</t>
  </si>
  <si>
    <t>חדר שמאלי בגודל תקין, התכווצות גלובלית שמורה, אקינזיה אינפרו-פוסטרו-בזלית , היפוקינזיה לטרלית. תבנית המילוי מתאימה להפרעה ברלקסציה, מסתם אאורטלי מסוייד, הודגמה הצרות בינונית-קשה של המסתם האאורטלי (יחס VTI של 1:4 - בהחמרה לבדיקה קודמת ב-2013), אי ספיקה אאורטלית קלה, אנולוס מיטרלי מסוייד , אי ספיקה מיטרלית מינימלית, אי ספיקה טריקוספידלית קלה, לחץ דם ריאתי מוגבר במידה בינונית, העליה השמאלית מוגדלת במידה קלה.</t>
  </si>
  <si>
    <t>קצב לרוב סדיר, מידי פעם לא סדיר. קרוב קיצוב חדרי, יש לשקול אפשרות לקיום של פרפור פרוזדורים היות ולא רואים גל P. חדר שמאלי בגודל תקין, דפנותיו אינם מעובים, קושי להעריך התכווצות גלובלית בגלל קצב לא סדיר, התכווצות חדר שמאל נעה בפעימות שונות בין יריד במידה קשה לבין תקין, בממוצע: ירידה בינונית. ללא הבדל ניכר בין סגמנטים שונים. חדר ימין לא מורחב, ה כווצותו מופחתת קל. שתי העליות מורחבות בינונית. מסתם אורטלי מסויד קלות פתיחתו טובה, דלף מינימלי, מסתם מיטרלי לאחר תיקון עם MITRAL CLIP עם מפל לחצי</t>
  </si>
  <si>
    <t>חדר שמאל ברוחב תקין, היפרטרופי, תפקודו הגלובלי והאיזורי תקין. חדר ימין בגודל ובתפקוד תקין. המסתם האאורטלי מסוייד במידה קשה, דליפה אאורטלית מינימלית. המסתם המיטרלי מסוייד קלות, פתיחתו תקינה עם דליפה קלה-בינונית. דליפה טריקוספידלית קלה עם עדות ליתר לחץ דם ריאתי בחומרה בינונית. עליות מורחבות במידה קלה. תפליט פלאורלי מימין.</t>
  </si>
  <si>
    <t>עליה שמאלית מורחבת. חדר ימין תקין. חדר שמאל ברוחב תקין עם תפקוד גלובלי תקין. מסתם אאורטלי תותב ביולוגי עם תפקוד תקין . טבעת מיטרלית מעט מסויידת. דלף מיטרלי קל. אס"ק טריקוספידלית מינימלית. לחץ ריאתי מוגבר במידה קלה.</t>
  </si>
  <si>
    <t>חדר שמאלי בגודל והתכווצות גלובלית ואיזורית תקינה, תבנית המילוי פסאודונורמלית, חדר ימני בגודל והתכווצות תקינה, מסתם אורטלי מסוייד, ללא הצרות, אי ספיקה מיטרלית מינימלית, אי ספיקה טריקוספידלית קלה, לחץ דם ריאתי מוגבר במידה קלה, הגדלה קלה של העליה השמאלית. הודגם תפליט פריקרדיאלי בכמות קלה.</t>
  </si>
  <si>
    <t>חדר שמאל מוגדל עם התכווצות גלובלית ואיזורית מופחתת במידה בינונית-קשה, תבנית מילוי פסידונורמלית. חדר ימני בגודל תקין עם התכווצות שמורה. עליה שמאלית מוגדלת. מסתם אורטלי עם עלים מסוידים, מפל מעט מוגבר ואי ספיקה קלה. אי ספיקה מיטרלית קלה. אי ספיקה טריקוספידלית קלה. וריד נבוב תחתון רחב עם הענות מופחתת. לחץ דם ראתי מוגבר במידה בינונית-קשה.</t>
  </si>
  <si>
    <t>חדר שמאלי מורחב במידה קלה, ספטום מעט מעובה, התכווצות גלובלית ירודה במידה קלה, ראה הפרעה איזורית, מתאים למחלה רב כילית, חדר ימני בגודל והתכווצות תקינה, אי ספיקה אורטלית מינימלית, אי ספיקה מיטרלית קלה עד בינונית, אי ספיקה טריקוספדלית קלה עד בינונית, לחץ דם ריאתי מוגבר במידה בינונית, הגדלה של העליה השמאלית. הודגם תפליט פלאורלי דו צדדי. הודגם תפליט פיריקרדיאלי קטן.</t>
  </si>
  <si>
    <t>חדר שמאלי תקין בגודלו , דופנותיו תקינים בעובים, תפקוד גלובלי ואזורי שמור. התכווצות אסיכרונית. חדר ימין תקין, מסתם אורטלי מעובה, דליפה מינימלית של מסתם אורטלי, אי ספיקה מיטרלית קלה. אי ספיקה טריקוספידאלית מינימלית. לחץ ריאתי מוגבר במידה קלה. עליה שמאלית מורחבת במידה קלה. יכול להתאים ללחצי מילוי גבוהים של חדר שמאל.</t>
  </si>
  <si>
    <t>חדר שמאלי בגודל תקין, ספטום היפרטרופי במידה קלה, התכווצות גלובלית ואיזורית תקינה, חדר ימני בגודל והתכווצות תקינה, מסתם אורטלי מסוייד ללא הצרות, אי ספיקה מינימלית, אי ספיקה מיטרלית קלה עד בינונית, אי ספיקה טריקוספידלית בינונית-קשה, לחץ דם ריאתי מוגבר במידה בינונית, הגדלה קלה של העליה השמאלית.</t>
  </si>
  <si>
    <t>חדר שמאלי בגודל תקין התכווצות גלובלית ומופחתת במידה בינונית, ירידה גלובלית די דיפוזית, תבנית המילוי רסטריקטיבית, חדר ימני בגודל והתכווצות תקינה, עיבוי עלי המסתם האאורטלי , עיבוי טבעת מסתם המיטרלי עם דלף במידה קל עד בינוני , לא נמצא סיגנל דופלר להערכת לחץ דם ריאתי, עליות תקינות .</t>
  </si>
  <si>
    <t>חדר שמאלי בגודל תקין, ספטום מעובה במידה קלה, תפקודו הגלובלי הסיסטולי תקין ללא הפרעה אזורית בולטת. תבנית מילוי דיאסטולי מתאימה להפרעה דרגה II ( פסוידונורמלית). חדר ימין בגודל ותפקוד תקינים. עליה שמאלית מורחבת במידה בינונית עליה ימין מורחבת מסתם אאורטלי מסוייד דרכו דלף קל , ללא הצרות מסתם מטרלי עם טבעת מסויידת עם דלף קל מסתם טריקוספידלי עם דלף קל לחץ דם ראתי סיסטולי מוערך כמוגבר במידה קלה וריב נבוב תחתון אינו מורחב ועובר תמט נשימתי הולם ללא תפליט פריקרדיאלי הרחבה קלה</t>
  </si>
  <si>
    <t>חדר שמאל בגודל תקין התכוצותו הגלובלית מופחתת במידה קלה עד בינונית . אקיזניה פוסטרו לטרלית עם מערבות אפיקלית. חדר ימין בגודל תקין עם תפקוד מופחת במידה קלה עליה שמאלית מורחבת במידה קלה אי ספיקה מיטרלית בינונית. אי ספיקה אורטלית מנימלית.אי ספיקה טריקוספדלית קלה. לחץ דם ריאתי מוגבר במידה קשה. IVC מורחב ללא קולפס נשימתי. נוזל פלוירלי דו צדדי. יחס E/E' מתאים ללחצי מילוי מוגברים משמאל.</t>
  </si>
  <si>
    <t>בדיקה קשה טכנית. חדר שמאל מורחב במידה קלה, תפקודו הגלובלי שמור ללא הפרעה איזורית ברורה, חדר ימין מורחב, תפקודו מופחת, סינוסי האאורטה מורחבים. המסתם האאורטלי מסוייד, האנולוס המיטרלי מסוייד, עלי המסתם מעובים עם דליפה קלה. מסתם טריקוספידלי לאחר תיקון עם דליפה מינימלית, עדות ליתר לחץ דם ריאתי בחומרה בינונית. עליות מורחבות.</t>
  </si>
  <si>
    <t>חדר שמאל עם חלל בגודל תקין ,היפרטרופי, תפקודו הסיסטולי הגלובלי תקין (אף מעט ער) ללא הפרעה אזורית, לא ניתן לקבוע תפקוד דיאסטולי, עליות מורחבות במידה קשה. חדר ימין מעט מורחב עם תפקוד סיסטולי תקין, ל"ד ריאתי מוערך מוגבר במידה קשה מסתם אאורטלי מסוייד עם הצרות בינונית עד קשה (בעיקר לאור BSA מאוד נמוך עם יחס VTI ומפל לחצים שמתאים להצרות בינונית) , ללא דלף אאורטלי, אנולוס מיטראלי מסוייד במידה קשה עם מפל לחצים דיאסטולי מעט מוגבר על פניו, דלף מיטראלי עד קשה , דלף טריקוספידלי קשה.</t>
  </si>
  <si>
    <t>הדמיה קשה מאד טכנית. חדר שמאלי תקין בגודלו, דופנותיו מעובים תפקוד גלובלי ואזורי מופחת במידה בינונית, אקינזיה ספטלית ואפיקלית תבנית מילוי מתאימה להפרעה ברלקסציה של חדר שמאלי. חדר ימין בגודל ותפקוד תקין, מסתם אאורטלי מסויד, מסתם מיטרלי מעובה, פתיחה תקינה, אי ספיקה מיטרלית קלה. אי ספיקה טרקיוספידלית מינימלית. לחץ ריאתי מוגבר במידה קלה, עליה שמאלית מורחבת במידה קלה. לא הודגמו וגטציות על פני המסתמים ואלקטרודות קוצב בחללי הלב הימניים.</t>
  </si>
  <si>
    <t>בנוסף לממצאי הTTE בוצע TEE לצורך הערכת החומרה של הדלף המיטרלי 1) הודגם דלף מיטרלי בינוני 2) האוזנית סגורה על ידי התקן 3) אטרוסקלרוזיס של האורטה היורדת.</t>
  </si>
  <si>
    <t>חדר שמאלי בגודל תקין עם התכווצות גלובלית ערה, ללא הפרעה איזורית, התעבות קלה של המחיצה, רושם שמדובר בתבנית מילוי פסאודונורמלית (אבחנה לא מדויקת בנוכחות הסתיידות קשה של האנולוס המיטרלי), חדר ימני בגודל והתכווצות תקינה, אנולוס מיטרלי מסויד, אי ספיקה מיטרלית ביננית, אורטלית וטטריקוספידלית מינימלתי עם יתר לחץ דם ריאתי קל (סיגנל לא אופטימלי ותתכן מאוד תת הערכה). לא בוצעה בדיקת אקו וושט מאחר והחולה נראית לא מספיק יציבה, מורידה סטורציה לסביבות 80 לפני אינטובציה לוושט. במידת הצורך נתאם בתנאים שאפשר לב</t>
  </si>
  <si>
    <t>חדר שמאל בגודל תקין ,תפקודו הסיסטולי הגלובלי מופחת בידה קלה עד בינונית עם היפוקינזיה ולפרקים דיסקינזיה ספטאלית, תבנית המילוי הדיאסטולי רסטרקטיבית, עליה שמאל מורחבת במידה בינונית ,עליה ימין מורחבת חדר ימין מורחב עם תפקוד סיסטולי שמור , ל"ד ריאתי מוערך מוגבר במידה קשה מסתם אאורטלי מסוייד ללא דלף או הצרות, דלף מיטראלי קל ,דלף טריקוספידלי ככל הנראה קשה (לא מודגם בצבע אולם הCW והיפוך הזרימה בורידי הכבד מכוונים לדלף קשה). אלקטרודות קוצב בחללים הימניים . מודגמים תפליטים פלאורליים גדולים דו"צ</t>
  </si>
  <si>
    <t>חדר שמאלי בגודל והתכווצות גלובלית ואיזורית תקינה, ספטום היפרטרופי, חדר ימני בגודל והתכווצות תקינה, מסתם אורטלי מעט מסוייד, דלף מינימלי, אנולוס מיטרלי מסוייד עם דלף מינימלי, דלף קל של טריקספיד, עדות ליתר לחץ דם ריאתי בינוני, הגדלה בינונית של העליה השמאלית. הגדלה של עליה ימין, יכול להתאים ללחצי מילוי גבוהים של חדר שמאל.</t>
  </si>
  <si>
    <t>איכות הדמיה מוגבלת. חדר שמאל עם חלל בגודל תקין, היפרטרופי, תפקודו הסיסטולי הגלובלי תקין ללא הפרעה אזורית, תבנית המילוי הדיאסטולי פסאודונורמלית (הפרעה דיאסטולית דרגה II ) ,עליה שמאל מורחבת במידה בינונית . חדר ימין בגודל ותפקוד תקינים , ל"ד ריאתי מוערך מוגבר במידה קלה. מסתם אאורטלי מעובה,ללא דלף או הצרות, דלף מיטראלי וטריקוספידלי קל.</t>
  </si>
  <si>
    <t>חדר שמאל בגודל תקין היפרטרופי עם עבוי בולט של הספטום, תפקודו הגלובלי והאיזורי תקינים, לא ניתן לקבוע תפקוד דיאסטולי בבדיקה זו,עליה שמאל מורחבת במידה קלה. חדר ימין בגודל תקין , עם רושם לעבוי של הדפנות, תפקודו הסיסטולי ירוד במידה בינונית , ל"ד ריאתי מוגבר במידה קשה. תותב ביולוגי בעמדה אאורטלית עליו מעובים עם דלף קל ומפל לחצים סיסטולי מוגבר על פניו (עליה במפל בהשוואה לאקו מ2011 ) , אי ספיקה מיטרלית מינימלית,דלף טריקוספידלי קל עד בינוני.</t>
  </si>
  <si>
    <t>Dilated LV cavity with normal systolic function Normal right ventricle structure and function. Mild left atrial enlargement Minimal dilatation of the ascending aorta Thickened aortic valve with restricted leaflet opening Moderate aortic stenosis, mean gradient of 21 mmHg Mild aortic regurgitation</t>
  </si>
  <si>
    <t>חדר שמאלי בגודל והתכווצות גלובלית ואיזורית תקינה, היפרטרופיה קלה. חדר ימין תקין. תבנית המילוי תקינה, כיבוי של מסתם אורטלי ומיטרלי עם דליפה מינימלית של טריקספיד. אין עדות ליתר לחץ דם ריאתי, הגדלהקלה של העליה השמאלית והימנית.</t>
  </si>
  <si>
    <t>חדר שמאלי בגודל תקין, התכווצות גלובלית ואיזורית תקינה. לא ניתן להעריך תפקוד דיאסטולי. עליות מורחבות. חדר ימני בגודל והתכווצות תקינה. מסתם אורטלי תותב ביולגי לאחר TAVI עם מפל לחצים תקין על פניו, אי ספיקה אורטלית מינמלית. אי ספיקה מיטרלית וטריוקספדלית קלה. לחץ דם ריאתי תקין.</t>
  </si>
  <si>
    <t>חדר שמאל מורחב במידה קלה, ספטום בזלי היפרטרופי, התכווצותו הגלובלית תקינה, היפוקינזיה אנפרו פוסטרובזאלית ושל הנספטום הבזלי, חדר ימין בגודל ותפקוד תקינים, הרחבה קלה של העליות, מסתם אאורטלי מעט מסויד, טבעת המסתם מיטרלית מעט מסויידת, אי ספיקה מיטרלית קלה עד בינונית, אי ספיקה טריקוספידלית מינימלית, לחץ דם ריאתי מוגבר במידה בינונית. תבנית מילוי פסוידו נורמלית.</t>
  </si>
  <si>
    <t>עליה שמאלתי מורחבת. חדר ימין מורחב והיפוקינטי קשה. אלקטודה של קוצב בתוכו. חדר שמאל מורחב עם תפקוד גלובלי ירוד במדיה קשה ובאופן דיפוזי. מסתם מיטרלי תותב עם מפל פלוירלים סביר על פניו. אס"ק מיטרלית קלה. מסתם אורטלי מעוב עם דךף קל. מסתפ טריקוספידלי תותב עם מפל לחצים סביר על פניו. אס"ק טריקוספידלית קלה. יל"ד ריאתי קל. נוזל פלוירלי משמאל.</t>
  </si>
  <si>
    <t>חדר שמאלי מורחב במידה ניכרת, דופנותיו תקינים בעובים, תפקדו גלובלי ואזורי מופחת במידה קשה. חדר ימני מורחב עם תיפקוד ירוד במידה קשה. מסתם האאורטלי מעט מסויד, פתיחה תקינה. אי ספיקה מיטרלית קשה. אי ספיקה טרקיוספידאלית בינונית לקשה. לחץ ריאתי מוגבר במידה קשה .IVC מורחב, תגובתו לנשימה מופחתת. עליה שמאלית מורחבת במידה בינונית. עליה ימנית מורחבת במידה קלה. בחדר צינטרוים בוצע TEE השלמה ללא קריש באפקס.</t>
  </si>
  <si>
    <t>חדר שמאלי בגודל תקין, תפקודו שמור, חדר ימין מורחב עם תפקוד גבולי, מסתם אורטלי מסוייד עם היצירות בינונית, ודלף קל עד בינוני, טבעת מסתם מיטרלי מסויידת, דלף מיטרלי קל, דלף טריקוספידלי קשה, לחץ ריאתי מוגבר במידה קשה, עליות מורחבות. מתאים ללחצי מילוי גבוהים של חדר שמאל.</t>
  </si>
  <si>
    <t>חדר שמאל בגודל ותפקוד תקין, חדר ימין מורחב תפקודו שמור, הרחבה קשה של עליה שמאלית וימנית, מסתם אאורטלי מסוייד, היצרות אאורטלית קלה, אי ספיקהה אאורטלית קלה, אי ספיקה מיטרלית בינונית-קשה, אי ספיקה טריקוספידלית קשה, IVC מורחב ללא שינוי נשימתי, לחץ דם ראתי מוגבר במידה בינונית, אלקטרודת קוצב בחדר ימין.</t>
  </si>
  <si>
    <t>חדר שמאלי בגודל תקין תפקודו הגלובלי הסיסטולי מופחת במידה קלה , עם היפוקנזיה אחורית ותחתונה, ואנארויזמה של חלק אפיקו ספטלי. תבנית מילוי דיאסטולי מתאימה להפרעה דרגה III על פי קרירטיונים מ 2016 של ASE. חדר ימין בגודל ותפקוד תקינים עליה שמאלית מורחבת במידה קלה מסתם אאורטלי מסוייד עם הצרות קלה עד בינונית מסתם מטרלי עם טבעת מסויידת דרכו דלף קל מסתם טריקוספידלי עם דלף קל לחץ דם ראתי סיסטולי מוערך כמוגבר במידה קלה עד בינונית IVC אינו מורחב אך אינו עובר תמט נשימתי הולם באינספירי</t>
  </si>
  <si>
    <t>חדר שמאלי עם חלל קטן, התכווצותו הגלובלית ואיזורית תקינה, חדר ימני בגודל והתכווצות תקינה, מסתם אורטלי לאחר TAVI עם תפקוד תקין, מסתם מיטרלי מסוייד, אנולוס מוצר, מפל מעט מוגבר, אי ספיקה מיטרלית מינימלית, אי ספיקה טריקוספידלית קלה, לחץ דם ריאתי מוגבר במידה קשה, הגדלה בינונית של העליה השמאלית.</t>
  </si>
  <si>
    <t>עליה שמאלית מורחבת. חר ימין תקין. חדר שמאל ברוחב תקין עם תפקוד גלובלי תקין. מסתם מיטרלי לאחר תיקון עם דלף קל. עד בינוני. דלף אורטלי קל. אס"ק טרקיוספידלית קשה. לחץ ריאתי מוגבר במדיה קלה. אלקטרודת קוצב מימין.</t>
  </si>
  <si>
    <t>בדיקה קשה טכנית, בוצעה על הגב. חדר שמאל בגודל תקין, התכווצות גלובלית ואיזורית תקינה, עליות בגודל תקין, חדר ימני תקין, מסתם אאורטלי מסוייד, אי ספיקה מיטרלית, אאורטלית וטריקוספידלית מינימלית, לא ניתן לימדוד לחץ דם ריאתי בשל סיגנל TR קלוש, נוזל פריקרדיאלי בכמות קטנה אחורית.</t>
  </si>
  <si>
    <t>עליה שמאלית מורחבת. חדר ימין תקין. חדר שמאל ברוחב תקין ( גבול עליון) עם תפקוד גלובלי ירוד במדיה בינונית, היפוקינזיה אחלוירת, לטרלית, אנפרובזלי ושל החלק מהאפקס. הסגמנט האנטרו אפיקלי אקינטי. אס"ק מיטרלית קלה. אס"ק טריקוספידלית קלה עד בינונית לחץ ריאתי מוגבר במדיה קלה.. תבנית מילוי רסטריקטיבית.</t>
  </si>
  <si>
    <t>חדר שמאלי מורחב במידה קלה והתכווצותו גלובלית ירודה במידה בינונית. ספטום חדר שמאל דחוק בצורת D-SHAPE ודיסקינטי עקב חדר ימין מאוד מורחב וקיצוב. לא ניתן להעריך תפקוד דיאסטולי. חדר ימני מורחב במידה קשה והתכווצותו ירודה במידה בינונית. עליות מורחבות. אי ספיקה מיטרלית בינונית וטריקוספידלית קשה. לא נתן להעריך לחץ ריאתי עקב FREE TR. מודגמות אלקטרודות בחללים ימניים. מודגמת מיימת בטנית.</t>
  </si>
  <si>
    <t>חדר שמאלי ברוחב תקין, היפרטרופיה של ספטום, תפקודו הגלובלי והאיזורי תקין. חדר ימין ברוחב ותפקוד תקין. פרוזדור שמאלי מורחב במידה קלה. מסתם אאורטלי מסויד מינימלית, ללא הפרעה המודינמית. שורש האאורטה מעט מורחב, אנולוס מיטרלי מסויד, דלף מיטרלי קל. הודגם דלף טריקוספידלי קל עד בינוני, לחץ ריאתי מוגבר קשה. יכול להתאים ללחצי מילוי גבוהים של חדר שמאל.</t>
  </si>
  <si>
    <t>חדר שמאל ברוחב תקין, היפרטרופי במידה קלה בצורה קונצנטרית, תפקודו הגלובלי והאיזורי תקין. תבנית מילוי דיאסטולי מתאימה להפרעה דרגה II ( פסוידונורמלית).חדר ימין בגודל ובתפקוד תקין. המסתם האאורטלי מסוייד עם היצרות קשה ודליפה קלה-בינונית. עלי המסתם המיטרלי מעובים. בהעדר דליפה טריקוספידלית לא ניתן למדוד לחץ דם ריאתי. עליה שמאלית מורחבת במידה קלה. תפליט פריקרדיאלי קטן ללא אפקט הימודינמי משמעותי. וריד נבוב תחתון אינו מורחב ועובר תמט נשימתי הולם.</t>
  </si>
  <si>
    <t>בדיקה באיכות טכנית ירודה ממנחים פראסטרנליים בלבד. חדר שמאל ברוחב תקין, תפקודו הגלובלי שמור</t>
  </si>
  <si>
    <t>חדר שמאלי מורחב במידה קלה , היפרטרופי, והתכווצותו גלובלית ירודה במידה בינונית, ירידה דיפוזית , יותר בולטת בקיר אינפריוריר, אחורי ולטרלי, חדר ימין שמור. תבנית המילוי רסטריקטיבית, אי ספיקה אאורטלית ומיטרלית קלה , אי ספיקה טריקוספידלית מינימלית. , יתר לחץ דם ריאתי קל, הרחבה בינונית של העליה השמאלית. הודגם תפליט פריקרדיאלי קל עד בינוני, תפליט פלאורלי מימין, ציסטות בחלל הבטן, IVC מורחב עם תמט חלקי בלבד.</t>
  </si>
  <si>
    <t>חדר שמאלי מורחב במידה קלה, ספטום היפרטרופי,ההתכווצותו גלובלית ואיזורית תקינה, מסתם אורטלי מסוייד עם היצרות קלה עד בינונית על פניו, אי ספיקה אורטלית קלה, מסתם מיטרלי מסוייד, אי ספיקה מיטרלית קלה עד בינונית, אי ספיקה טריקוספדלית קלה, לחץ דם ריאתי מוגבר במידה בינונית , העליה השמאלית מורחבת במידה בינונית. תבנית מילוי פסוידו נורמלית.</t>
  </si>
  <si>
    <t>חדר שמאל מורחב במידה קשה, תפקודו הגלובלי מופחת במידה קשה עם אנוריזמה אפיקלית רחבה, אקינזיה נרחבת. הדמיה תת אופטימלית של חדר ימין שהרושם כי תפקודו מופחת במידה בינונית-קשה. דליפה מיטרלית בינונית-קשה. דליפה טריקוספידלית בחומרה קשה. עליות מורחבות. IVC מורחב ואינו עובר תמט נשימתי. אלקטרודת קוצב בחללים מימין. הודגם נוזל מיימת.</t>
  </si>
  <si>
    <t>בדיקה בוצעה על הגב. חדר שמאל בגודל תקין, התכווצות גלבולית תקינה, עליה שמאלית מורחב במידה קשה, חדר ימני מורחב במידה קלה עם תפקוד תקין, עליה ימנית מורחבת, טבעת מסתם מיטרלי מעע מסוידת אי ספיקה מיטרלית בינונית, מסתם אאורטלי מעובה אי ספיקה אאורטלית מינימלית, אי ספיקה טריקוספידלית בינונית, לחץ דם ריאתי מוגבר במידה קשה, הודגם נוזל פלאוראלי דו צדד. בכמות גדולה משמאל.</t>
  </si>
  <si>
    <t>חדר שמאלי ברוחב תקין, דפנותיו בעובי תקין, תפקודו הגלובלי שמור. חדר ימין ברוחב ותפקוד תקין. פרוזדור שמאלי מורחב. מסתם אאורטלי מסויד, היצרות קלה לבינונית, דלף אאורטלי קל עד בינוני. אנולוס מיטרלי מסויד, עלי המסתם מסויידים, דלף מיטרלי בינוני. הודגם דלף טריקוספידלי בינוני, לחץ ריאתי מוגבר במידה קשה. הודגם תפליט פלאורלי מימין.</t>
  </si>
  <si>
    <t>חדר שמאלי בגודל תקין, ספטום מעובה, ההתכווצותו גלובלית ואיזורית תקינה, חדר ימני בגודל והתכווצות תקינה, אי ספיקה אורטלית קלה, אי ספיקה מיטרלית עד בינונית, אי ספיקה טריקוספדלית קלה, לחץ דם ריאתי מוגבר במידה קלה, הגדלה קלה של העליה השמאלית. הודגם נוזל פריקרדיאלי בכמות קטנה.</t>
  </si>
  <si>
    <t>לב מושתל. חדר שמאל בגודל תקין, תפקודו הגלובלי תקין ללא הפרעה אזורית. חדר ימין מורחב במידה קלה, תפקודו שמור. מבנה תקין של המסתמים. אי ספיקה מיטרלית קלה. אי ספיקה טריקוספידלית קלה. לחץ דם ריאתי תקין. נצפה תפליט פריקרדיאלי בכמות קטנה.</t>
  </si>
  <si>
    <t>ליה שמאלית מורחבת. חדר ימין מורחב והיפוקינט עם אלקטרודה של קוצב בתוכו.. (FAC=30%). חדר שמאל מאוד מורחב עם תפקוד גלבולי ירוד במדיה קשה, דיפוזיץת, יותר בולטת בקיר אינפריורי, אחורי וספטלי. אס"ק מיטרלית קשה. מסתם אורטלי מסויד, אס"ק אורטרלית קלה עד בינונית. אס"ק טריקוספידלית בינונית עד קשה. יל"ד ריאתי בינוני. בדיקתץ סינכרוניזצינה: חדר ימין מתכווץ8 מישלנית לפני חדר שמאל( לא משמעותי) YU INDEX= 28( לא משמעותי) BAX INDEX=33( לא שממעותי) הקיר הלטרלי מתכווץ אחרון.</t>
  </si>
  <si>
    <t>חדר שמאלי תקין בגודלו , הספטום מעובה במידה קלה , תפקוד גלובלי ואזורי תקין. תבנית מילוי פסאודונרמלית. חדר ימני תקין בגודלו ובתפקודו.הודגמה אלקטרודה של קוצב בחללי הלב הימני. מסתם טבעת מסוידת, היצרות קלה, טבעת מיטרלית מסויידת, אין עדות למפל לחצים דינמי משמעותי באפיק המוצא.. אי ספיקה מיטרלית קלה. אי ספיקה טריקוספידאלית קלה לבינונית. לחץ ריאתי מוגבר במידה בינונית. עליה שמאלית מורבחת במידה קלה.</t>
  </si>
  <si>
    <t>מטופל עם קרדיומיופטיה איסכמית. חדר שמאל עם תפקוד ירוד מבידה קשה עם אוטם אינפרו פוסטריורי ישן עם עדות לוויאביליות בשאר הדפנות. דלף מיטרלי קל. אלקטרודת דפיברילטור מימין. לאור תלונות של עייפות במאמץ קל + ממצאי הבדיקה הוחלט להסתפק בבדיקה במנוחה בלבד.</t>
  </si>
  <si>
    <t>בדיקה חלקית לבקשת מחקר סטאפ חדר שמאל מורחב במידה קלה, תפקודו הסיסטולי הגבולי שמור עם היפוקינזיה ספטאלית, ואינפרובזאלית</t>
  </si>
  <si>
    <t>חדר שמאל בגודל תקין עם התכווצות גלובלית ואיזורית מופחתת במידה בינונית, לא ניתן להתייחס לתפקוד דיאסטולי. חדר ימני רחב עם ירידה בהתכווצות. עליות מוגדלות. מסתם אורטלי עם עלים מעובים, תנועתיות מוגבלת של rcc אך ללא הפרעה המודינית, אי ספיקה טריויאלית. מסתם מיטרלי עם אי ספיקה קשה (thetering של העלים), עלה אחורי 15ממ , מפל לחצים ממוצע 2 ממ"כ. אי ספיקה טריקוספידלית קלה-בינונית. לחץ דם ראתי מוגבר. עליה ואוזנית ללא קרישי דם .</t>
  </si>
  <si>
    <t>01/15/2011</t>
  </si>
  <si>
    <t>Diabetes mellitus</t>
  </si>
  <si>
    <t>patient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</si>
</sst>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Arial"/>
      <family val="2"/>
      <scheme val="minor"/>
    </font>
    <font>
      <sz val="11"/>
      <color theme="1"/>
      <name val="Arial"/>
      <family val="2"/>
      <charset val="177"/>
      <scheme val="minor"/>
    </font>
    <font>
      <sz val="11"/>
      <name val="Arial"/>
      <family val="2"/>
      <scheme val="minor"/>
    </font>
    <font>
      <b/>
      <sz val="11"/>
      <name val="Calibri"/>
      <family val="2"/>
    </font>
    <font>
      <b/>
      <sz val="11"/>
      <color theme="1"/>
      <name val="Arial"/>
      <family val="2"/>
      <scheme val="minor"/>
    </font>
    <font>
      <b/>
      <sz val="1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11">
    <xf numFmtId="0" fontId="0" fillId="0" borderId="0" xfId="0"/>
    <xf numFmtId="14" fontId="0" fillId="0" borderId="0" xfId="0" applyNumberFormat="1"/>
    <xf numFmtId="0" fontId="2" fillId="0" borderId="0" xfId="0" applyFont="1"/>
    <xf numFmtId="14" fontId="2" fillId="0" borderId="0" xfId="0" applyNumberFormat="1" applyFont="1"/>
    <xf numFmtId="0" fontId="3" fillId="0" borderId="1" xfId="0" applyFont="1" applyBorder="1" applyAlignment="1">
      <alignment horizontal="center" vertical="top"/>
    </xf>
    <xf numFmtId="0" fontId="1" fillId="0" borderId="0" xfId="1"/>
    <xf numFmtId="0" fontId="4" fillId="0" borderId="0" xfId="0" applyFont="1"/>
    <xf numFmtId="14" fontId="4" fillId="0" borderId="0" xfId="0" applyNumberFormat="1" applyFont="1"/>
    <xf numFmtId="164" fontId="2" fillId="0" borderId="0" xfId="0" applyNumberFormat="1" applyFont="1"/>
    <xf numFmtId="0" fontId="5" fillId="0" borderId="0" xfId="0" applyFont="1"/>
    <xf numFmtId="0" fontId="0" fillId="0" borderId="0" xfId="0" applyAlignment="1">
      <alignment horizontal="right"/>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646"/>
  <sheetViews>
    <sheetView tabSelected="1" workbookViewId="0">
      <selection sqref="A1:XFD1"/>
    </sheetView>
  </sheetViews>
  <sheetFormatPr defaultRowHeight="14" x14ac:dyDescent="0.3"/>
  <cols>
    <col min="1" max="1" width="11.5" customWidth="1"/>
    <col min="2" max="2" width="10.75" customWidth="1"/>
    <col min="3" max="3" width="10.75" style="2" customWidth="1"/>
    <col min="4" max="4" width="9.5" bestFit="1" customWidth="1"/>
    <col min="5" max="5" width="17.58203125" style="1" customWidth="1"/>
    <col min="6" max="6" width="17.83203125" customWidth="1"/>
    <col min="7" max="7" width="18.33203125" customWidth="1"/>
    <col min="8" max="8" width="20.25" customWidth="1"/>
    <col min="9" max="9" width="23" customWidth="1"/>
    <col min="10" max="10" width="27.58203125" customWidth="1"/>
    <col min="11" max="11" width="19.5" customWidth="1"/>
    <col min="12" max="12" width="13" customWidth="1"/>
    <col min="14" max="14" width="17.25" customWidth="1"/>
    <col min="15" max="15" width="12.33203125" customWidth="1"/>
    <col min="16" max="16" width="19.75" customWidth="1"/>
    <col min="17" max="17" width="23.5" customWidth="1"/>
    <col min="18" max="18" width="20.5" customWidth="1"/>
    <col min="19" max="19" width="18" customWidth="1"/>
    <col min="20" max="20" width="17.58203125" customWidth="1"/>
    <col min="21" max="21" width="19.33203125" customWidth="1"/>
    <col min="22" max="22" width="13.75" customWidth="1"/>
    <col min="23" max="23" width="17.5" customWidth="1"/>
    <col min="24" max="24" width="18.08203125" customWidth="1"/>
    <col min="25" max="25" width="13.08203125" customWidth="1"/>
    <col min="26" max="26" width="12.08203125" customWidth="1"/>
    <col min="27" max="27" width="12" customWidth="1"/>
    <col min="28" max="28" width="12.5" customWidth="1"/>
    <col min="29" max="29" width="12.33203125" customWidth="1"/>
    <col min="30" max="30" width="12" customWidth="1"/>
    <col min="31" max="31" width="12.33203125" customWidth="1"/>
    <col min="32" max="32" width="10.75" customWidth="1"/>
    <col min="33" max="33" width="11.33203125" customWidth="1"/>
    <col min="34" max="34" width="14" customWidth="1"/>
    <col min="35" max="35" width="13.08203125" customWidth="1"/>
    <col min="36" max="36" width="12.5" customWidth="1"/>
    <col min="37" max="39" width="9.5" bestFit="1" customWidth="1"/>
    <col min="40" max="40" width="14.83203125" customWidth="1"/>
    <col min="41" max="42" width="9.5" bestFit="1" customWidth="1"/>
    <col min="43" max="43" width="13.5" customWidth="1"/>
    <col min="44" max="44" width="13.25" customWidth="1"/>
    <col min="45" max="45" width="19.58203125" customWidth="1"/>
    <col min="46" max="46" width="19.25" customWidth="1"/>
    <col min="47" max="47" width="17.83203125" customWidth="1"/>
    <col min="48" max="48" width="20.33203125" customWidth="1"/>
    <col min="49" max="49" width="24" customWidth="1"/>
    <col min="50" max="50" width="17.58203125" customWidth="1"/>
    <col min="51" max="51" width="23.5" customWidth="1"/>
    <col min="52" max="54" width="9.5" bestFit="1" customWidth="1"/>
    <col min="55" max="55" width="11.25" customWidth="1"/>
    <col min="56" max="56" width="15.58203125" customWidth="1"/>
    <col min="57" max="57" width="12.58203125" customWidth="1"/>
    <col min="58" max="58" width="17.33203125" customWidth="1"/>
    <col min="59" max="59" width="17.25" customWidth="1"/>
    <col min="60" max="60" width="15.5" customWidth="1"/>
    <col min="61" max="61" width="17.75" customWidth="1"/>
    <col min="62" max="62" width="14.08203125" customWidth="1"/>
    <col min="63" max="63" width="14.83203125" customWidth="1"/>
    <col min="64" max="64" width="15.5" customWidth="1"/>
    <col min="65" max="65" width="16.33203125" customWidth="1"/>
    <col min="66" max="66" width="15.75" customWidth="1"/>
  </cols>
  <sheetData>
    <row r="1" spans="1:66" ht="14.5" x14ac:dyDescent="0.3">
      <c r="A1" s="6" t="s">
        <v>917</v>
      </c>
      <c r="B1" s="6" t="s">
        <v>429</v>
      </c>
      <c r="C1" s="9" t="s">
        <v>447</v>
      </c>
      <c r="D1" s="6" t="s">
        <v>0</v>
      </c>
      <c r="E1" s="7" t="s">
        <v>1</v>
      </c>
      <c r="F1" s="6" t="s">
        <v>40</v>
      </c>
      <c r="G1" s="6" t="s">
        <v>2</v>
      </c>
      <c r="H1" s="6" t="s">
        <v>41</v>
      </c>
      <c r="I1" s="6" t="s">
        <v>42</v>
      </c>
      <c r="J1" s="6" t="s">
        <v>43</v>
      </c>
      <c r="K1" s="6" t="s">
        <v>44</v>
      </c>
      <c r="L1" s="6" t="s">
        <v>45</v>
      </c>
      <c r="M1" s="6" t="s">
        <v>46</v>
      </c>
      <c r="N1" s="6" t="s">
        <v>47</v>
      </c>
      <c r="O1" s="6" t="s">
        <v>48</v>
      </c>
      <c r="P1" s="6" t="s">
        <v>49</v>
      </c>
      <c r="Q1" s="6" t="s">
        <v>50</v>
      </c>
      <c r="R1" s="6" t="s">
        <v>51</v>
      </c>
      <c r="S1" s="6" t="s">
        <v>52</v>
      </c>
      <c r="T1" s="6" t="s">
        <v>53</v>
      </c>
      <c r="U1" s="6" t="s">
        <v>54</v>
      </c>
      <c r="V1" s="6" t="s">
        <v>55</v>
      </c>
      <c r="W1" s="6" t="s">
        <v>56</v>
      </c>
      <c r="X1" s="6" t="s">
        <v>57</v>
      </c>
      <c r="Y1" s="6" t="s">
        <v>58</v>
      </c>
      <c r="Z1" s="6" t="s">
        <v>59</v>
      </c>
      <c r="AA1" s="6" t="s">
        <v>60</v>
      </c>
      <c r="AB1" s="6" t="s">
        <v>61</v>
      </c>
      <c r="AC1" s="6" t="s">
        <v>62</v>
      </c>
      <c r="AD1" s="6" t="s">
        <v>63</v>
      </c>
      <c r="AE1" s="6" t="s">
        <v>64</v>
      </c>
      <c r="AF1" s="6" t="s">
        <v>65</v>
      </c>
      <c r="AG1" s="6" t="s">
        <v>66</v>
      </c>
      <c r="AH1" s="6" t="s">
        <v>67</v>
      </c>
      <c r="AI1" s="6" t="s">
        <v>68</v>
      </c>
      <c r="AJ1" s="6" t="s">
        <v>69</v>
      </c>
      <c r="AK1" s="6" t="s">
        <v>70</v>
      </c>
      <c r="AL1" s="6" t="s">
        <v>71</v>
      </c>
      <c r="AM1" s="6" t="s">
        <v>72</v>
      </c>
      <c r="AN1" s="6" t="s">
        <v>73</v>
      </c>
      <c r="AO1" s="6" t="s">
        <v>3</v>
      </c>
      <c r="AP1" s="6" t="s">
        <v>4</v>
      </c>
      <c r="AQ1" s="6" t="s">
        <v>5</v>
      </c>
      <c r="AR1" s="6" t="s">
        <v>6</v>
      </c>
      <c r="AS1" s="6" t="s">
        <v>7</v>
      </c>
      <c r="AT1" s="6" t="s">
        <v>8</v>
      </c>
      <c r="AU1" s="6" t="s">
        <v>10</v>
      </c>
      <c r="AV1" s="6" t="s">
        <v>916</v>
      </c>
      <c r="AW1" s="6" t="s">
        <v>11</v>
      </c>
      <c r="AX1" s="6" t="s">
        <v>12</v>
      </c>
      <c r="AY1" s="6" t="s">
        <v>13</v>
      </c>
      <c r="AZ1" s="6" t="s">
        <v>431</v>
      </c>
      <c r="BA1" s="6" t="s">
        <v>432</v>
      </c>
      <c r="BB1" s="6" t="s">
        <v>433</v>
      </c>
      <c r="BC1" s="6" t="s">
        <v>9</v>
      </c>
      <c r="BD1" s="4" t="s">
        <v>436</v>
      </c>
      <c r="BE1" s="4" t="s">
        <v>437</v>
      </c>
      <c r="BF1" s="4" t="s">
        <v>438</v>
      </c>
      <c r="BG1" s="4" t="s">
        <v>439</v>
      </c>
      <c r="BH1" s="4" t="s">
        <v>440</v>
      </c>
      <c r="BI1" s="4" t="s">
        <v>441</v>
      </c>
      <c r="BJ1" s="4" t="s">
        <v>442</v>
      </c>
      <c r="BK1" s="4" t="s">
        <v>443</v>
      </c>
      <c r="BL1" s="4" t="s">
        <v>444</v>
      </c>
      <c r="BM1" s="4" t="s">
        <v>445</v>
      </c>
      <c r="BN1" s="4" t="s">
        <v>446</v>
      </c>
    </row>
    <row r="2" spans="1:66" x14ac:dyDescent="0.3">
      <c r="A2">
        <v>1</v>
      </c>
      <c r="B2" s="2" t="s">
        <v>430</v>
      </c>
      <c r="C2" s="2" t="s">
        <v>448</v>
      </c>
      <c r="D2">
        <v>74</v>
      </c>
      <c r="E2" s="1" t="s">
        <v>16</v>
      </c>
      <c r="F2" s="1">
        <v>44558</v>
      </c>
      <c r="G2" s="1">
        <v>44543.397141203706</v>
      </c>
      <c r="H2" t="s">
        <v>15</v>
      </c>
      <c r="I2" t="s">
        <v>78</v>
      </c>
      <c r="J2" t="s">
        <v>15</v>
      </c>
      <c r="K2" t="s">
        <v>81</v>
      </c>
      <c r="L2">
        <v>60</v>
      </c>
      <c r="M2" t="s">
        <v>16</v>
      </c>
      <c r="N2" t="s">
        <v>16</v>
      </c>
      <c r="O2" t="s">
        <v>17</v>
      </c>
      <c r="P2" t="s">
        <v>75</v>
      </c>
      <c r="Q2" t="s">
        <v>18</v>
      </c>
      <c r="R2" t="s">
        <v>82</v>
      </c>
      <c r="S2" t="s">
        <v>16</v>
      </c>
      <c r="T2" t="s">
        <v>18</v>
      </c>
      <c r="U2" t="s">
        <v>16</v>
      </c>
      <c r="V2" t="s">
        <v>16</v>
      </c>
      <c r="W2" t="s">
        <v>18</v>
      </c>
      <c r="X2" t="s">
        <v>16</v>
      </c>
      <c r="Y2">
        <v>5.3000001907348597</v>
      </c>
      <c r="Z2">
        <v>3.2000000476837198</v>
      </c>
      <c r="AA2">
        <v>1.3200000524520901</v>
      </c>
      <c r="AB2">
        <v>1.1000000238418599</v>
      </c>
      <c r="AC2">
        <v>259.53723144531301</v>
      </c>
      <c r="AD2">
        <v>121</v>
      </c>
      <c r="AE2">
        <v>1.12000000476837</v>
      </c>
      <c r="AF2" t="s">
        <v>16</v>
      </c>
      <c r="AG2">
        <v>68.099998474121094</v>
      </c>
      <c r="AH2" t="s">
        <v>16</v>
      </c>
      <c r="AI2">
        <v>4.6799998283386204</v>
      </c>
      <c r="AJ2">
        <v>14.550000190734901</v>
      </c>
      <c r="AK2">
        <v>9.3599996566772496</v>
      </c>
      <c r="AL2">
        <v>9.6800003051757795</v>
      </c>
      <c r="AM2">
        <v>7.03999996185303</v>
      </c>
      <c r="AN2" t="s">
        <v>83</v>
      </c>
      <c r="AO2">
        <v>92</v>
      </c>
      <c r="AP2">
        <v>30.3871052979258</v>
      </c>
      <c r="AQ2" s="1" t="s">
        <v>16</v>
      </c>
      <c r="AR2" s="1" t="s">
        <v>16</v>
      </c>
      <c r="AS2" s="1">
        <v>43651</v>
      </c>
      <c r="AT2" s="1">
        <v>44738</v>
      </c>
      <c r="AU2" s="1">
        <v>43651</v>
      </c>
      <c r="AV2" s="1">
        <v>43651.134288043977</v>
      </c>
      <c r="AW2" s="1">
        <v>43651</v>
      </c>
      <c r="AX2" s="1" t="s">
        <v>16</v>
      </c>
      <c r="AY2" t="s">
        <v>16</v>
      </c>
      <c r="AZ2">
        <v>179</v>
      </c>
      <c r="BA2">
        <v>75</v>
      </c>
      <c r="BB2">
        <v>3</v>
      </c>
      <c r="BC2">
        <f t="shared" ref="BC2:BC9" si="0">(140-D2)*AO2/(72*BI2)</f>
        <v>11.096491228070176</v>
      </c>
      <c r="BD2">
        <v>149</v>
      </c>
      <c r="BE2">
        <v>3.7</v>
      </c>
      <c r="BF2">
        <v>3.2</v>
      </c>
      <c r="BG2">
        <v>9.2100000000000009</v>
      </c>
      <c r="BH2">
        <v>193</v>
      </c>
      <c r="BI2">
        <v>7.6</v>
      </c>
      <c r="BJ2">
        <v>9.6</v>
      </c>
      <c r="BK2">
        <v>6.2</v>
      </c>
      <c r="BL2">
        <v>6.6</v>
      </c>
      <c r="BM2">
        <v>21.58</v>
      </c>
      <c r="BN2">
        <v>4.9000000000000004</v>
      </c>
    </row>
    <row r="3" spans="1:66" x14ac:dyDescent="0.3">
      <c r="A3">
        <v>2</v>
      </c>
      <c r="B3" s="2" t="s">
        <v>430</v>
      </c>
      <c r="C3" s="2" t="s">
        <v>448</v>
      </c>
      <c r="D3">
        <v>59</v>
      </c>
      <c r="E3" s="1">
        <v>43874</v>
      </c>
      <c r="F3" s="1">
        <v>39916</v>
      </c>
      <c r="G3" s="1">
        <v>39902.519780092596</v>
      </c>
      <c r="H3" t="s">
        <v>15</v>
      </c>
      <c r="I3" t="s">
        <v>16</v>
      </c>
      <c r="J3" t="s">
        <v>15</v>
      </c>
      <c r="K3" t="s">
        <v>84</v>
      </c>
      <c r="L3">
        <v>55</v>
      </c>
      <c r="M3" t="s">
        <v>15</v>
      </c>
      <c r="N3" t="s">
        <v>15</v>
      </c>
      <c r="O3" t="s">
        <v>17</v>
      </c>
      <c r="P3" t="s">
        <v>85</v>
      </c>
      <c r="Q3" t="s">
        <v>16</v>
      </c>
      <c r="R3" t="s">
        <v>16</v>
      </c>
      <c r="S3" t="s">
        <v>75</v>
      </c>
      <c r="T3" t="s">
        <v>27</v>
      </c>
      <c r="U3" t="s">
        <v>86</v>
      </c>
      <c r="V3" t="s">
        <v>16</v>
      </c>
      <c r="W3" t="s">
        <v>18</v>
      </c>
      <c r="X3" t="s">
        <v>87</v>
      </c>
      <c r="Y3">
        <v>5.0999999046325701</v>
      </c>
      <c r="Z3">
        <v>3.5999999046325701</v>
      </c>
      <c r="AA3">
        <v>1.12999999523163</v>
      </c>
      <c r="AB3">
        <v>1.1000000238418599</v>
      </c>
      <c r="AC3">
        <v>218</v>
      </c>
      <c r="AD3">
        <v>99</v>
      </c>
      <c r="AE3">
        <v>1</v>
      </c>
      <c r="AF3">
        <v>50</v>
      </c>
      <c r="AG3" t="s">
        <v>16</v>
      </c>
      <c r="AH3" t="s">
        <v>16</v>
      </c>
      <c r="AI3" t="s">
        <v>16</v>
      </c>
      <c r="AJ3" t="s">
        <v>16</v>
      </c>
      <c r="AK3" t="s">
        <v>16</v>
      </c>
      <c r="AL3" t="s">
        <v>16</v>
      </c>
      <c r="AM3" t="s">
        <v>16</v>
      </c>
      <c r="AN3" t="s">
        <v>88</v>
      </c>
      <c r="AO3">
        <v>78</v>
      </c>
      <c r="AP3">
        <v>24.6181037747759</v>
      </c>
      <c r="AQ3" s="1" t="s">
        <v>16</v>
      </c>
      <c r="AR3" s="1">
        <v>41899</v>
      </c>
      <c r="AS3" s="1">
        <v>39926</v>
      </c>
      <c r="AT3" s="1">
        <v>39343</v>
      </c>
      <c r="AU3" s="1" t="s">
        <v>16</v>
      </c>
      <c r="AV3" s="1"/>
      <c r="AW3" s="1" t="s">
        <v>16</v>
      </c>
      <c r="AX3" s="1" t="s">
        <v>16</v>
      </c>
      <c r="AY3" t="s">
        <v>16</v>
      </c>
      <c r="AZ3">
        <v>115</v>
      </c>
      <c r="BA3">
        <v>60</v>
      </c>
      <c r="BB3">
        <v>1</v>
      </c>
      <c r="BC3">
        <f t="shared" si="0"/>
        <v>16.875</v>
      </c>
      <c r="BD3">
        <v>145</v>
      </c>
      <c r="BE3">
        <v>4.7</v>
      </c>
      <c r="BF3">
        <v>3.9</v>
      </c>
      <c r="BG3">
        <v>9.17</v>
      </c>
      <c r="BH3">
        <v>206</v>
      </c>
      <c r="BI3">
        <v>5.2</v>
      </c>
      <c r="BJ3">
        <v>8.9</v>
      </c>
      <c r="BK3">
        <v>5.0999999999999996</v>
      </c>
      <c r="BL3">
        <v>8.6</v>
      </c>
    </row>
    <row r="4" spans="1:66" x14ac:dyDescent="0.3">
      <c r="A4">
        <v>3</v>
      </c>
      <c r="B4" s="2" t="s">
        <v>430</v>
      </c>
      <c r="C4" s="2" t="s">
        <v>449</v>
      </c>
      <c r="D4">
        <v>67</v>
      </c>
      <c r="E4" s="1">
        <v>42979</v>
      </c>
      <c r="F4" s="1">
        <v>42570</v>
      </c>
      <c r="G4" s="1">
        <v>42472.564942129633</v>
      </c>
      <c r="H4" t="s">
        <v>16</v>
      </c>
      <c r="I4" t="s">
        <v>16</v>
      </c>
      <c r="J4" t="s">
        <v>16</v>
      </c>
      <c r="K4" t="s">
        <v>74</v>
      </c>
      <c r="L4">
        <v>60</v>
      </c>
      <c r="M4" t="s">
        <v>16</v>
      </c>
      <c r="N4" t="s">
        <v>16</v>
      </c>
      <c r="O4" t="s">
        <v>15</v>
      </c>
      <c r="P4" t="s">
        <v>16</v>
      </c>
      <c r="Q4" t="s">
        <v>16</v>
      </c>
      <c r="R4" t="s">
        <v>16</v>
      </c>
      <c r="S4" t="s">
        <v>16</v>
      </c>
      <c r="T4" t="s">
        <v>18</v>
      </c>
      <c r="U4" t="s">
        <v>16</v>
      </c>
      <c r="V4" t="s">
        <v>16</v>
      </c>
      <c r="W4" t="s">
        <v>18</v>
      </c>
      <c r="X4" t="s">
        <v>16</v>
      </c>
      <c r="Y4">
        <v>4.6999998092651403</v>
      </c>
      <c r="Z4">
        <v>2.9000000953674299</v>
      </c>
      <c r="AA4">
        <v>1.1000000238418599</v>
      </c>
      <c r="AB4">
        <v>1</v>
      </c>
      <c r="AC4">
        <v>175.82669067382801</v>
      </c>
      <c r="AD4">
        <v>106</v>
      </c>
      <c r="AE4">
        <v>1</v>
      </c>
      <c r="AF4" t="s">
        <v>16</v>
      </c>
      <c r="AG4">
        <v>89.300003051757798</v>
      </c>
      <c r="AH4">
        <v>9.3599996566772496</v>
      </c>
      <c r="AI4">
        <v>6</v>
      </c>
      <c r="AJ4">
        <v>14.8800001144409</v>
      </c>
      <c r="AK4">
        <v>6.2399997711181596</v>
      </c>
      <c r="AL4">
        <v>5.46000003814697</v>
      </c>
      <c r="AM4">
        <v>16.360000610351602</v>
      </c>
      <c r="AN4" t="s">
        <v>89</v>
      </c>
      <c r="AO4">
        <v>62</v>
      </c>
      <c r="AP4">
        <v>24.524346347059101</v>
      </c>
      <c r="AQ4" s="1">
        <v>42802</v>
      </c>
      <c r="AR4" s="1" t="s">
        <v>16</v>
      </c>
      <c r="AS4" s="1">
        <v>42845</v>
      </c>
      <c r="AT4" s="1">
        <v>42485</v>
      </c>
      <c r="AU4" s="1">
        <v>39714</v>
      </c>
      <c r="AV4" s="1">
        <v>39714.885745636573</v>
      </c>
      <c r="AW4" s="1">
        <v>42471</v>
      </c>
      <c r="AX4" s="1">
        <v>42754</v>
      </c>
      <c r="AY4" t="s">
        <v>16</v>
      </c>
      <c r="AZ4">
        <v>134</v>
      </c>
      <c r="BA4">
        <v>66</v>
      </c>
      <c r="BB4">
        <v>9</v>
      </c>
      <c r="BC4">
        <f t="shared" si="0"/>
        <v>9.0317688378033196</v>
      </c>
      <c r="BD4">
        <v>134</v>
      </c>
      <c r="BE4">
        <v>4.2</v>
      </c>
      <c r="BF4">
        <v>2.8</v>
      </c>
      <c r="BG4">
        <v>9.49</v>
      </c>
      <c r="BH4">
        <v>365</v>
      </c>
      <c r="BI4">
        <v>6.96</v>
      </c>
      <c r="BJ4">
        <v>6.1</v>
      </c>
      <c r="BK4">
        <v>8.1999999999999993</v>
      </c>
      <c r="BL4">
        <v>9.6999999999999993</v>
      </c>
      <c r="BM4">
        <v>3.08</v>
      </c>
      <c r="BN4">
        <v>9</v>
      </c>
    </row>
    <row r="5" spans="1:66" x14ac:dyDescent="0.3">
      <c r="A5">
        <v>4</v>
      </c>
      <c r="B5" s="2" t="s">
        <v>430</v>
      </c>
      <c r="C5" s="2" t="s">
        <v>448</v>
      </c>
      <c r="D5">
        <v>75</v>
      </c>
      <c r="E5" s="1">
        <v>44525</v>
      </c>
      <c r="F5" s="1">
        <v>42659</v>
      </c>
      <c r="G5" s="1">
        <v>42663.598391203705</v>
      </c>
      <c r="H5" t="s">
        <v>15</v>
      </c>
      <c r="I5" t="s">
        <v>15</v>
      </c>
      <c r="J5" t="s">
        <v>15</v>
      </c>
      <c r="K5" t="s">
        <v>16</v>
      </c>
      <c r="L5">
        <v>55</v>
      </c>
      <c r="M5" t="s">
        <v>16</v>
      </c>
      <c r="N5" t="s">
        <v>16</v>
      </c>
      <c r="O5" t="s">
        <v>17</v>
      </c>
      <c r="P5" t="s">
        <v>75</v>
      </c>
      <c r="Q5" t="s">
        <v>33</v>
      </c>
      <c r="R5" t="s">
        <v>16</v>
      </c>
      <c r="S5" t="s">
        <v>16</v>
      </c>
      <c r="T5" t="s">
        <v>18</v>
      </c>
      <c r="U5" t="s">
        <v>96</v>
      </c>
      <c r="V5" t="s">
        <v>16</v>
      </c>
      <c r="W5" t="s">
        <v>18</v>
      </c>
      <c r="X5" t="s">
        <v>87</v>
      </c>
      <c r="Y5">
        <v>5.5999999046325701</v>
      </c>
      <c r="Z5">
        <v>3.9000000953674299</v>
      </c>
      <c r="AA5">
        <v>1</v>
      </c>
      <c r="AB5">
        <v>1.1000000238418599</v>
      </c>
      <c r="AC5">
        <v>234.32293701171901</v>
      </c>
      <c r="AD5">
        <v>119</v>
      </c>
      <c r="AE5">
        <v>1.12000000476837</v>
      </c>
      <c r="AF5">
        <v>54</v>
      </c>
      <c r="AG5">
        <v>108</v>
      </c>
      <c r="AH5">
        <v>7.4000000953674299</v>
      </c>
      <c r="AI5">
        <v>5</v>
      </c>
      <c r="AJ5">
        <v>21.600000381469702</v>
      </c>
      <c r="AK5">
        <v>6.8499999046325701</v>
      </c>
      <c r="AL5">
        <v>7.1799998283386204</v>
      </c>
      <c r="AM5">
        <v>15.039999961853001</v>
      </c>
      <c r="AN5" t="s">
        <v>97</v>
      </c>
      <c r="AO5">
        <v>85.6</v>
      </c>
      <c r="AP5">
        <v>30.6931048083474</v>
      </c>
      <c r="AQ5" s="1" t="s">
        <v>16</v>
      </c>
      <c r="AR5" s="1" t="s">
        <v>16</v>
      </c>
      <c r="AS5" s="1" t="s">
        <v>16</v>
      </c>
      <c r="AT5" s="1">
        <v>42633</v>
      </c>
      <c r="AU5" s="1">
        <v>44157</v>
      </c>
      <c r="AV5" s="1"/>
      <c r="AW5" s="1" t="s">
        <v>16</v>
      </c>
      <c r="AX5" s="1" t="s">
        <v>16</v>
      </c>
      <c r="AY5" t="s">
        <v>21</v>
      </c>
      <c r="AZ5">
        <v>130</v>
      </c>
      <c r="BA5">
        <v>60</v>
      </c>
      <c r="BB5">
        <v>1</v>
      </c>
      <c r="BC5">
        <f t="shared" si="0"/>
        <v>13.58133177113845</v>
      </c>
      <c r="BD5">
        <v>139</v>
      </c>
      <c r="BE5">
        <v>4.2</v>
      </c>
      <c r="BF5">
        <v>3.3</v>
      </c>
      <c r="BG5">
        <v>9.25</v>
      </c>
      <c r="BH5">
        <v>143</v>
      </c>
      <c r="BI5">
        <v>5.69</v>
      </c>
      <c r="BJ5">
        <v>8.9</v>
      </c>
      <c r="BK5">
        <v>3.9</v>
      </c>
      <c r="BL5">
        <v>9.6</v>
      </c>
      <c r="BM5">
        <v>33.97</v>
      </c>
    </row>
    <row r="6" spans="1:66" x14ac:dyDescent="0.3">
      <c r="A6">
        <v>5</v>
      </c>
      <c r="B6" s="2" t="s">
        <v>430</v>
      </c>
      <c r="C6" s="2" t="s">
        <v>448</v>
      </c>
      <c r="D6">
        <v>81</v>
      </c>
      <c r="E6" s="1">
        <v>43288</v>
      </c>
      <c r="F6" s="1">
        <v>42936</v>
      </c>
      <c r="G6" s="1">
        <v>42933.536122685182</v>
      </c>
      <c r="H6" t="s">
        <v>17</v>
      </c>
      <c r="I6" t="s">
        <v>87</v>
      </c>
      <c r="J6" t="s">
        <v>15</v>
      </c>
      <c r="K6" t="s">
        <v>16</v>
      </c>
      <c r="L6">
        <v>60</v>
      </c>
      <c r="M6" t="s">
        <v>16</v>
      </c>
      <c r="N6" t="s">
        <v>16</v>
      </c>
      <c r="O6" t="s">
        <v>17</v>
      </c>
      <c r="P6" t="s">
        <v>75</v>
      </c>
      <c r="Q6" t="s">
        <v>16</v>
      </c>
      <c r="R6" t="s">
        <v>98</v>
      </c>
      <c r="S6" t="s">
        <v>16</v>
      </c>
      <c r="T6" t="s">
        <v>19</v>
      </c>
      <c r="U6" t="s">
        <v>96</v>
      </c>
      <c r="V6" t="s">
        <v>16</v>
      </c>
      <c r="W6" t="s">
        <v>19</v>
      </c>
      <c r="X6" t="s">
        <v>78</v>
      </c>
      <c r="Y6">
        <v>5.5999999046325701</v>
      </c>
      <c r="Z6">
        <v>3.7000000476837198</v>
      </c>
      <c r="AA6">
        <v>1.5099999904632599</v>
      </c>
      <c r="AB6">
        <v>0.89999997615814198</v>
      </c>
      <c r="AC6">
        <v>282.07092285156301</v>
      </c>
      <c r="AD6">
        <v>137</v>
      </c>
      <c r="AE6">
        <v>1</v>
      </c>
      <c r="AF6">
        <v>39</v>
      </c>
      <c r="AG6">
        <v>148</v>
      </c>
      <c r="AH6">
        <v>4.4400000572204599</v>
      </c>
      <c r="AI6">
        <v>5.7699999809265101</v>
      </c>
      <c r="AJ6">
        <v>25.649999618530298</v>
      </c>
      <c r="AK6">
        <v>6.8600001335143999</v>
      </c>
      <c r="AL6">
        <v>11.1000003814697</v>
      </c>
      <c r="AM6">
        <v>13.329999923706101</v>
      </c>
      <c r="AN6" t="s">
        <v>99</v>
      </c>
      <c r="AO6">
        <v>87</v>
      </c>
      <c r="AP6">
        <v>27.458654210327001</v>
      </c>
      <c r="AQ6" s="1">
        <v>40057</v>
      </c>
      <c r="AR6" s="1">
        <v>39669</v>
      </c>
      <c r="AS6" s="1">
        <v>41418</v>
      </c>
      <c r="AT6" s="1">
        <v>41204</v>
      </c>
      <c r="AU6" s="1">
        <v>41418</v>
      </c>
      <c r="AV6" s="1">
        <v>40057.414356747693</v>
      </c>
      <c r="AW6" s="1">
        <v>40057</v>
      </c>
      <c r="AX6" s="1" t="s">
        <v>16</v>
      </c>
      <c r="AY6" t="s">
        <v>16</v>
      </c>
      <c r="AZ6">
        <v>161</v>
      </c>
      <c r="BA6">
        <v>73</v>
      </c>
      <c r="BB6">
        <v>0</v>
      </c>
      <c r="BC6">
        <f t="shared" si="0"/>
        <v>14.061472715318869</v>
      </c>
      <c r="BD6">
        <v>137</v>
      </c>
      <c r="BE6">
        <v>4.0999999999999996</v>
      </c>
      <c r="BF6">
        <v>2.9</v>
      </c>
      <c r="BG6">
        <v>9.69</v>
      </c>
      <c r="BH6">
        <v>191</v>
      </c>
      <c r="BI6">
        <v>5.07</v>
      </c>
      <c r="BJ6">
        <v>9.1999999999999993</v>
      </c>
      <c r="BK6">
        <v>6.6</v>
      </c>
      <c r="BL6">
        <v>6.6</v>
      </c>
      <c r="BM6">
        <v>34.950000000000003</v>
      </c>
      <c r="BN6">
        <v>5.4</v>
      </c>
    </row>
    <row r="7" spans="1:66" x14ac:dyDescent="0.3">
      <c r="A7">
        <v>6</v>
      </c>
      <c r="B7" s="2" t="s">
        <v>430</v>
      </c>
      <c r="C7" s="2" t="s">
        <v>448</v>
      </c>
      <c r="D7">
        <v>79</v>
      </c>
      <c r="E7" s="1">
        <v>42246</v>
      </c>
      <c r="F7" s="1">
        <v>42138</v>
      </c>
      <c r="G7" s="1">
        <v>41885.465497685182</v>
      </c>
      <c r="H7" t="s">
        <v>15</v>
      </c>
      <c r="I7" t="s">
        <v>78</v>
      </c>
      <c r="J7" t="s">
        <v>15</v>
      </c>
      <c r="K7" t="s">
        <v>16</v>
      </c>
      <c r="L7" t="s">
        <v>16</v>
      </c>
      <c r="M7" t="s">
        <v>16</v>
      </c>
      <c r="N7" t="s">
        <v>16</v>
      </c>
      <c r="O7" t="s">
        <v>17</v>
      </c>
      <c r="P7" t="s">
        <v>75</v>
      </c>
      <c r="Q7" t="s">
        <v>23</v>
      </c>
      <c r="R7" t="s">
        <v>16</v>
      </c>
      <c r="S7" t="s">
        <v>16</v>
      </c>
      <c r="T7" t="s">
        <v>18</v>
      </c>
      <c r="U7" t="s">
        <v>16</v>
      </c>
      <c r="V7" t="s">
        <v>16</v>
      </c>
      <c r="W7" t="s">
        <v>18</v>
      </c>
      <c r="X7" t="s">
        <v>15</v>
      </c>
      <c r="Y7">
        <v>4.5</v>
      </c>
      <c r="Z7">
        <v>2.7000000476837198</v>
      </c>
      <c r="AA7">
        <v>1.29999995231628</v>
      </c>
      <c r="AB7">
        <v>1.20000004768372</v>
      </c>
      <c r="AC7">
        <v>210.16000366210901</v>
      </c>
      <c r="AD7">
        <v>120</v>
      </c>
      <c r="AE7">
        <v>1</v>
      </c>
      <c r="AF7">
        <v>24</v>
      </c>
      <c r="AG7">
        <v>55</v>
      </c>
      <c r="AH7">
        <v>8</v>
      </c>
      <c r="AI7">
        <v>5</v>
      </c>
      <c r="AJ7">
        <v>11</v>
      </c>
      <c r="AK7">
        <v>6</v>
      </c>
      <c r="AL7">
        <v>7</v>
      </c>
      <c r="AM7">
        <v>7.8600001335143999</v>
      </c>
      <c r="AN7" t="s">
        <v>100</v>
      </c>
      <c r="AO7">
        <v>76</v>
      </c>
      <c r="AP7">
        <v>27.915518824609698</v>
      </c>
      <c r="AQ7" s="1" t="s">
        <v>16</v>
      </c>
      <c r="AR7" s="1" t="s">
        <v>16</v>
      </c>
      <c r="AS7" s="1" t="s">
        <v>16</v>
      </c>
      <c r="AT7" s="1">
        <v>41917</v>
      </c>
      <c r="AU7" s="1">
        <v>41917</v>
      </c>
      <c r="AV7" s="1"/>
      <c r="AW7" s="1" t="s">
        <v>16</v>
      </c>
      <c r="AX7" s="1" t="s">
        <v>16</v>
      </c>
      <c r="AY7" t="s">
        <v>16</v>
      </c>
      <c r="AZ7">
        <v>177</v>
      </c>
      <c r="BA7">
        <v>88</v>
      </c>
      <c r="BB7">
        <v>2</v>
      </c>
      <c r="BC7">
        <f t="shared" si="0"/>
        <v>10.172020361593821</v>
      </c>
      <c r="BD7">
        <v>133</v>
      </c>
      <c r="BE7">
        <v>4.7</v>
      </c>
      <c r="BF7">
        <v>1.9</v>
      </c>
      <c r="BG7">
        <v>7.72</v>
      </c>
      <c r="BH7">
        <v>447</v>
      </c>
      <c r="BI7">
        <v>6.33</v>
      </c>
      <c r="BJ7">
        <v>7.9</v>
      </c>
      <c r="BK7">
        <v>6.4</v>
      </c>
      <c r="BL7">
        <v>10.7</v>
      </c>
      <c r="BN7">
        <v>4.7</v>
      </c>
    </row>
    <row r="8" spans="1:66" x14ac:dyDescent="0.3">
      <c r="A8">
        <v>7</v>
      </c>
      <c r="B8" s="2" t="s">
        <v>430</v>
      </c>
      <c r="C8" s="2" t="s">
        <v>449</v>
      </c>
      <c r="D8">
        <v>73</v>
      </c>
      <c r="E8" s="1">
        <v>43375</v>
      </c>
      <c r="F8" s="1">
        <v>42451</v>
      </c>
      <c r="G8" s="1">
        <v>42382.482314814813</v>
      </c>
      <c r="H8" t="s">
        <v>15</v>
      </c>
      <c r="I8" t="s">
        <v>90</v>
      </c>
      <c r="J8" t="s">
        <v>15</v>
      </c>
      <c r="K8" t="s">
        <v>16</v>
      </c>
      <c r="L8">
        <v>60</v>
      </c>
      <c r="M8" t="s">
        <v>16</v>
      </c>
      <c r="N8" t="s">
        <v>16</v>
      </c>
      <c r="O8" t="s">
        <v>17</v>
      </c>
      <c r="P8" t="s">
        <v>75</v>
      </c>
      <c r="Q8" t="s">
        <v>18</v>
      </c>
      <c r="R8" t="s">
        <v>16</v>
      </c>
      <c r="S8" t="s">
        <v>92</v>
      </c>
      <c r="T8" t="s">
        <v>18</v>
      </c>
      <c r="U8" t="s">
        <v>16</v>
      </c>
      <c r="V8" t="s">
        <v>93</v>
      </c>
      <c r="W8" t="s">
        <v>18</v>
      </c>
      <c r="X8" t="s">
        <v>15</v>
      </c>
      <c r="Y8">
        <v>4.9000000953674299</v>
      </c>
      <c r="Z8">
        <v>3.0999999046325701</v>
      </c>
      <c r="AA8">
        <v>1.6000000238418599</v>
      </c>
      <c r="AB8">
        <v>1.3999999761581401</v>
      </c>
      <c r="AC8">
        <v>312.92446899414102</v>
      </c>
      <c r="AD8">
        <v>167</v>
      </c>
      <c r="AE8">
        <v>1</v>
      </c>
      <c r="AF8">
        <v>33</v>
      </c>
      <c r="AG8">
        <v>68.400001525878906</v>
      </c>
      <c r="AH8">
        <v>6</v>
      </c>
      <c r="AI8">
        <v>4</v>
      </c>
      <c r="AJ8">
        <v>17.100000381469702</v>
      </c>
      <c r="AK8">
        <v>8</v>
      </c>
      <c r="AL8">
        <v>5</v>
      </c>
      <c r="AM8">
        <v>13.680000305175801</v>
      </c>
      <c r="AN8" t="s">
        <v>101</v>
      </c>
      <c r="AO8">
        <v>80</v>
      </c>
      <c r="AP8">
        <v>28.344671201814101</v>
      </c>
      <c r="AQ8" s="1" t="s">
        <v>16</v>
      </c>
      <c r="AR8" s="1" t="s">
        <v>16</v>
      </c>
      <c r="AS8" s="1" t="s">
        <v>16</v>
      </c>
      <c r="AT8" s="1">
        <v>42441</v>
      </c>
      <c r="AU8" s="1">
        <v>41571</v>
      </c>
      <c r="AV8" s="1"/>
      <c r="AW8" s="1">
        <v>41571</v>
      </c>
      <c r="AX8" s="1" t="s">
        <v>16</v>
      </c>
      <c r="AY8" t="s">
        <v>16</v>
      </c>
      <c r="AZ8">
        <v>154</v>
      </c>
      <c r="BA8">
        <v>74</v>
      </c>
      <c r="BB8">
        <v>0</v>
      </c>
      <c r="BC8">
        <f t="shared" si="0"/>
        <v>9.6430627518710423</v>
      </c>
      <c r="BD8">
        <v>133</v>
      </c>
      <c r="BE8">
        <v>3.8</v>
      </c>
      <c r="BF8">
        <v>3</v>
      </c>
      <c r="BG8">
        <v>7.77</v>
      </c>
      <c r="BH8">
        <v>263</v>
      </c>
      <c r="BI8">
        <v>7.72</v>
      </c>
      <c r="BJ8">
        <v>7.4</v>
      </c>
      <c r="BK8">
        <v>5.3</v>
      </c>
      <c r="BL8">
        <v>12.4</v>
      </c>
      <c r="BM8">
        <v>21.28</v>
      </c>
      <c r="BN8">
        <v>4.7</v>
      </c>
    </row>
    <row r="9" spans="1:66" x14ac:dyDescent="0.3">
      <c r="A9">
        <v>8</v>
      </c>
      <c r="B9" s="2" t="s">
        <v>430</v>
      </c>
      <c r="C9" s="2" t="s">
        <v>448</v>
      </c>
      <c r="D9">
        <v>83</v>
      </c>
      <c r="E9" s="1">
        <v>45274</v>
      </c>
      <c r="F9" s="1">
        <v>44175</v>
      </c>
      <c r="G9" s="1">
        <v>44203.493611111109</v>
      </c>
      <c r="H9" t="s">
        <v>15</v>
      </c>
      <c r="I9" t="s">
        <v>15</v>
      </c>
      <c r="J9" t="s">
        <v>15</v>
      </c>
      <c r="K9" t="s">
        <v>16</v>
      </c>
      <c r="L9">
        <v>60</v>
      </c>
      <c r="M9" t="s">
        <v>16</v>
      </c>
      <c r="N9" t="s">
        <v>16</v>
      </c>
      <c r="O9" t="s">
        <v>17</v>
      </c>
      <c r="P9" t="s">
        <v>75</v>
      </c>
      <c r="Q9" t="s">
        <v>33</v>
      </c>
      <c r="R9" t="s">
        <v>102</v>
      </c>
      <c r="S9" t="s">
        <v>16</v>
      </c>
      <c r="T9" t="s">
        <v>19</v>
      </c>
      <c r="U9" t="s">
        <v>96</v>
      </c>
      <c r="V9" t="s">
        <v>93</v>
      </c>
      <c r="W9" t="s">
        <v>18</v>
      </c>
      <c r="X9" t="s">
        <v>78</v>
      </c>
      <c r="Y9">
        <v>5</v>
      </c>
      <c r="Z9">
        <v>3.4000000953674299</v>
      </c>
      <c r="AA9">
        <v>1.1000000238418599</v>
      </c>
      <c r="AB9">
        <v>1</v>
      </c>
      <c r="AC9">
        <v>194.38195800781301</v>
      </c>
      <c r="AD9">
        <v>101</v>
      </c>
      <c r="AE9">
        <v>1</v>
      </c>
      <c r="AF9">
        <v>39</v>
      </c>
      <c r="AG9">
        <v>106</v>
      </c>
      <c r="AH9">
        <v>6.1900000572204599</v>
      </c>
      <c r="AI9">
        <v>5.0300002098083496</v>
      </c>
      <c r="AJ9">
        <v>21.069999694824201</v>
      </c>
      <c r="AK9">
        <v>8.9899997711181605</v>
      </c>
      <c r="AL9">
        <v>7.3499999046325701</v>
      </c>
      <c r="AM9">
        <v>14.420000076293899</v>
      </c>
      <c r="AN9" t="s">
        <v>103</v>
      </c>
      <c r="AO9">
        <v>83</v>
      </c>
      <c r="AP9">
        <v>27.732299776136902</v>
      </c>
      <c r="AQ9" s="1" t="s">
        <v>16</v>
      </c>
      <c r="AR9" s="1" t="s">
        <v>16</v>
      </c>
      <c r="AS9" s="1">
        <v>44207</v>
      </c>
      <c r="AT9" s="1">
        <v>44207</v>
      </c>
      <c r="AU9" s="1">
        <v>44207</v>
      </c>
      <c r="AV9" s="1"/>
      <c r="AW9" s="1">
        <v>44207</v>
      </c>
      <c r="AX9" s="1" t="s">
        <v>16</v>
      </c>
      <c r="AY9" t="s">
        <v>16</v>
      </c>
      <c r="AZ9">
        <v>172</v>
      </c>
      <c r="BA9">
        <v>54</v>
      </c>
      <c r="BB9">
        <v>0</v>
      </c>
      <c r="BC9">
        <f t="shared" si="0"/>
        <v>9.1515784586815361</v>
      </c>
      <c r="BD9">
        <v>142</v>
      </c>
      <c r="BE9">
        <v>4.7999999999999901</v>
      </c>
      <c r="BF9">
        <v>3.2999999999999901</v>
      </c>
      <c r="BG9">
        <v>8.5999999999999908</v>
      </c>
      <c r="BH9">
        <v>270</v>
      </c>
      <c r="BI9">
        <v>7.1799999999999899</v>
      </c>
      <c r="BJ9">
        <v>8.0999999999999908</v>
      </c>
      <c r="BK9">
        <v>4.7</v>
      </c>
      <c r="BL9">
        <v>7.9</v>
      </c>
      <c r="BM9">
        <v>108.739999999999</v>
      </c>
      <c r="BN9">
        <v>6.2</v>
      </c>
    </row>
    <row r="10" spans="1:66" x14ac:dyDescent="0.3">
      <c r="A10">
        <v>9</v>
      </c>
      <c r="B10" s="2" t="s">
        <v>434</v>
      </c>
      <c r="C10" s="2" t="s">
        <v>448</v>
      </c>
      <c r="D10">
        <v>68</v>
      </c>
      <c r="E10" s="1">
        <v>40993</v>
      </c>
      <c r="F10" s="1">
        <v>40174</v>
      </c>
      <c r="G10" s="1">
        <v>39856.645914351851</v>
      </c>
      <c r="H10" t="s">
        <v>31</v>
      </c>
      <c r="I10" t="s">
        <v>16</v>
      </c>
      <c r="J10" t="s">
        <v>35</v>
      </c>
      <c r="K10" t="s">
        <v>104</v>
      </c>
      <c r="L10">
        <v>25</v>
      </c>
      <c r="M10" t="s">
        <v>16</v>
      </c>
      <c r="N10" t="s">
        <v>28</v>
      </c>
      <c r="O10" t="s">
        <v>16</v>
      </c>
      <c r="P10" t="s">
        <v>75</v>
      </c>
      <c r="Q10" t="s">
        <v>19</v>
      </c>
      <c r="R10" t="s">
        <v>16</v>
      </c>
      <c r="S10" t="s">
        <v>16</v>
      </c>
      <c r="T10" t="s">
        <v>27</v>
      </c>
      <c r="U10" t="s">
        <v>16</v>
      </c>
      <c r="V10" t="s">
        <v>16</v>
      </c>
      <c r="W10" t="s">
        <v>29</v>
      </c>
      <c r="X10" t="s">
        <v>78</v>
      </c>
      <c r="Y10">
        <v>6.6999998092651403</v>
      </c>
      <c r="Z10">
        <v>5.9000000953674299</v>
      </c>
      <c r="AA10">
        <v>1</v>
      </c>
      <c r="AB10">
        <v>1.1000000238418599</v>
      </c>
      <c r="AC10">
        <v>317</v>
      </c>
      <c r="AD10">
        <v>182</v>
      </c>
      <c r="AE10">
        <v>2.8800001144409202</v>
      </c>
      <c r="AF10">
        <v>44</v>
      </c>
      <c r="AG10" t="s">
        <v>16</v>
      </c>
      <c r="AH10" t="s">
        <v>16</v>
      </c>
      <c r="AI10" t="s">
        <v>16</v>
      </c>
      <c r="AJ10" t="s">
        <v>16</v>
      </c>
      <c r="AK10" t="s">
        <v>16</v>
      </c>
      <c r="AL10" t="s">
        <v>16</v>
      </c>
      <c r="AM10" t="s">
        <v>16</v>
      </c>
      <c r="AN10" t="s">
        <v>105</v>
      </c>
      <c r="AO10" t="s">
        <v>16</v>
      </c>
      <c r="AP10" t="s">
        <v>16</v>
      </c>
      <c r="AQ10" s="1" t="s">
        <v>16</v>
      </c>
      <c r="AR10" s="1" t="s">
        <v>16</v>
      </c>
      <c r="AS10" s="1">
        <v>39891</v>
      </c>
      <c r="AT10" s="1">
        <v>40090</v>
      </c>
      <c r="AU10" s="1" t="s">
        <v>16</v>
      </c>
      <c r="AV10" s="1"/>
      <c r="AW10" s="1">
        <v>39891</v>
      </c>
      <c r="AX10" s="1">
        <v>39891</v>
      </c>
      <c r="AY10" t="s">
        <v>16</v>
      </c>
      <c r="AZ10">
        <v>129</v>
      </c>
      <c r="BA10">
        <v>77</v>
      </c>
      <c r="BB10">
        <v>0</v>
      </c>
      <c r="BC10">
        <v>11.6</v>
      </c>
      <c r="BD10">
        <v>134</v>
      </c>
      <c r="BE10">
        <v>4</v>
      </c>
      <c r="BF10">
        <v>3.1</v>
      </c>
      <c r="BG10">
        <v>14</v>
      </c>
      <c r="BH10">
        <v>196</v>
      </c>
      <c r="BI10">
        <v>4.99</v>
      </c>
      <c r="BJ10">
        <v>9.1999999999999993</v>
      </c>
      <c r="BK10">
        <v>3.8</v>
      </c>
      <c r="BL10">
        <v>12.6</v>
      </c>
    </row>
    <row r="11" spans="1:66" x14ac:dyDescent="0.3">
      <c r="A11">
        <v>10</v>
      </c>
      <c r="B11" s="2" t="s">
        <v>430</v>
      </c>
      <c r="C11" s="2" t="s">
        <v>449</v>
      </c>
      <c r="D11">
        <v>70</v>
      </c>
      <c r="E11" s="1">
        <v>43880</v>
      </c>
      <c r="F11" s="1">
        <v>43786</v>
      </c>
      <c r="G11" s="1">
        <v>43807.51353009259</v>
      </c>
      <c r="H11" t="s">
        <v>15</v>
      </c>
      <c r="I11" t="s">
        <v>16</v>
      </c>
      <c r="J11" t="s">
        <v>15</v>
      </c>
      <c r="K11" t="s">
        <v>16</v>
      </c>
      <c r="L11">
        <v>65</v>
      </c>
      <c r="M11" t="s">
        <v>15</v>
      </c>
      <c r="N11" t="s">
        <v>15</v>
      </c>
      <c r="O11" t="s">
        <v>15</v>
      </c>
      <c r="P11" t="s">
        <v>16</v>
      </c>
      <c r="Q11" t="s">
        <v>16</v>
      </c>
      <c r="R11" t="s">
        <v>16</v>
      </c>
      <c r="S11" t="s">
        <v>16</v>
      </c>
      <c r="T11" t="s">
        <v>18</v>
      </c>
      <c r="U11" t="s">
        <v>96</v>
      </c>
      <c r="V11" t="s">
        <v>16</v>
      </c>
      <c r="W11" t="s">
        <v>18</v>
      </c>
      <c r="X11" t="s">
        <v>15</v>
      </c>
      <c r="Y11">
        <v>3.8099999427795401</v>
      </c>
      <c r="Z11">
        <v>2.5499999523162802</v>
      </c>
      <c r="AA11">
        <v>1.29999995231628</v>
      </c>
      <c r="AB11">
        <v>1.28999996185303</v>
      </c>
      <c r="AC11">
        <v>172.68893432617199</v>
      </c>
      <c r="AD11" t="s">
        <v>16</v>
      </c>
      <c r="AE11">
        <v>1</v>
      </c>
      <c r="AF11">
        <v>29</v>
      </c>
      <c r="AG11">
        <v>87</v>
      </c>
      <c r="AH11">
        <v>8.2700004577636701</v>
      </c>
      <c r="AI11">
        <v>4.71000003814697</v>
      </c>
      <c r="AJ11">
        <v>18.469999313354499</v>
      </c>
      <c r="AK11">
        <v>9</v>
      </c>
      <c r="AL11">
        <v>6.0700001716613796</v>
      </c>
      <c r="AM11">
        <v>14.329999923706101</v>
      </c>
      <c r="AN11" t="s">
        <v>108</v>
      </c>
      <c r="AO11">
        <v>74</v>
      </c>
      <c r="AP11">
        <v>25.013520822065999</v>
      </c>
      <c r="AQ11" s="1" t="s">
        <v>16</v>
      </c>
      <c r="AR11" s="1" t="s">
        <v>16</v>
      </c>
      <c r="AS11" s="1" t="s">
        <v>16</v>
      </c>
      <c r="AT11" s="1" t="s">
        <v>16</v>
      </c>
      <c r="AU11" s="1">
        <v>43754</v>
      </c>
      <c r="AV11" s="1"/>
      <c r="AW11" s="1">
        <v>43754</v>
      </c>
      <c r="AX11" s="1" t="s">
        <v>16</v>
      </c>
      <c r="AY11" t="s">
        <v>16</v>
      </c>
      <c r="AZ11">
        <v>165</v>
      </c>
      <c r="BA11">
        <v>70</v>
      </c>
      <c r="BB11">
        <v>0</v>
      </c>
      <c r="BC11">
        <f>(140-D11)*AO11/(72*BI11)</f>
        <v>9.815067454903744</v>
      </c>
      <c r="BD11">
        <v>142</v>
      </c>
      <c r="BE11">
        <v>3.9</v>
      </c>
      <c r="BF11">
        <v>2.6</v>
      </c>
      <c r="BG11">
        <v>10.39</v>
      </c>
      <c r="BH11">
        <v>79</v>
      </c>
      <c r="BI11">
        <v>7.33</v>
      </c>
      <c r="BJ11">
        <v>8.5</v>
      </c>
      <c r="BK11">
        <v>4.0999999999999996</v>
      </c>
      <c r="BL11">
        <v>4.3</v>
      </c>
      <c r="BM11">
        <v>9.0399999999999991</v>
      </c>
    </row>
    <row r="12" spans="1:66" x14ac:dyDescent="0.3">
      <c r="A12">
        <v>11</v>
      </c>
      <c r="B12" s="2" t="s">
        <v>434</v>
      </c>
      <c r="C12" s="2" t="s">
        <v>448</v>
      </c>
      <c r="D12">
        <v>61</v>
      </c>
      <c r="E12" s="1">
        <v>41472</v>
      </c>
      <c r="F12" s="1">
        <v>40751</v>
      </c>
      <c r="G12" s="1">
        <v>40535.63490740741</v>
      </c>
      <c r="H12" t="s">
        <v>31</v>
      </c>
      <c r="I12" t="s">
        <v>15</v>
      </c>
      <c r="J12" t="s">
        <v>35</v>
      </c>
      <c r="K12" t="s">
        <v>16</v>
      </c>
      <c r="L12">
        <v>15</v>
      </c>
      <c r="M12" t="s">
        <v>79</v>
      </c>
      <c r="N12" t="s">
        <v>28</v>
      </c>
      <c r="O12" t="s">
        <v>17</v>
      </c>
      <c r="P12" t="s">
        <v>16</v>
      </c>
      <c r="Q12" t="s">
        <v>16</v>
      </c>
      <c r="R12" t="s">
        <v>16</v>
      </c>
      <c r="S12" t="s">
        <v>16</v>
      </c>
      <c r="T12" t="s">
        <v>23</v>
      </c>
      <c r="U12" t="s">
        <v>16</v>
      </c>
      <c r="V12" t="s">
        <v>16</v>
      </c>
      <c r="W12" t="s">
        <v>26</v>
      </c>
      <c r="X12" t="s">
        <v>87</v>
      </c>
      <c r="Y12">
        <v>7.1300001144409197</v>
      </c>
      <c r="Z12">
        <v>5.78999996185303</v>
      </c>
      <c r="AA12">
        <v>1.12999999523163</v>
      </c>
      <c r="AB12">
        <v>0.86000001430511497</v>
      </c>
      <c r="AC12" t="s">
        <v>16</v>
      </c>
      <c r="AD12" t="s">
        <v>16</v>
      </c>
      <c r="AE12">
        <v>2</v>
      </c>
      <c r="AF12">
        <v>54</v>
      </c>
      <c r="AG12">
        <v>84.400001525878906</v>
      </c>
      <c r="AH12" t="s">
        <v>16</v>
      </c>
      <c r="AI12" t="s">
        <v>16</v>
      </c>
      <c r="AJ12" t="s">
        <v>16</v>
      </c>
      <c r="AK12" t="s">
        <v>16</v>
      </c>
      <c r="AL12" t="s">
        <v>16</v>
      </c>
      <c r="AM12" t="s">
        <v>16</v>
      </c>
      <c r="AN12" t="s">
        <v>109</v>
      </c>
      <c r="AO12" t="s">
        <v>16</v>
      </c>
      <c r="AP12" t="s">
        <v>16</v>
      </c>
      <c r="AQ12" s="1" t="s">
        <v>16</v>
      </c>
      <c r="AR12" s="1" t="s">
        <v>16</v>
      </c>
      <c r="AS12" s="1">
        <v>40504</v>
      </c>
      <c r="AT12" s="1">
        <v>40504</v>
      </c>
      <c r="AU12" s="1" t="s">
        <v>16</v>
      </c>
      <c r="AV12" s="1">
        <v>40504.405060185178</v>
      </c>
      <c r="AW12" s="1" t="s">
        <v>16</v>
      </c>
      <c r="AX12" s="1" t="s">
        <v>16</v>
      </c>
      <c r="AY12" t="s">
        <v>16</v>
      </c>
      <c r="AZ12">
        <v>102</v>
      </c>
      <c r="BA12">
        <v>61</v>
      </c>
      <c r="BB12">
        <v>0</v>
      </c>
      <c r="BC12">
        <v>36.9</v>
      </c>
      <c r="BD12">
        <v>136</v>
      </c>
      <c r="BE12">
        <v>4.0999999999999996</v>
      </c>
      <c r="BF12">
        <v>3.1</v>
      </c>
      <c r="BG12">
        <v>12.09</v>
      </c>
      <c r="BH12">
        <v>177</v>
      </c>
      <c r="BI12">
        <v>1.87</v>
      </c>
      <c r="BJ12">
        <v>8.8000000000000007</v>
      </c>
      <c r="BK12">
        <v>3.9</v>
      </c>
      <c r="BL12">
        <v>8.9</v>
      </c>
      <c r="BM12">
        <v>6.2</v>
      </c>
      <c r="BN12">
        <v>6.7</v>
      </c>
    </row>
    <row r="13" spans="1:66" x14ac:dyDescent="0.3">
      <c r="A13">
        <v>12</v>
      </c>
      <c r="B13" s="2" t="s">
        <v>434</v>
      </c>
      <c r="C13" s="2" t="s">
        <v>448</v>
      </c>
      <c r="D13">
        <v>64</v>
      </c>
      <c r="E13" s="1">
        <v>42379</v>
      </c>
      <c r="F13" s="1">
        <v>40898</v>
      </c>
      <c r="G13" s="1">
        <v>40812.585844907408</v>
      </c>
      <c r="H13" t="s">
        <v>25</v>
      </c>
      <c r="I13" t="s">
        <v>16</v>
      </c>
      <c r="J13" t="s">
        <v>35</v>
      </c>
      <c r="K13" t="s">
        <v>114</v>
      </c>
      <c r="L13">
        <v>15</v>
      </c>
      <c r="M13" t="s">
        <v>79</v>
      </c>
      <c r="N13" t="s">
        <v>28</v>
      </c>
      <c r="O13" t="s">
        <v>31</v>
      </c>
      <c r="P13" t="s">
        <v>75</v>
      </c>
      <c r="Q13" t="s">
        <v>16</v>
      </c>
      <c r="R13" t="s">
        <v>16</v>
      </c>
      <c r="S13" t="s">
        <v>16</v>
      </c>
      <c r="T13" t="s">
        <v>23</v>
      </c>
      <c r="U13" t="s">
        <v>16</v>
      </c>
      <c r="V13" t="s">
        <v>16</v>
      </c>
      <c r="W13" t="s">
        <v>29</v>
      </c>
      <c r="X13" t="s">
        <v>90</v>
      </c>
      <c r="Y13">
        <v>6.5</v>
      </c>
      <c r="Z13">
        <v>5.6999998092651403</v>
      </c>
      <c r="AA13">
        <v>0.89999997615814198</v>
      </c>
      <c r="AB13">
        <v>0.89999997615814198</v>
      </c>
      <c r="AC13">
        <v>247.838790893555</v>
      </c>
      <c r="AD13">
        <v>128</v>
      </c>
      <c r="AE13">
        <v>2.6900000572204599</v>
      </c>
      <c r="AF13">
        <v>78</v>
      </c>
      <c r="AG13">
        <v>64</v>
      </c>
      <c r="AH13">
        <v>3</v>
      </c>
      <c r="AI13">
        <v>4</v>
      </c>
      <c r="AJ13">
        <v>16</v>
      </c>
      <c r="AK13">
        <v>3</v>
      </c>
      <c r="AL13">
        <v>3</v>
      </c>
      <c r="AM13">
        <v>21.329999923706101</v>
      </c>
      <c r="AN13" t="s">
        <v>115</v>
      </c>
      <c r="AO13">
        <v>80</v>
      </c>
      <c r="AP13">
        <v>25.249337204898399</v>
      </c>
      <c r="AQ13" s="1">
        <v>40709</v>
      </c>
      <c r="AR13" s="1" t="s">
        <v>16</v>
      </c>
      <c r="AS13" s="1">
        <v>40175</v>
      </c>
      <c r="AT13" s="1">
        <v>39034</v>
      </c>
      <c r="AU13" s="1">
        <v>40175</v>
      </c>
      <c r="AV13" s="1">
        <v>40175.46446087963</v>
      </c>
      <c r="AW13" s="1">
        <v>40175</v>
      </c>
      <c r="AX13" s="1" t="s">
        <v>16</v>
      </c>
      <c r="AY13" t="s">
        <v>16</v>
      </c>
      <c r="AZ13">
        <v>94</v>
      </c>
      <c r="BA13">
        <v>55</v>
      </c>
      <c r="BB13">
        <v>0</v>
      </c>
      <c r="BC13">
        <f t="shared" ref="BC13:BC29" si="1">(140-D13)*AO13/(72*BI13)</f>
        <v>39.832285115303982</v>
      </c>
      <c r="BD13">
        <v>136</v>
      </c>
      <c r="BE13">
        <v>4.2999999999999901</v>
      </c>
      <c r="BF13">
        <v>3.2</v>
      </c>
      <c r="BG13">
        <v>10.8</v>
      </c>
      <c r="BH13">
        <v>75</v>
      </c>
      <c r="BI13">
        <v>2.12</v>
      </c>
      <c r="BJ13">
        <v>8.6999999999999904</v>
      </c>
      <c r="BK13">
        <v>4</v>
      </c>
      <c r="BL13">
        <v>6.9</v>
      </c>
      <c r="BM13">
        <v>5.78</v>
      </c>
      <c r="BN13">
        <v>8.9</v>
      </c>
    </row>
    <row r="14" spans="1:66" x14ac:dyDescent="0.3">
      <c r="A14">
        <v>13</v>
      </c>
      <c r="B14" s="2" t="s">
        <v>430</v>
      </c>
      <c r="C14" s="2" t="s">
        <v>448</v>
      </c>
      <c r="D14">
        <v>83</v>
      </c>
      <c r="E14" s="1">
        <v>41951</v>
      </c>
      <c r="F14" s="1">
        <v>41248</v>
      </c>
      <c r="G14" s="1">
        <v>41315.656284722223</v>
      </c>
      <c r="H14" t="s">
        <v>15</v>
      </c>
      <c r="I14" t="s">
        <v>16</v>
      </c>
      <c r="J14" t="s">
        <v>37</v>
      </c>
      <c r="K14" t="s">
        <v>77</v>
      </c>
      <c r="L14">
        <v>70</v>
      </c>
      <c r="M14" t="s">
        <v>15</v>
      </c>
      <c r="N14" t="s">
        <v>15</v>
      </c>
      <c r="O14" t="s">
        <v>15</v>
      </c>
      <c r="P14" t="s">
        <v>85</v>
      </c>
      <c r="Q14" t="s">
        <v>18</v>
      </c>
      <c r="R14" t="s">
        <v>16</v>
      </c>
      <c r="S14" t="s">
        <v>16</v>
      </c>
      <c r="T14" t="s">
        <v>18</v>
      </c>
      <c r="U14" t="s">
        <v>16</v>
      </c>
      <c r="V14" t="s">
        <v>16</v>
      </c>
      <c r="W14" t="s">
        <v>18</v>
      </c>
      <c r="X14" t="s">
        <v>15</v>
      </c>
      <c r="Y14">
        <v>4.3299999237060502</v>
      </c>
      <c r="Z14">
        <v>2.6300001144409202</v>
      </c>
      <c r="AA14">
        <v>1.2799999713897701</v>
      </c>
      <c r="AB14">
        <v>1.0299999713897701</v>
      </c>
      <c r="AC14">
        <v>176.62808227539099</v>
      </c>
      <c r="AD14">
        <v>92</v>
      </c>
      <c r="AE14">
        <v>1</v>
      </c>
      <c r="AF14">
        <v>25</v>
      </c>
      <c r="AG14">
        <v>77.569999694824205</v>
      </c>
      <c r="AH14">
        <v>9</v>
      </c>
      <c r="AI14">
        <v>5</v>
      </c>
      <c r="AJ14">
        <v>15.5100002288818</v>
      </c>
      <c r="AK14">
        <v>5</v>
      </c>
      <c r="AL14">
        <v>7</v>
      </c>
      <c r="AM14">
        <v>11.079999923706101</v>
      </c>
      <c r="AN14" t="s">
        <v>119</v>
      </c>
      <c r="AO14">
        <v>90</v>
      </c>
      <c r="AP14">
        <v>35.15625</v>
      </c>
      <c r="AQ14" s="1" t="s">
        <v>16</v>
      </c>
      <c r="AR14" s="1" t="s">
        <v>16</v>
      </c>
      <c r="AS14" s="1" t="s">
        <v>16</v>
      </c>
      <c r="AT14" s="1">
        <v>41749</v>
      </c>
      <c r="AU14" s="1">
        <v>40093</v>
      </c>
      <c r="AV14" s="1">
        <v>40093.662515856478</v>
      </c>
      <c r="AW14" s="1">
        <v>40093</v>
      </c>
      <c r="AX14" s="1">
        <v>40093</v>
      </c>
      <c r="AY14" t="s">
        <v>21</v>
      </c>
      <c r="AZ14">
        <v>212</v>
      </c>
      <c r="BA14">
        <v>72</v>
      </c>
      <c r="BB14">
        <v>3</v>
      </c>
      <c r="BC14">
        <f t="shared" si="1"/>
        <v>13.218923933209648</v>
      </c>
      <c r="BD14">
        <v>141</v>
      </c>
      <c r="BE14">
        <v>4.9000000000000004</v>
      </c>
      <c r="BF14">
        <v>3.4</v>
      </c>
      <c r="BG14">
        <v>8.59</v>
      </c>
      <c r="BH14">
        <v>291</v>
      </c>
      <c r="BI14">
        <v>5.39</v>
      </c>
      <c r="BJ14">
        <v>8.4</v>
      </c>
      <c r="BK14">
        <v>4.9000000000000004</v>
      </c>
      <c r="BL14">
        <v>9.8000000000000007</v>
      </c>
      <c r="BM14">
        <v>28.84</v>
      </c>
      <c r="BN14">
        <v>5.6</v>
      </c>
    </row>
    <row r="15" spans="1:66" x14ac:dyDescent="0.3">
      <c r="A15">
        <v>14</v>
      </c>
      <c r="B15" s="2" t="s">
        <v>430</v>
      </c>
      <c r="C15" s="2" t="s">
        <v>449</v>
      </c>
      <c r="D15">
        <v>79</v>
      </c>
      <c r="E15" s="1" t="s">
        <v>16</v>
      </c>
      <c r="F15" s="1">
        <v>45490</v>
      </c>
      <c r="G15" s="1">
        <v>45485.409953703704</v>
      </c>
      <c r="H15" t="s">
        <v>16</v>
      </c>
      <c r="I15" t="s">
        <v>16</v>
      </c>
      <c r="J15" t="s">
        <v>15</v>
      </c>
      <c r="K15" t="s">
        <v>16</v>
      </c>
      <c r="L15">
        <v>60</v>
      </c>
      <c r="M15" t="s">
        <v>16</v>
      </c>
      <c r="N15" t="s">
        <v>16</v>
      </c>
      <c r="O15" t="s">
        <v>16</v>
      </c>
      <c r="P15" t="s">
        <v>75</v>
      </c>
      <c r="Q15" t="s">
        <v>18</v>
      </c>
      <c r="R15" t="s">
        <v>16</v>
      </c>
      <c r="S15" t="s">
        <v>75</v>
      </c>
      <c r="T15" t="s">
        <v>19</v>
      </c>
      <c r="U15" t="s">
        <v>16</v>
      </c>
      <c r="V15" t="s">
        <v>16</v>
      </c>
      <c r="W15" t="s">
        <v>29</v>
      </c>
      <c r="X15" t="s">
        <v>87</v>
      </c>
      <c r="Y15" t="s">
        <v>16</v>
      </c>
      <c r="Z15" t="s">
        <v>16</v>
      </c>
      <c r="AA15" t="s">
        <v>16</v>
      </c>
      <c r="AB15" t="s">
        <v>16</v>
      </c>
      <c r="AC15" t="s">
        <v>16</v>
      </c>
      <c r="AD15" t="s">
        <v>16</v>
      </c>
      <c r="AE15">
        <v>1</v>
      </c>
      <c r="AF15">
        <v>50</v>
      </c>
      <c r="AG15">
        <v>131</v>
      </c>
      <c r="AH15" t="s">
        <v>16</v>
      </c>
      <c r="AI15" t="s">
        <v>16</v>
      </c>
      <c r="AJ15" t="s">
        <v>16</v>
      </c>
      <c r="AK15" t="s">
        <v>16</v>
      </c>
      <c r="AL15" t="s">
        <v>16</v>
      </c>
      <c r="AM15" t="s">
        <v>16</v>
      </c>
      <c r="AN15" t="s">
        <v>120</v>
      </c>
      <c r="AO15">
        <v>59</v>
      </c>
      <c r="AP15">
        <v>22.481329065691199</v>
      </c>
      <c r="AQ15" s="1">
        <v>45231</v>
      </c>
      <c r="AR15" s="1" t="s">
        <v>16</v>
      </c>
      <c r="AS15" s="1">
        <v>45231</v>
      </c>
      <c r="AT15" s="1">
        <v>45485</v>
      </c>
      <c r="AU15" s="1">
        <v>45231</v>
      </c>
      <c r="AV15" s="1">
        <v>45231.451265543983</v>
      </c>
      <c r="AW15" s="1" t="s">
        <v>16</v>
      </c>
      <c r="AX15" s="1" t="s">
        <v>16</v>
      </c>
      <c r="AY15" t="s">
        <v>16</v>
      </c>
      <c r="AZ15">
        <v>148</v>
      </c>
      <c r="BA15">
        <v>61</v>
      </c>
      <c r="BB15">
        <v>2</v>
      </c>
      <c r="BC15">
        <f t="shared" si="1"/>
        <v>8.2079000182448461</v>
      </c>
      <c r="BD15">
        <v>122</v>
      </c>
      <c r="BE15">
        <v>4.9000000000000004</v>
      </c>
      <c r="BF15">
        <v>2.8</v>
      </c>
      <c r="BG15">
        <v>9.36</v>
      </c>
      <c r="BH15">
        <v>198</v>
      </c>
      <c r="BI15">
        <v>6.09</v>
      </c>
      <c r="BJ15">
        <v>8.3000000000000007</v>
      </c>
      <c r="BK15">
        <v>6.3</v>
      </c>
      <c r="BL15">
        <v>7.5</v>
      </c>
      <c r="BM15">
        <v>218</v>
      </c>
      <c r="BN15">
        <v>6.3</v>
      </c>
    </row>
    <row r="16" spans="1:66" x14ac:dyDescent="0.3">
      <c r="A16">
        <v>15</v>
      </c>
      <c r="B16" s="2" t="s">
        <v>430</v>
      </c>
      <c r="C16" s="2" t="s">
        <v>448</v>
      </c>
      <c r="D16">
        <v>76</v>
      </c>
      <c r="E16" s="1">
        <v>41824</v>
      </c>
      <c r="F16" s="1">
        <v>41808</v>
      </c>
      <c r="G16" s="1">
        <v>41816.448680555557</v>
      </c>
      <c r="H16" t="s">
        <v>15</v>
      </c>
      <c r="I16" t="s">
        <v>16</v>
      </c>
      <c r="J16" t="s">
        <v>35</v>
      </c>
      <c r="K16" t="s">
        <v>16</v>
      </c>
      <c r="L16">
        <v>25</v>
      </c>
      <c r="M16" t="s">
        <v>15</v>
      </c>
      <c r="N16" t="s">
        <v>15</v>
      </c>
      <c r="O16" t="s">
        <v>17</v>
      </c>
      <c r="P16" t="s">
        <v>16</v>
      </c>
      <c r="Q16" t="s">
        <v>16</v>
      </c>
      <c r="R16" t="s">
        <v>16</v>
      </c>
      <c r="S16" t="s">
        <v>16</v>
      </c>
      <c r="T16" t="s">
        <v>19</v>
      </c>
      <c r="U16" t="s">
        <v>16</v>
      </c>
      <c r="V16" t="s">
        <v>16</v>
      </c>
      <c r="W16" t="s">
        <v>19</v>
      </c>
      <c r="X16" t="s">
        <v>87</v>
      </c>
      <c r="Y16">
        <v>4.1999998092651403</v>
      </c>
      <c r="Z16">
        <v>2.5</v>
      </c>
      <c r="AA16">
        <v>0.80000001192092896</v>
      </c>
      <c r="AB16">
        <v>0.89999997615814198</v>
      </c>
      <c r="AC16">
        <v>109.834114074707</v>
      </c>
      <c r="AD16">
        <v>56</v>
      </c>
      <c r="AE16">
        <v>1</v>
      </c>
      <c r="AF16">
        <v>48</v>
      </c>
      <c r="AG16">
        <v>146</v>
      </c>
      <c r="AH16">
        <v>4</v>
      </c>
      <c r="AI16" t="s">
        <v>16</v>
      </c>
      <c r="AJ16" t="s">
        <v>16</v>
      </c>
      <c r="AK16">
        <v>5</v>
      </c>
      <c r="AL16" t="s">
        <v>16</v>
      </c>
      <c r="AM16" t="s">
        <v>16</v>
      </c>
      <c r="AN16" t="s">
        <v>122</v>
      </c>
      <c r="AO16">
        <v>75</v>
      </c>
      <c r="AP16">
        <v>30.043262297708701</v>
      </c>
      <c r="AQ16" s="1">
        <v>41810</v>
      </c>
      <c r="AR16" s="1" t="s">
        <v>16</v>
      </c>
      <c r="AS16" s="1">
        <v>41813</v>
      </c>
      <c r="AT16" s="1">
        <v>41814</v>
      </c>
      <c r="AU16" s="1">
        <v>41810</v>
      </c>
      <c r="AV16" s="1"/>
      <c r="AW16" s="1" t="s">
        <v>16</v>
      </c>
      <c r="AX16" s="1" t="s">
        <v>16</v>
      </c>
      <c r="AY16" t="s">
        <v>16</v>
      </c>
      <c r="AZ16">
        <v>149</v>
      </c>
      <c r="BA16">
        <v>64</v>
      </c>
      <c r="BB16">
        <v>0</v>
      </c>
      <c r="BC16">
        <f t="shared" si="1"/>
        <v>10.548523206751055</v>
      </c>
      <c r="BD16">
        <v>138</v>
      </c>
      <c r="BE16">
        <v>4.5</v>
      </c>
      <c r="BF16">
        <v>3</v>
      </c>
      <c r="BG16">
        <v>12.1</v>
      </c>
      <c r="BH16">
        <v>251</v>
      </c>
      <c r="BI16">
        <v>6.32</v>
      </c>
      <c r="BJ16">
        <v>10.3</v>
      </c>
      <c r="BK16">
        <v>5.8</v>
      </c>
      <c r="BL16">
        <v>15.2</v>
      </c>
      <c r="BM16">
        <v>97.66</v>
      </c>
    </row>
    <row r="17" spans="1:66" x14ac:dyDescent="0.3">
      <c r="A17">
        <v>16</v>
      </c>
      <c r="B17" s="2" t="s">
        <v>430</v>
      </c>
      <c r="C17" s="2" t="s">
        <v>448</v>
      </c>
      <c r="D17">
        <v>91</v>
      </c>
      <c r="E17" s="1">
        <v>43074</v>
      </c>
      <c r="F17" s="1">
        <v>41649</v>
      </c>
      <c r="G17" s="1">
        <v>41610.565266203703</v>
      </c>
      <c r="H17" t="s">
        <v>15</v>
      </c>
      <c r="I17" t="s">
        <v>16</v>
      </c>
      <c r="J17" t="s">
        <v>15</v>
      </c>
      <c r="K17" t="s">
        <v>16</v>
      </c>
      <c r="L17">
        <v>60</v>
      </c>
      <c r="M17" t="s">
        <v>15</v>
      </c>
      <c r="N17" t="s">
        <v>15</v>
      </c>
      <c r="O17" t="s">
        <v>17</v>
      </c>
      <c r="P17" t="s">
        <v>75</v>
      </c>
      <c r="Q17" t="s">
        <v>19</v>
      </c>
      <c r="R17" t="s">
        <v>16</v>
      </c>
      <c r="S17" t="s">
        <v>16</v>
      </c>
      <c r="T17" t="s">
        <v>18</v>
      </c>
      <c r="U17" t="s">
        <v>16</v>
      </c>
      <c r="V17" t="s">
        <v>16</v>
      </c>
      <c r="W17" t="s">
        <v>19</v>
      </c>
      <c r="X17" t="s">
        <v>78</v>
      </c>
      <c r="Y17">
        <v>5</v>
      </c>
      <c r="Z17">
        <v>2.5999999046325701</v>
      </c>
      <c r="AA17">
        <v>1.1000000238418599</v>
      </c>
      <c r="AB17">
        <v>1</v>
      </c>
      <c r="AC17">
        <v>194.38195800781301</v>
      </c>
      <c r="AD17">
        <v>110</v>
      </c>
      <c r="AE17">
        <v>1</v>
      </c>
      <c r="AF17">
        <v>46</v>
      </c>
      <c r="AG17">
        <v>114.669998168945</v>
      </c>
      <c r="AH17">
        <v>8</v>
      </c>
      <c r="AI17">
        <v>6</v>
      </c>
      <c r="AJ17">
        <v>19.110000610351602</v>
      </c>
      <c r="AK17">
        <v>9</v>
      </c>
      <c r="AL17">
        <v>11</v>
      </c>
      <c r="AM17">
        <v>10.420000076293899</v>
      </c>
      <c r="AN17" t="s">
        <v>123</v>
      </c>
      <c r="AO17">
        <v>83</v>
      </c>
      <c r="AP17">
        <v>27.732299776136902</v>
      </c>
      <c r="AQ17" s="1" t="s">
        <v>16</v>
      </c>
      <c r="AR17" s="1" t="s">
        <v>16</v>
      </c>
      <c r="AS17" s="1" t="s">
        <v>16</v>
      </c>
      <c r="AT17" s="1">
        <v>41609</v>
      </c>
      <c r="AU17" s="1">
        <v>40592</v>
      </c>
      <c r="AV17" s="1"/>
      <c r="AW17" s="1">
        <v>41610</v>
      </c>
      <c r="AX17" s="1" t="s">
        <v>16</v>
      </c>
      <c r="AY17" t="s">
        <v>16</v>
      </c>
      <c r="AZ17">
        <v>114</v>
      </c>
      <c r="BA17">
        <v>45</v>
      </c>
      <c r="BB17">
        <v>2</v>
      </c>
      <c r="BC17">
        <f t="shared" si="1"/>
        <v>11.388328853046595</v>
      </c>
      <c r="BD17">
        <v>144</v>
      </c>
      <c r="BE17">
        <v>4.2</v>
      </c>
      <c r="BF17">
        <v>3.2</v>
      </c>
      <c r="BG17">
        <v>11</v>
      </c>
      <c r="BH17">
        <v>192</v>
      </c>
      <c r="BI17">
        <v>4.96</v>
      </c>
      <c r="BJ17">
        <v>8.0999999999999908</v>
      </c>
      <c r="BK17">
        <v>6.7999999999999901</v>
      </c>
      <c r="BL17">
        <v>14.4</v>
      </c>
      <c r="BM17">
        <v>15.42</v>
      </c>
      <c r="BN17">
        <v>5.2999999999999901</v>
      </c>
    </row>
    <row r="18" spans="1:66" x14ac:dyDescent="0.3">
      <c r="A18">
        <v>17</v>
      </c>
      <c r="B18" s="2" t="s">
        <v>430</v>
      </c>
      <c r="C18" s="2" t="s">
        <v>448</v>
      </c>
      <c r="D18">
        <v>86</v>
      </c>
      <c r="E18" s="1">
        <v>41840</v>
      </c>
      <c r="F18" s="1">
        <v>41817</v>
      </c>
      <c r="G18" s="1">
        <v>41795.52034722222</v>
      </c>
      <c r="H18" t="s">
        <v>17</v>
      </c>
      <c r="I18" t="s">
        <v>78</v>
      </c>
      <c r="J18" t="s">
        <v>35</v>
      </c>
      <c r="K18" t="s">
        <v>16</v>
      </c>
      <c r="L18">
        <v>15</v>
      </c>
      <c r="M18" t="s">
        <v>15</v>
      </c>
      <c r="N18" t="s">
        <v>28</v>
      </c>
      <c r="O18" t="s">
        <v>17</v>
      </c>
      <c r="P18" t="s">
        <v>75</v>
      </c>
      <c r="Q18" t="s">
        <v>18</v>
      </c>
      <c r="R18" t="s">
        <v>80</v>
      </c>
      <c r="S18" t="s">
        <v>16</v>
      </c>
      <c r="T18" t="s">
        <v>29</v>
      </c>
      <c r="U18" t="s">
        <v>110</v>
      </c>
      <c r="V18" t="s">
        <v>16</v>
      </c>
      <c r="W18" t="s">
        <v>29</v>
      </c>
      <c r="X18" t="s">
        <v>90</v>
      </c>
      <c r="Y18">
        <v>5.2699999809265101</v>
      </c>
      <c r="Z18">
        <v>4.8299999237060502</v>
      </c>
      <c r="AA18">
        <v>1.3600000143051101</v>
      </c>
      <c r="AB18">
        <v>1.0199999809265099</v>
      </c>
      <c r="AC18">
        <v>251.30984497070301</v>
      </c>
      <c r="AD18">
        <v>145</v>
      </c>
      <c r="AE18">
        <v>2.5</v>
      </c>
      <c r="AF18">
        <v>74</v>
      </c>
      <c r="AG18">
        <v>84.800003051757798</v>
      </c>
      <c r="AH18">
        <v>4</v>
      </c>
      <c r="AI18">
        <v>3</v>
      </c>
      <c r="AJ18">
        <v>28.2700004577637</v>
      </c>
      <c r="AK18">
        <v>4</v>
      </c>
      <c r="AL18">
        <v>6</v>
      </c>
      <c r="AM18">
        <v>14.1300001144409</v>
      </c>
      <c r="AN18" t="s">
        <v>125</v>
      </c>
      <c r="AO18">
        <v>54</v>
      </c>
      <c r="AP18">
        <v>18.906901018871899</v>
      </c>
      <c r="AQ18" s="1" t="s">
        <v>16</v>
      </c>
      <c r="AR18" s="1" t="s">
        <v>16</v>
      </c>
      <c r="AS18" s="1">
        <v>40305</v>
      </c>
      <c r="AT18" s="1">
        <v>41820</v>
      </c>
      <c r="AU18" s="1">
        <v>40305</v>
      </c>
      <c r="AV18" s="1">
        <v>40305.878535648153</v>
      </c>
      <c r="AW18" s="1">
        <v>40305</v>
      </c>
      <c r="AX18" s="1" t="s">
        <v>16</v>
      </c>
      <c r="AY18" t="s">
        <v>16</v>
      </c>
      <c r="AZ18">
        <v>136</v>
      </c>
      <c r="BA18">
        <v>108</v>
      </c>
      <c r="BB18">
        <v>0</v>
      </c>
      <c r="BC18">
        <f t="shared" si="1"/>
        <v>8.7284482758620889</v>
      </c>
      <c r="BD18">
        <v>146</v>
      </c>
      <c r="BE18">
        <v>4.4000000000000004</v>
      </c>
      <c r="BF18">
        <v>3.5</v>
      </c>
      <c r="BG18">
        <v>10</v>
      </c>
      <c r="BH18">
        <v>282</v>
      </c>
      <c r="BI18">
        <v>4.6399999999999899</v>
      </c>
      <c r="BJ18">
        <v>10</v>
      </c>
      <c r="BK18">
        <v>6</v>
      </c>
      <c r="BL18">
        <v>11.1999999999999</v>
      </c>
      <c r="BM18">
        <v>17.55</v>
      </c>
    </row>
    <row r="19" spans="1:66" x14ac:dyDescent="0.3">
      <c r="A19">
        <v>18</v>
      </c>
      <c r="B19" s="2" t="s">
        <v>434</v>
      </c>
      <c r="C19" s="2" t="s">
        <v>449</v>
      </c>
      <c r="D19">
        <v>86</v>
      </c>
      <c r="E19" s="1">
        <v>44581</v>
      </c>
      <c r="F19" s="1">
        <v>44311</v>
      </c>
      <c r="G19" s="1">
        <v>44318.539826388886</v>
      </c>
      <c r="H19" t="s">
        <v>15</v>
      </c>
      <c r="I19" t="s">
        <v>15</v>
      </c>
      <c r="J19" t="s">
        <v>15</v>
      </c>
      <c r="K19" t="s">
        <v>16</v>
      </c>
      <c r="L19">
        <v>60</v>
      </c>
      <c r="M19" t="s">
        <v>15</v>
      </c>
      <c r="N19" t="s">
        <v>14</v>
      </c>
      <c r="O19" t="s">
        <v>17</v>
      </c>
      <c r="P19" t="s">
        <v>75</v>
      </c>
      <c r="Q19" t="s">
        <v>18</v>
      </c>
      <c r="R19" t="s">
        <v>127</v>
      </c>
      <c r="S19" t="s">
        <v>75</v>
      </c>
      <c r="T19" t="s">
        <v>16</v>
      </c>
      <c r="U19" t="s">
        <v>96</v>
      </c>
      <c r="V19" t="s">
        <v>16</v>
      </c>
      <c r="W19" t="s">
        <v>23</v>
      </c>
      <c r="X19" t="s">
        <v>78</v>
      </c>
      <c r="Y19">
        <v>5</v>
      </c>
      <c r="Z19">
        <v>3.5999999046325701</v>
      </c>
      <c r="AA19">
        <v>1.20000004768372</v>
      </c>
      <c r="AB19">
        <v>0.89999997615814198</v>
      </c>
      <c r="AC19">
        <v>194.38195800781301</v>
      </c>
      <c r="AD19">
        <v>98</v>
      </c>
      <c r="AE19">
        <v>1</v>
      </c>
      <c r="AF19">
        <v>43</v>
      </c>
      <c r="AG19">
        <v>133</v>
      </c>
      <c r="AH19">
        <v>4.7800002098083496</v>
      </c>
      <c r="AI19">
        <v>5.1100001335143999</v>
      </c>
      <c r="AJ19">
        <v>26.030000686645501</v>
      </c>
      <c r="AK19">
        <v>6.4099998474121103</v>
      </c>
      <c r="AL19">
        <v>6.9699997901916504</v>
      </c>
      <c r="AM19">
        <v>19.079999923706101</v>
      </c>
      <c r="AN19" t="s">
        <v>128</v>
      </c>
      <c r="AO19">
        <v>85</v>
      </c>
      <c r="AP19">
        <v>29.0687732977668</v>
      </c>
      <c r="AQ19" s="1" t="s">
        <v>16</v>
      </c>
      <c r="AR19" s="1" t="s">
        <v>16</v>
      </c>
      <c r="AS19" s="1" t="s">
        <v>16</v>
      </c>
      <c r="AT19" s="1">
        <v>44334</v>
      </c>
      <c r="AU19" s="1">
        <v>44315</v>
      </c>
      <c r="AV19" s="1"/>
      <c r="AW19" s="1" t="s">
        <v>16</v>
      </c>
      <c r="AX19" s="1" t="s">
        <v>16</v>
      </c>
      <c r="AY19" t="s">
        <v>16</v>
      </c>
      <c r="AZ19">
        <v>177</v>
      </c>
      <c r="BA19">
        <v>85</v>
      </c>
      <c r="BB19">
        <v>2</v>
      </c>
      <c r="BC19">
        <f t="shared" si="1"/>
        <v>10.696308724832214</v>
      </c>
      <c r="BD19">
        <v>136</v>
      </c>
      <c r="BE19">
        <v>4.9000000000000004</v>
      </c>
      <c r="BF19">
        <v>3.1</v>
      </c>
      <c r="BG19">
        <v>9.6999999999999904</v>
      </c>
      <c r="BH19">
        <v>283</v>
      </c>
      <c r="BI19">
        <v>5.96</v>
      </c>
      <c r="BJ19">
        <v>8.6999999999999904</v>
      </c>
      <c r="BK19">
        <v>9.5999999999999908</v>
      </c>
      <c r="BL19">
        <v>9.4</v>
      </c>
      <c r="BM19">
        <v>52.03</v>
      </c>
      <c r="BN19">
        <v>5.7</v>
      </c>
    </row>
    <row r="20" spans="1:66" x14ac:dyDescent="0.3">
      <c r="A20">
        <v>19</v>
      </c>
      <c r="B20" s="2" t="s">
        <v>430</v>
      </c>
      <c r="C20" s="2" t="s">
        <v>448</v>
      </c>
      <c r="D20">
        <v>72</v>
      </c>
      <c r="E20" s="1" t="s">
        <v>16</v>
      </c>
      <c r="F20" s="1">
        <v>42669</v>
      </c>
      <c r="G20" s="1">
        <v>42684.605844907404</v>
      </c>
      <c r="H20" t="s">
        <v>16</v>
      </c>
      <c r="I20" t="s">
        <v>16</v>
      </c>
      <c r="J20" t="s">
        <v>16</v>
      </c>
      <c r="K20" t="s">
        <v>74</v>
      </c>
      <c r="L20">
        <v>65</v>
      </c>
      <c r="M20" t="s">
        <v>16</v>
      </c>
      <c r="N20" t="s">
        <v>16</v>
      </c>
      <c r="O20" t="s">
        <v>17</v>
      </c>
      <c r="P20" t="s">
        <v>85</v>
      </c>
      <c r="Q20" t="s">
        <v>18</v>
      </c>
      <c r="R20" t="s">
        <v>16</v>
      </c>
      <c r="S20" t="s">
        <v>15</v>
      </c>
      <c r="T20" t="s">
        <v>18</v>
      </c>
      <c r="U20" t="s">
        <v>16</v>
      </c>
      <c r="V20" t="s">
        <v>93</v>
      </c>
      <c r="W20" t="s">
        <v>18</v>
      </c>
      <c r="X20" t="s">
        <v>16</v>
      </c>
      <c r="Y20">
        <v>4.7300000190734899</v>
      </c>
      <c r="Z20">
        <v>2.8099999427795401</v>
      </c>
      <c r="AA20">
        <v>0.99000000953674305</v>
      </c>
      <c r="AB20">
        <v>1.0099999904632599</v>
      </c>
      <c r="AC20">
        <v>166.16583251953099</v>
      </c>
      <c r="AD20">
        <v>80</v>
      </c>
      <c r="AE20">
        <v>1</v>
      </c>
      <c r="AF20">
        <v>35</v>
      </c>
      <c r="AG20">
        <v>62.5</v>
      </c>
      <c r="AH20">
        <v>10.6000003814697</v>
      </c>
      <c r="AI20">
        <v>5.1100001335143999</v>
      </c>
      <c r="AJ20">
        <v>12.2299995422363</v>
      </c>
      <c r="AK20">
        <v>9.8999996185302699</v>
      </c>
      <c r="AL20">
        <v>7.9400000572204599</v>
      </c>
      <c r="AM20">
        <v>7.8699998855590803</v>
      </c>
      <c r="AN20" t="s">
        <v>130</v>
      </c>
      <c r="AO20">
        <v>84</v>
      </c>
      <c r="AP20">
        <v>24.543462381300198</v>
      </c>
      <c r="AQ20" s="1" t="s">
        <v>16</v>
      </c>
      <c r="AR20" s="1" t="s">
        <v>16</v>
      </c>
      <c r="AS20" s="1" t="s">
        <v>16</v>
      </c>
      <c r="AT20" s="1" t="s">
        <v>16</v>
      </c>
      <c r="AU20" s="1">
        <v>42688</v>
      </c>
      <c r="AV20" s="1"/>
      <c r="AW20" s="1" t="s">
        <v>16</v>
      </c>
      <c r="AX20" s="1" t="s">
        <v>16</v>
      </c>
      <c r="AY20" t="s">
        <v>16</v>
      </c>
      <c r="AZ20">
        <v>151</v>
      </c>
      <c r="BA20">
        <v>72</v>
      </c>
      <c r="BB20">
        <v>5</v>
      </c>
      <c r="BC20">
        <f t="shared" si="1"/>
        <v>19.734660033167501</v>
      </c>
      <c r="BD20">
        <v>141</v>
      </c>
      <c r="BE20">
        <v>4.5999999999999996</v>
      </c>
      <c r="BF20">
        <v>2.7</v>
      </c>
      <c r="BG20">
        <v>7.96</v>
      </c>
      <c r="BH20">
        <v>244</v>
      </c>
      <c r="BI20">
        <v>4.0199999999999996</v>
      </c>
      <c r="BJ20">
        <v>8.1999999999999993</v>
      </c>
      <c r="BK20">
        <v>4.5</v>
      </c>
      <c r="BL20">
        <v>8.6</v>
      </c>
      <c r="BM20">
        <v>89.45</v>
      </c>
      <c r="BN20">
        <v>4.8</v>
      </c>
    </row>
    <row r="21" spans="1:66" x14ac:dyDescent="0.3">
      <c r="A21">
        <v>20</v>
      </c>
      <c r="B21" s="2" t="s">
        <v>430</v>
      </c>
      <c r="C21" s="2" t="s">
        <v>449</v>
      </c>
      <c r="D21">
        <v>77</v>
      </c>
      <c r="E21" s="1">
        <v>41010</v>
      </c>
      <c r="F21" s="1">
        <v>41004</v>
      </c>
      <c r="G21" s="1">
        <v>40875.366099537037</v>
      </c>
      <c r="H21" t="s">
        <v>17</v>
      </c>
      <c r="I21" t="s">
        <v>16</v>
      </c>
      <c r="J21" t="s">
        <v>15</v>
      </c>
      <c r="K21" t="s">
        <v>77</v>
      </c>
      <c r="L21">
        <v>60</v>
      </c>
      <c r="M21" t="s">
        <v>15</v>
      </c>
      <c r="N21" t="s">
        <v>15</v>
      </c>
      <c r="O21" t="s">
        <v>17</v>
      </c>
      <c r="P21" t="s">
        <v>75</v>
      </c>
      <c r="Q21" t="s">
        <v>16</v>
      </c>
      <c r="R21" t="s">
        <v>16</v>
      </c>
      <c r="S21" t="s">
        <v>16</v>
      </c>
      <c r="T21" t="s">
        <v>19</v>
      </c>
      <c r="U21" t="s">
        <v>134</v>
      </c>
      <c r="V21" t="s">
        <v>16</v>
      </c>
      <c r="W21" t="s">
        <v>19</v>
      </c>
      <c r="X21" t="s">
        <v>87</v>
      </c>
      <c r="Y21">
        <v>5.6999998092651403</v>
      </c>
      <c r="Z21">
        <v>4</v>
      </c>
      <c r="AA21">
        <v>1.20000004768372</v>
      </c>
      <c r="AB21">
        <v>1.1000000238418599</v>
      </c>
      <c r="AC21">
        <v>272.50341796875</v>
      </c>
      <c r="AD21">
        <v>145</v>
      </c>
      <c r="AE21">
        <v>1</v>
      </c>
      <c r="AF21">
        <v>49</v>
      </c>
      <c r="AG21">
        <v>119.699996948242</v>
      </c>
      <c r="AH21">
        <v>6</v>
      </c>
      <c r="AI21">
        <v>6</v>
      </c>
      <c r="AJ21">
        <v>19.950000762939499</v>
      </c>
      <c r="AK21">
        <v>6</v>
      </c>
      <c r="AL21">
        <v>6</v>
      </c>
      <c r="AM21">
        <v>19.950000762939499</v>
      </c>
      <c r="AN21" t="s">
        <v>135</v>
      </c>
      <c r="AO21">
        <v>97</v>
      </c>
      <c r="AP21">
        <v>40.374609781477602</v>
      </c>
      <c r="AQ21" s="1" t="s">
        <v>16</v>
      </c>
      <c r="AR21" s="1">
        <v>38480</v>
      </c>
      <c r="AS21" s="1">
        <v>40855</v>
      </c>
      <c r="AT21" s="1">
        <v>40991</v>
      </c>
      <c r="AU21" s="1">
        <v>40434</v>
      </c>
      <c r="AV21" s="1">
        <v>40434.459579363429</v>
      </c>
      <c r="AW21" s="1" t="s">
        <v>16</v>
      </c>
      <c r="AX21" s="1">
        <v>40857</v>
      </c>
      <c r="AY21" t="s">
        <v>16</v>
      </c>
      <c r="AZ21">
        <v>132</v>
      </c>
      <c r="BA21">
        <v>57</v>
      </c>
      <c r="BB21">
        <v>0</v>
      </c>
      <c r="BC21">
        <f t="shared" si="1"/>
        <v>17.111895161290324</v>
      </c>
      <c r="BD21">
        <v>130</v>
      </c>
      <c r="BE21">
        <v>4.9000000000000004</v>
      </c>
      <c r="BF21">
        <v>2.2000000000000002</v>
      </c>
      <c r="BG21">
        <v>8.26</v>
      </c>
      <c r="BH21">
        <v>393</v>
      </c>
      <c r="BI21">
        <v>4.96</v>
      </c>
      <c r="BJ21">
        <v>7.3</v>
      </c>
      <c r="BK21">
        <v>10.1</v>
      </c>
      <c r="BL21">
        <v>15.2</v>
      </c>
      <c r="BM21">
        <v>159.85</v>
      </c>
      <c r="BN21">
        <v>6.2</v>
      </c>
    </row>
    <row r="22" spans="1:66" x14ac:dyDescent="0.3">
      <c r="A22">
        <v>21</v>
      </c>
      <c r="B22" s="2" t="s">
        <v>430</v>
      </c>
      <c r="C22" s="2" t="s">
        <v>448</v>
      </c>
      <c r="D22">
        <v>80</v>
      </c>
      <c r="E22" s="1">
        <v>45053</v>
      </c>
      <c r="F22" s="1">
        <v>44518</v>
      </c>
      <c r="G22" s="1">
        <v>44544.546469907407</v>
      </c>
      <c r="H22" t="s">
        <v>25</v>
      </c>
      <c r="I22" t="s">
        <v>15</v>
      </c>
      <c r="J22" t="s">
        <v>35</v>
      </c>
      <c r="K22" t="s">
        <v>16</v>
      </c>
      <c r="L22">
        <v>25</v>
      </c>
      <c r="M22" t="s">
        <v>17</v>
      </c>
      <c r="N22" t="s">
        <v>28</v>
      </c>
      <c r="O22" t="s">
        <v>31</v>
      </c>
      <c r="P22" t="s">
        <v>75</v>
      </c>
      <c r="Q22" t="s">
        <v>16</v>
      </c>
      <c r="R22" t="s">
        <v>16</v>
      </c>
      <c r="S22" t="s">
        <v>137</v>
      </c>
      <c r="T22" t="s">
        <v>34</v>
      </c>
      <c r="U22" t="s">
        <v>16</v>
      </c>
      <c r="V22" t="s">
        <v>16</v>
      </c>
      <c r="W22" t="s">
        <v>23</v>
      </c>
      <c r="X22" t="s">
        <v>87</v>
      </c>
      <c r="Y22">
        <v>6.9000000953674299</v>
      </c>
      <c r="Z22">
        <v>5.6999998092651403</v>
      </c>
      <c r="AA22">
        <v>1</v>
      </c>
      <c r="AB22">
        <v>1.1000000238418599</v>
      </c>
      <c r="AC22">
        <v>333.80850219726602</v>
      </c>
      <c r="AD22">
        <v>174</v>
      </c>
      <c r="AE22">
        <v>2.25</v>
      </c>
      <c r="AF22">
        <v>55</v>
      </c>
      <c r="AG22">
        <v>95.5</v>
      </c>
      <c r="AH22" t="s">
        <v>16</v>
      </c>
      <c r="AI22">
        <v>5.1100001335143999</v>
      </c>
      <c r="AJ22">
        <v>18.690000534057599</v>
      </c>
      <c r="AK22">
        <v>7.6199998855590803</v>
      </c>
      <c r="AL22">
        <v>7.7199997901916504</v>
      </c>
      <c r="AM22">
        <v>12.3699998855591</v>
      </c>
      <c r="AN22" t="s">
        <v>138</v>
      </c>
      <c r="AO22">
        <v>74.099999999999994</v>
      </c>
      <c r="AP22" t="s">
        <v>16</v>
      </c>
      <c r="AQ22" s="1" t="s">
        <v>16</v>
      </c>
      <c r="AR22" s="1" t="s">
        <v>16</v>
      </c>
      <c r="AS22" s="1">
        <v>44556</v>
      </c>
      <c r="AT22" s="1">
        <v>44549</v>
      </c>
      <c r="AU22" s="1">
        <v>44556</v>
      </c>
      <c r="AV22" s="1"/>
      <c r="AW22" s="1" t="s">
        <v>16</v>
      </c>
      <c r="AX22" s="1">
        <v>44543</v>
      </c>
      <c r="AY22" t="s">
        <v>16</v>
      </c>
      <c r="AZ22">
        <v>134</v>
      </c>
      <c r="BA22">
        <v>70</v>
      </c>
      <c r="BB22">
        <v>0</v>
      </c>
      <c r="BC22">
        <f t="shared" si="1"/>
        <v>13.512035010940918</v>
      </c>
      <c r="BD22">
        <v>142</v>
      </c>
      <c r="BE22">
        <v>5</v>
      </c>
      <c r="BF22">
        <v>3.5</v>
      </c>
      <c r="BG22">
        <v>12.1</v>
      </c>
      <c r="BH22">
        <v>172</v>
      </c>
      <c r="BI22">
        <v>4.57</v>
      </c>
      <c r="BJ22">
        <v>8.9</v>
      </c>
      <c r="BK22">
        <v>6.9</v>
      </c>
      <c r="BL22">
        <v>6.7</v>
      </c>
      <c r="BM22">
        <v>21.4499999999999</v>
      </c>
      <c r="BN22">
        <v>6.4</v>
      </c>
    </row>
    <row r="23" spans="1:66" x14ac:dyDescent="0.3">
      <c r="A23">
        <v>22</v>
      </c>
      <c r="B23" s="2" t="s">
        <v>430</v>
      </c>
      <c r="C23" s="2" t="s">
        <v>448</v>
      </c>
      <c r="D23">
        <v>78</v>
      </c>
      <c r="E23" s="1">
        <v>42994</v>
      </c>
      <c r="F23" s="1">
        <v>42940</v>
      </c>
      <c r="G23" s="1">
        <v>42779.509513888886</v>
      </c>
      <c r="H23" t="s">
        <v>15</v>
      </c>
      <c r="I23" t="s">
        <v>78</v>
      </c>
      <c r="J23" t="s">
        <v>24</v>
      </c>
      <c r="K23" t="s">
        <v>139</v>
      </c>
      <c r="L23">
        <v>50</v>
      </c>
      <c r="M23" t="s">
        <v>17</v>
      </c>
      <c r="N23" t="s">
        <v>15</v>
      </c>
      <c r="O23" t="s">
        <v>25</v>
      </c>
      <c r="P23" t="s">
        <v>75</v>
      </c>
      <c r="Q23" t="s">
        <v>19</v>
      </c>
      <c r="R23" t="s">
        <v>98</v>
      </c>
      <c r="S23" t="s">
        <v>75</v>
      </c>
      <c r="T23" t="s">
        <v>23</v>
      </c>
      <c r="U23" t="s">
        <v>140</v>
      </c>
      <c r="V23" t="s">
        <v>16</v>
      </c>
      <c r="W23" t="s">
        <v>19</v>
      </c>
      <c r="X23" t="s">
        <v>90</v>
      </c>
      <c r="Y23">
        <v>4.9000000953674299</v>
      </c>
      <c r="Z23">
        <v>3.4000000953674299</v>
      </c>
      <c r="AA23">
        <v>1.6000000238418599</v>
      </c>
      <c r="AB23">
        <v>1.1000000238418599</v>
      </c>
      <c r="AC23">
        <v>267.94406127929699</v>
      </c>
      <c r="AD23">
        <v>129</v>
      </c>
      <c r="AE23">
        <v>1.5599999427795399</v>
      </c>
      <c r="AF23">
        <v>69</v>
      </c>
      <c r="AG23">
        <v>190</v>
      </c>
      <c r="AH23">
        <v>6</v>
      </c>
      <c r="AI23">
        <v>7</v>
      </c>
      <c r="AJ23">
        <v>27.139999389648398</v>
      </c>
      <c r="AK23">
        <v>8</v>
      </c>
      <c r="AL23">
        <v>7</v>
      </c>
      <c r="AM23">
        <v>27.139999389648398</v>
      </c>
      <c r="AN23" t="s">
        <v>141</v>
      </c>
      <c r="AO23">
        <v>81</v>
      </c>
      <c r="AP23">
        <v>23.924858223062401</v>
      </c>
      <c r="AQ23" s="1">
        <v>40380</v>
      </c>
      <c r="AR23" s="1" t="s">
        <v>16</v>
      </c>
      <c r="AS23" s="1">
        <v>42880</v>
      </c>
      <c r="AT23" s="1">
        <v>42865</v>
      </c>
      <c r="AU23" s="1">
        <v>40380</v>
      </c>
      <c r="AV23" s="1"/>
      <c r="AW23" s="1">
        <v>40380</v>
      </c>
      <c r="AX23" s="1" t="s">
        <v>16</v>
      </c>
      <c r="AY23" t="s">
        <v>16</v>
      </c>
      <c r="AZ23">
        <v>145</v>
      </c>
      <c r="BA23">
        <v>94</v>
      </c>
      <c r="BB23">
        <v>0</v>
      </c>
      <c r="BC23">
        <f t="shared" si="1"/>
        <v>22.072784810126581</v>
      </c>
      <c r="BD23">
        <v>133</v>
      </c>
      <c r="BE23">
        <v>4.7999999999999901</v>
      </c>
      <c r="BF23">
        <v>2.8999999999999901</v>
      </c>
      <c r="BH23">
        <v>340</v>
      </c>
      <c r="BI23">
        <v>3.16</v>
      </c>
      <c r="BJ23">
        <v>9.1999999999999904</v>
      </c>
      <c r="BK23">
        <v>4.5999999999999899</v>
      </c>
      <c r="BL23">
        <v>12.6</v>
      </c>
      <c r="BM23">
        <v>108.79</v>
      </c>
      <c r="BN23">
        <v>6.7999999999999901</v>
      </c>
    </row>
    <row r="24" spans="1:66" x14ac:dyDescent="0.3">
      <c r="A24">
        <v>23</v>
      </c>
      <c r="B24" s="2" t="s">
        <v>430</v>
      </c>
      <c r="C24" s="2" t="s">
        <v>449</v>
      </c>
      <c r="D24">
        <v>89</v>
      </c>
      <c r="E24" s="1" t="s">
        <v>16</v>
      </c>
      <c r="F24" s="1">
        <v>45406</v>
      </c>
      <c r="G24" s="1">
        <v>45338.451122685183</v>
      </c>
      <c r="H24" t="s">
        <v>15</v>
      </c>
      <c r="I24" t="s">
        <v>87</v>
      </c>
      <c r="J24" t="s">
        <v>14</v>
      </c>
      <c r="K24" t="s">
        <v>16</v>
      </c>
      <c r="L24">
        <v>45</v>
      </c>
      <c r="M24" t="s">
        <v>16</v>
      </c>
      <c r="N24" t="s">
        <v>16</v>
      </c>
      <c r="O24" t="s">
        <v>25</v>
      </c>
      <c r="P24" t="s">
        <v>75</v>
      </c>
      <c r="Q24" t="s">
        <v>23</v>
      </c>
      <c r="R24" t="s">
        <v>143</v>
      </c>
      <c r="S24" t="s">
        <v>16</v>
      </c>
      <c r="T24" t="s">
        <v>29</v>
      </c>
      <c r="U24" t="s">
        <v>96</v>
      </c>
      <c r="V24" t="s">
        <v>16</v>
      </c>
      <c r="W24" t="s">
        <v>29</v>
      </c>
      <c r="X24" t="s">
        <v>90</v>
      </c>
      <c r="Y24">
        <v>4.5</v>
      </c>
      <c r="Z24">
        <v>3.2999999523162802</v>
      </c>
      <c r="AA24">
        <v>1.5</v>
      </c>
      <c r="AB24">
        <v>1.5</v>
      </c>
      <c r="AC24">
        <v>275.78399658203102</v>
      </c>
      <c r="AD24">
        <v>171</v>
      </c>
      <c r="AE24">
        <v>1</v>
      </c>
      <c r="AF24">
        <v>61.400001525878899</v>
      </c>
      <c r="AG24">
        <v>161.97999572753901</v>
      </c>
      <c r="AH24" t="s">
        <v>16</v>
      </c>
      <c r="AI24" t="s">
        <v>16</v>
      </c>
      <c r="AJ24" t="s">
        <v>16</v>
      </c>
      <c r="AK24" t="s">
        <v>16</v>
      </c>
      <c r="AL24" t="s">
        <v>16</v>
      </c>
      <c r="AM24" t="s">
        <v>16</v>
      </c>
      <c r="AN24" t="s">
        <v>144</v>
      </c>
      <c r="AO24">
        <v>55</v>
      </c>
      <c r="AP24">
        <v>22.031725684986402</v>
      </c>
      <c r="AQ24" s="1">
        <v>45340</v>
      </c>
      <c r="AR24" s="1" t="s">
        <v>16</v>
      </c>
      <c r="AS24" s="1">
        <v>45414</v>
      </c>
      <c r="AT24" s="1">
        <v>45334</v>
      </c>
      <c r="AU24" s="1">
        <v>40986</v>
      </c>
      <c r="AV24" s="1"/>
      <c r="AW24" s="1" t="s">
        <v>16</v>
      </c>
      <c r="AX24" s="1" t="s">
        <v>16</v>
      </c>
      <c r="AY24" t="s">
        <v>16</v>
      </c>
      <c r="AZ24">
        <v>114</v>
      </c>
      <c r="BA24">
        <v>56</v>
      </c>
      <c r="BB24">
        <v>2</v>
      </c>
      <c r="BC24">
        <f t="shared" si="1"/>
        <v>8.4143268538517102</v>
      </c>
      <c r="BD24">
        <v>129</v>
      </c>
      <c r="BE24">
        <v>3.7</v>
      </c>
      <c r="BF24">
        <v>3</v>
      </c>
      <c r="BG24">
        <v>8.5</v>
      </c>
      <c r="BH24">
        <v>185</v>
      </c>
      <c r="BI24">
        <v>4.6299999999999901</v>
      </c>
      <c r="BJ24">
        <v>8.0999999999999908</v>
      </c>
      <c r="BK24">
        <v>4.7</v>
      </c>
      <c r="BL24">
        <v>11.4</v>
      </c>
      <c r="BM24">
        <v>87.4</v>
      </c>
      <c r="BN24">
        <v>5</v>
      </c>
    </row>
    <row r="25" spans="1:66" x14ac:dyDescent="0.3">
      <c r="A25">
        <v>24</v>
      </c>
      <c r="B25" s="2" t="s">
        <v>434</v>
      </c>
      <c r="C25" s="2" t="s">
        <v>448</v>
      </c>
      <c r="D25">
        <v>71</v>
      </c>
      <c r="E25" s="1">
        <v>41315</v>
      </c>
      <c r="F25" s="1">
        <v>40253</v>
      </c>
      <c r="G25" s="1">
        <v>40234.52171296296</v>
      </c>
      <c r="H25" t="s">
        <v>25</v>
      </c>
      <c r="I25" t="s">
        <v>16</v>
      </c>
      <c r="J25" t="s">
        <v>35</v>
      </c>
      <c r="K25" t="s">
        <v>16</v>
      </c>
      <c r="L25">
        <v>25</v>
      </c>
      <c r="M25" t="s">
        <v>79</v>
      </c>
      <c r="N25" t="s">
        <v>35</v>
      </c>
      <c r="O25" t="s">
        <v>31</v>
      </c>
      <c r="P25" t="s">
        <v>75</v>
      </c>
      <c r="Q25" t="s">
        <v>19</v>
      </c>
      <c r="R25" t="s">
        <v>16</v>
      </c>
      <c r="S25" t="s">
        <v>16</v>
      </c>
      <c r="T25" t="s">
        <v>38</v>
      </c>
      <c r="U25" t="s">
        <v>16</v>
      </c>
      <c r="V25" t="s">
        <v>16</v>
      </c>
      <c r="W25" t="s">
        <v>34</v>
      </c>
      <c r="X25" t="s">
        <v>78</v>
      </c>
      <c r="Y25">
        <v>6.0999999046325701</v>
      </c>
      <c r="Z25">
        <v>5.5</v>
      </c>
      <c r="AA25">
        <v>1.1000000238418599</v>
      </c>
      <c r="AB25">
        <v>0.89999997615814198</v>
      </c>
      <c r="AC25">
        <v>254</v>
      </c>
      <c r="AD25">
        <v>138</v>
      </c>
      <c r="AE25">
        <v>2.3800001144409202</v>
      </c>
      <c r="AF25">
        <v>41</v>
      </c>
      <c r="AG25">
        <v>112</v>
      </c>
      <c r="AH25">
        <v>4</v>
      </c>
      <c r="AI25">
        <v>5</v>
      </c>
      <c r="AJ25">
        <v>22.399999618530298</v>
      </c>
      <c r="AK25">
        <v>6</v>
      </c>
      <c r="AL25">
        <v>11</v>
      </c>
      <c r="AM25">
        <v>10.180000305175801</v>
      </c>
      <c r="AN25" t="s">
        <v>148</v>
      </c>
      <c r="AO25">
        <v>56</v>
      </c>
      <c r="AP25">
        <v>19.377162629757802</v>
      </c>
      <c r="AQ25" s="1" t="s">
        <v>16</v>
      </c>
      <c r="AR25" s="1" t="s">
        <v>16</v>
      </c>
      <c r="AS25" s="1">
        <v>40750</v>
      </c>
      <c r="AT25" s="1">
        <v>40226</v>
      </c>
      <c r="AU25" s="1" t="s">
        <v>16</v>
      </c>
      <c r="AV25" s="1">
        <v>40048.80149513889</v>
      </c>
      <c r="AW25" s="1">
        <v>40048</v>
      </c>
      <c r="AX25" s="1" t="s">
        <v>16</v>
      </c>
      <c r="AY25" t="s">
        <v>21</v>
      </c>
      <c r="AZ25">
        <v>92</v>
      </c>
      <c r="BA25">
        <v>57</v>
      </c>
      <c r="BB25">
        <v>2</v>
      </c>
      <c r="BC25">
        <f t="shared" si="1"/>
        <v>36.261261261261261</v>
      </c>
      <c r="BD25">
        <v>141</v>
      </c>
      <c r="BE25">
        <v>5</v>
      </c>
      <c r="BF25">
        <v>3.3999999999999901</v>
      </c>
      <c r="BG25">
        <v>11</v>
      </c>
      <c r="BH25">
        <v>181</v>
      </c>
      <c r="BI25">
        <v>1.48</v>
      </c>
      <c r="BJ25">
        <v>9.4</v>
      </c>
      <c r="BK25">
        <v>3.5899999999999901</v>
      </c>
      <c r="BL25">
        <v>4.7999999999999901</v>
      </c>
      <c r="BM25">
        <v>19.100000000000001</v>
      </c>
      <c r="BN25">
        <v>7.2999999999999901</v>
      </c>
    </row>
    <row r="26" spans="1:66" ht="15" customHeight="1" x14ac:dyDescent="0.3">
      <c r="A26">
        <v>25</v>
      </c>
      <c r="B26" s="2" t="s">
        <v>430</v>
      </c>
      <c r="C26" s="2" t="s">
        <v>449</v>
      </c>
      <c r="D26">
        <v>75</v>
      </c>
      <c r="E26" s="1">
        <v>41997</v>
      </c>
      <c r="F26" s="1">
        <v>41504</v>
      </c>
      <c r="G26" s="1">
        <v>41253.557337962964</v>
      </c>
      <c r="H26" t="s">
        <v>15</v>
      </c>
      <c r="I26" t="s">
        <v>78</v>
      </c>
      <c r="J26" t="s">
        <v>24</v>
      </c>
      <c r="K26" t="s">
        <v>16</v>
      </c>
      <c r="L26">
        <v>53</v>
      </c>
      <c r="M26" t="s">
        <v>16</v>
      </c>
      <c r="N26" t="s">
        <v>16</v>
      </c>
      <c r="O26" t="s">
        <v>17</v>
      </c>
      <c r="P26" t="s">
        <v>16</v>
      </c>
      <c r="Q26" t="s">
        <v>16</v>
      </c>
      <c r="R26" t="s">
        <v>16</v>
      </c>
      <c r="S26" t="s">
        <v>16</v>
      </c>
      <c r="T26" t="s">
        <v>19</v>
      </c>
      <c r="U26" t="s">
        <v>16</v>
      </c>
      <c r="V26" t="s">
        <v>16</v>
      </c>
      <c r="W26" t="s">
        <v>18</v>
      </c>
      <c r="X26" t="s">
        <v>78</v>
      </c>
      <c r="Y26">
        <v>4.75</v>
      </c>
      <c r="Z26">
        <v>3.3299999237060498</v>
      </c>
      <c r="AA26">
        <v>1.37000000476837</v>
      </c>
      <c r="AB26">
        <v>1.3099999427795399</v>
      </c>
      <c r="AC26">
        <v>252.69644165039099</v>
      </c>
      <c r="AD26">
        <v>115</v>
      </c>
      <c r="AE26">
        <v>1.4400000572204601</v>
      </c>
      <c r="AF26">
        <v>37</v>
      </c>
      <c r="AG26">
        <v>124.610000610352</v>
      </c>
      <c r="AH26">
        <v>4</v>
      </c>
      <c r="AI26">
        <v>4</v>
      </c>
      <c r="AJ26">
        <v>31.149999618530298</v>
      </c>
      <c r="AK26">
        <v>3</v>
      </c>
      <c r="AL26">
        <v>4</v>
      </c>
      <c r="AM26">
        <v>31.149999618530298</v>
      </c>
      <c r="AN26" t="s">
        <v>150</v>
      </c>
      <c r="AO26">
        <v>108</v>
      </c>
      <c r="AP26">
        <v>37.370242214532901</v>
      </c>
      <c r="AQ26" s="1" t="s">
        <v>16</v>
      </c>
      <c r="AR26" s="1" t="s">
        <v>16</v>
      </c>
      <c r="AS26" s="1">
        <v>40309</v>
      </c>
      <c r="AT26" s="1">
        <v>41507</v>
      </c>
      <c r="AU26" s="1">
        <v>40309</v>
      </c>
      <c r="AV26" s="1">
        <v>40309.490792789351</v>
      </c>
      <c r="AW26" s="1">
        <v>40309</v>
      </c>
      <c r="AX26" s="1">
        <v>41254</v>
      </c>
      <c r="AY26" t="s">
        <v>16</v>
      </c>
      <c r="AZ26">
        <v>142</v>
      </c>
      <c r="BA26">
        <v>95</v>
      </c>
      <c r="BB26">
        <v>4</v>
      </c>
      <c r="BC26">
        <f t="shared" si="1"/>
        <v>23.049645390070918</v>
      </c>
      <c r="BD26">
        <v>139</v>
      </c>
      <c r="BE26">
        <v>3.7999999999999901</v>
      </c>
      <c r="BF26">
        <v>2.5</v>
      </c>
      <c r="BG26">
        <v>11.3</v>
      </c>
      <c r="BH26">
        <v>85</v>
      </c>
      <c r="BI26">
        <v>4.2300000000000004</v>
      </c>
      <c r="BJ26">
        <v>7.7999999999999901</v>
      </c>
      <c r="BK26">
        <v>4</v>
      </c>
      <c r="BL26">
        <v>7</v>
      </c>
      <c r="BM26">
        <v>195.569999999999</v>
      </c>
      <c r="BN26">
        <v>6.7999999999999901</v>
      </c>
    </row>
    <row r="27" spans="1:66" x14ac:dyDescent="0.3">
      <c r="A27">
        <v>26</v>
      </c>
      <c r="B27" s="2" t="s">
        <v>430</v>
      </c>
      <c r="C27" s="2" t="s">
        <v>448</v>
      </c>
      <c r="D27">
        <v>76</v>
      </c>
      <c r="E27" s="1">
        <v>41861</v>
      </c>
      <c r="F27" s="1">
        <v>40526</v>
      </c>
      <c r="G27" s="1">
        <v>40527.316770833335</v>
      </c>
      <c r="H27" t="s">
        <v>25</v>
      </c>
      <c r="I27" t="s">
        <v>15</v>
      </c>
      <c r="J27" t="s">
        <v>30</v>
      </c>
      <c r="K27" t="s">
        <v>16</v>
      </c>
      <c r="L27">
        <v>30</v>
      </c>
      <c r="M27" t="s">
        <v>16</v>
      </c>
      <c r="N27" t="s">
        <v>16</v>
      </c>
      <c r="O27" t="s">
        <v>17</v>
      </c>
      <c r="P27" t="s">
        <v>16</v>
      </c>
      <c r="Q27" t="s">
        <v>19</v>
      </c>
      <c r="R27" t="s">
        <v>16</v>
      </c>
      <c r="S27" t="s">
        <v>16</v>
      </c>
      <c r="T27" t="s">
        <v>32</v>
      </c>
      <c r="U27" t="s">
        <v>16</v>
      </c>
      <c r="V27" t="s">
        <v>16</v>
      </c>
      <c r="W27" t="s">
        <v>19</v>
      </c>
      <c r="X27" t="s">
        <v>90</v>
      </c>
      <c r="Y27">
        <v>6.3000001907348597</v>
      </c>
      <c r="Z27">
        <v>5.1999998092651403</v>
      </c>
      <c r="AA27">
        <v>0.80000001192092896</v>
      </c>
      <c r="AB27">
        <v>0.80000001192092896</v>
      </c>
      <c r="AC27">
        <v>203</v>
      </c>
      <c r="AD27">
        <v>112</v>
      </c>
      <c r="AE27">
        <v>2</v>
      </c>
      <c r="AF27">
        <v>70</v>
      </c>
      <c r="AG27">
        <v>116</v>
      </c>
      <c r="AH27">
        <v>4</v>
      </c>
      <c r="AI27">
        <v>4</v>
      </c>
      <c r="AJ27">
        <v>29</v>
      </c>
      <c r="AK27">
        <v>7</v>
      </c>
      <c r="AL27">
        <v>6</v>
      </c>
      <c r="AM27">
        <v>19.329999923706101</v>
      </c>
      <c r="AN27" t="s">
        <v>151</v>
      </c>
      <c r="AO27">
        <v>71</v>
      </c>
      <c r="AP27" t="s">
        <v>16</v>
      </c>
      <c r="AQ27" s="1" t="s">
        <v>16</v>
      </c>
      <c r="AR27" s="1" t="s">
        <v>16</v>
      </c>
      <c r="AS27" s="1">
        <v>40525</v>
      </c>
      <c r="AT27" s="1" t="s">
        <v>16</v>
      </c>
      <c r="AU27" s="1">
        <v>40525</v>
      </c>
      <c r="AV27" s="1">
        <v>40525.99448202546</v>
      </c>
      <c r="AW27" s="1" t="s">
        <v>16</v>
      </c>
      <c r="AX27" s="1" t="s">
        <v>16</v>
      </c>
      <c r="AY27" t="s">
        <v>16</v>
      </c>
      <c r="AZ27">
        <v>157</v>
      </c>
      <c r="BA27">
        <v>89</v>
      </c>
      <c r="BB27">
        <v>0</v>
      </c>
      <c r="BC27">
        <f t="shared" si="1"/>
        <v>16.182336182336226</v>
      </c>
      <c r="BD27">
        <v>141</v>
      </c>
      <c r="BE27">
        <v>5.0999999999999899</v>
      </c>
      <c r="BF27">
        <v>3.2</v>
      </c>
      <c r="BG27">
        <v>8.3000000000000007</v>
      </c>
      <c r="BH27">
        <v>158</v>
      </c>
      <c r="BI27">
        <v>3.8999999999999901</v>
      </c>
      <c r="BJ27">
        <v>8.9</v>
      </c>
      <c r="BK27">
        <v>6</v>
      </c>
      <c r="BL27">
        <v>6.7</v>
      </c>
    </row>
    <row r="28" spans="1:66" x14ac:dyDescent="0.3">
      <c r="A28">
        <v>27</v>
      </c>
      <c r="B28" s="2" t="s">
        <v>434</v>
      </c>
      <c r="C28" s="2" t="s">
        <v>448</v>
      </c>
      <c r="D28">
        <v>65</v>
      </c>
      <c r="E28" s="1">
        <v>43859</v>
      </c>
      <c r="F28" s="1">
        <v>40736</v>
      </c>
      <c r="G28" s="1">
        <v>40602.438356481478</v>
      </c>
      <c r="H28" t="s">
        <v>15</v>
      </c>
      <c r="I28" t="s">
        <v>16</v>
      </c>
      <c r="J28" t="s">
        <v>35</v>
      </c>
      <c r="K28" t="s">
        <v>16</v>
      </c>
      <c r="L28">
        <v>20</v>
      </c>
      <c r="M28" t="s">
        <v>16</v>
      </c>
      <c r="N28" t="s">
        <v>35</v>
      </c>
      <c r="O28" t="s">
        <v>25</v>
      </c>
      <c r="P28" t="s">
        <v>16</v>
      </c>
      <c r="Q28" t="s">
        <v>16</v>
      </c>
      <c r="R28" t="s">
        <v>16</v>
      </c>
      <c r="S28" t="s">
        <v>16</v>
      </c>
      <c r="T28" t="s">
        <v>19</v>
      </c>
      <c r="U28" t="s">
        <v>16</v>
      </c>
      <c r="V28" t="s">
        <v>16</v>
      </c>
      <c r="W28" t="s">
        <v>19</v>
      </c>
      <c r="X28" t="s">
        <v>87</v>
      </c>
      <c r="Y28">
        <v>5</v>
      </c>
      <c r="Z28">
        <v>4.0999999046325701</v>
      </c>
      <c r="AA28">
        <v>0.89999997615814198</v>
      </c>
      <c r="AB28">
        <v>0.89999997615814198</v>
      </c>
      <c r="AC28">
        <v>158.20742797851599</v>
      </c>
      <c r="AD28">
        <v>75</v>
      </c>
      <c r="AE28">
        <v>2.1199998855590798</v>
      </c>
      <c r="AF28">
        <v>53</v>
      </c>
      <c r="AG28">
        <v>101</v>
      </c>
      <c r="AH28" t="s">
        <v>16</v>
      </c>
      <c r="AI28" t="s">
        <v>16</v>
      </c>
      <c r="AJ28" t="s">
        <v>16</v>
      </c>
      <c r="AK28" t="s">
        <v>16</v>
      </c>
      <c r="AL28" t="s">
        <v>16</v>
      </c>
      <c r="AM28" t="s">
        <v>16</v>
      </c>
      <c r="AN28" t="s">
        <v>152</v>
      </c>
      <c r="AO28">
        <v>86.6</v>
      </c>
      <c r="AP28">
        <v>27.3324075243025</v>
      </c>
      <c r="AQ28" s="1">
        <v>41094</v>
      </c>
      <c r="AR28" s="1" t="s">
        <v>16</v>
      </c>
      <c r="AS28" s="1">
        <v>40758</v>
      </c>
      <c r="AT28" s="1">
        <v>40602</v>
      </c>
      <c r="AU28" s="1">
        <v>40758</v>
      </c>
      <c r="AV28" s="1"/>
      <c r="AW28" s="1">
        <v>40758</v>
      </c>
      <c r="AX28" s="1" t="s">
        <v>16</v>
      </c>
      <c r="AY28" t="s">
        <v>21</v>
      </c>
      <c r="AZ28">
        <v>134</v>
      </c>
      <c r="BA28">
        <v>81</v>
      </c>
      <c r="BB28">
        <v>0</v>
      </c>
      <c r="BC28">
        <f t="shared" si="1"/>
        <v>23.130341880341941</v>
      </c>
      <c r="BD28">
        <v>141</v>
      </c>
      <c r="BE28">
        <v>5.0999999999999899</v>
      </c>
      <c r="BF28">
        <v>3.2</v>
      </c>
      <c r="BG28">
        <v>8.3000000000000007</v>
      </c>
      <c r="BH28">
        <v>158</v>
      </c>
      <c r="BI28">
        <v>3.8999999999999901</v>
      </c>
      <c r="BJ28">
        <v>8.9</v>
      </c>
      <c r="BK28">
        <v>6</v>
      </c>
      <c r="BL28">
        <v>6.7</v>
      </c>
    </row>
    <row r="29" spans="1:66" x14ac:dyDescent="0.3">
      <c r="A29">
        <v>28</v>
      </c>
      <c r="B29" s="2" t="s">
        <v>430</v>
      </c>
      <c r="C29" s="2" t="s">
        <v>448</v>
      </c>
      <c r="D29">
        <v>81</v>
      </c>
      <c r="E29" s="1">
        <v>42598</v>
      </c>
      <c r="F29" s="1">
        <v>42554</v>
      </c>
      <c r="G29" s="1">
        <v>42353.433900462966</v>
      </c>
      <c r="H29" t="s">
        <v>15</v>
      </c>
      <c r="I29" t="s">
        <v>78</v>
      </c>
      <c r="J29" t="s">
        <v>15</v>
      </c>
      <c r="K29" t="s">
        <v>16</v>
      </c>
      <c r="L29">
        <v>55</v>
      </c>
      <c r="M29" t="s">
        <v>15</v>
      </c>
      <c r="N29" t="s">
        <v>15</v>
      </c>
      <c r="O29" t="s">
        <v>15</v>
      </c>
      <c r="P29" t="s">
        <v>75</v>
      </c>
      <c r="Q29" t="s">
        <v>19</v>
      </c>
      <c r="R29" t="s">
        <v>16</v>
      </c>
      <c r="S29" t="s">
        <v>16</v>
      </c>
      <c r="T29" t="s">
        <v>19</v>
      </c>
      <c r="U29" t="s">
        <v>118</v>
      </c>
      <c r="V29" t="s">
        <v>16</v>
      </c>
      <c r="W29" t="s">
        <v>23</v>
      </c>
      <c r="X29" t="s">
        <v>78</v>
      </c>
      <c r="Y29">
        <v>4.8000001907348597</v>
      </c>
      <c r="Z29">
        <v>3</v>
      </c>
      <c r="AA29">
        <v>1.1000000238418599</v>
      </c>
      <c r="AB29">
        <v>1.20000004768372</v>
      </c>
      <c r="AC29">
        <v>206.36941528320301</v>
      </c>
      <c r="AD29">
        <v>119</v>
      </c>
      <c r="AE29">
        <v>1.4400000572204601</v>
      </c>
      <c r="AF29">
        <v>48</v>
      </c>
      <c r="AG29">
        <v>109</v>
      </c>
      <c r="AH29">
        <v>8</v>
      </c>
      <c r="AI29">
        <v>5</v>
      </c>
      <c r="AJ29">
        <v>21.799999237060501</v>
      </c>
      <c r="AK29">
        <v>6</v>
      </c>
      <c r="AL29">
        <v>8</v>
      </c>
      <c r="AM29">
        <v>13.6199998855591</v>
      </c>
      <c r="AN29" t="s">
        <v>154</v>
      </c>
      <c r="AO29">
        <v>64</v>
      </c>
      <c r="AP29">
        <v>22.6757369614512</v>
      </c>
      <c r="AQ29" s="1" t="s">
        <v>16</v>
      </c>
      <c r="AR29" s="1" t="s">
        <v>16</v>
      </c>
      <c r="AS29" s="1" t="s">
        <v>16</v>
      </c>
      <c r="AT29" s="1" t="s">
        <v>16</v>
      </c>
      <c r="AU29" s="1">
        <v>41490</v>
      </c>
      <c r="AV29" s="1">
        <v>39593.615335648137</v>
      </c>
      <c r="AW29" s="1" t="s">
        <v>16</v>
      </c>
      <c r="AX29" s="1">
        <v>41421</v>
      </c>
      <c r="AY29" t="s">
        <v>16</v>
      </c>
      <c r="AZ29">
        <v>148</v>
      </c>
      <c r="BA29">
        <v>89</v>
      </c>
      <c r="BB29">
        <v>2</v>
      </c>
      <c r="BC29">
        <f t="shared" si="1"/>
        <v>7.2039072039072041</v>
      </c>
      <c r="BD29">
        <v>138</v>
      </c>
      <c r="BE29">
        <v>4.5</v>
      </c>
      <c r="BF29">
        <v>2.7999999999999901</v>
      </c>
      <c r="BG29">
        <v>10.9</v>
      </c>
      <c r="BH29">
        <v>211</v>
      </c>
      <c r="BI29">
        <v>7.28</v>
      </c>
      <c r="BJ29">
        <v>8.0999999999999908</v>
      </c>
      <c r="BK29">
        <v>7.5999999999999899</v>
      </c>
      <c r="BL29">
        <v>9.8000000000000007</v>
      </c>
      <c r="BM29">
        <v>48.92</v>
      </c>
      <c r="BN29">
        <v>5.9</v>
      </c>
    </row>
    <row r="30" spans="1:66" x14ac:dyDescent="0.3">
      <c r="A30">
        <v>29</v>
      </c>
      <c r="B30" s="2" t="s">
        <v>430</v>
      </c>
      <c r="C30" s="2" t="s">
        <v>448</v>
      </c>
      <c r="D30">
        <v>82</v>
      </c>
      <c r="E30" s="1">
        <v>44809</v>
      </c>
      <c r="F30" s="1">
        <v>40319</v>
      </c>
      <c r="G30" s="1">
        <v>40204.494606481479</v>
      </c>
      <c r="H30" t="s">
        <v>15</v>
      </c>
      <c r="I30" t="s">
        <v>78</v>
      </c>
      <c r="J30" t="s">
        <v>15</v>
      </c>
      <c r="K30" t="s">
        <v>106</v>
      </c>
      <c r="L30">
        <v>60</v>
      </c>
      <c r="M30" t="s">
        <v>15</v>
      </c>
      <c r="N30" t="s">
        <v>15</v>
      </c>
      <c r="O30" t="s">
        <v>17</v>
      </c>
      <c r="P30" t="s">
        <v>75</v>
      </c>
      <c r="Q30" t="s">
        <v>19</v>
      </c>
      <c r="R30" t="s">
        <v>113</v>
      </c>
      <c r="S30" t="s">
        <v>16</v>
      </c>
      <c r="T30" t="s">
        <v>27</v>
      </c>
      <c r="U30" t="s">
        <v>107</v>
      </c>
      <c r="V30" t="s">
        <v>16</v>
      </c>
      <c r="W30" t="s">
        <v>23</v>
      </c>
      <c r="X30" t="s">
        <v>90</v>
      </c>
      <c r="Y30">
        <v>4.6999998092651403</v>
      </c>
      <c r="Z30">
        <v>2.5</v>
      </c>
      <c r="AA30">
        <v>1.29999995231628</v>
      </c>
      <c r="AB30">
        <v>0.89999997615814198</v>
      </c>
      <c r="AC30">
        <v>188</v>
      </c>
      <c r="AD30">
        <v>108</v>
      </c>
      <c r="AE30">
        <v>1</v>
      </c>
      <c r="AF30">
        <v>66</v>
      </c>
      <c r="AG30" t="s">
        <v>16</v>
      </c>
      <c r="AH30" t="s">
        <v>16</v>
      </c>
      <c r="AI30" t="s">
        <v>16</v>
      </c>
      <c r="AJ30" t="s">
        <v>16</v>
      </c>
      <c r="AK30" t="s">
        <v>16</v>
      </c>
      <c r="AL30" t="s">
        <v>16</v>
      </c>
      <c r="AM30" t="s">
        <v>16</v>
      </c>
      <c r="AN30" t="s">
        <v>155</v>
      </c>
      <c r="AO30" t="s">
        <v>16</v>
      </c>
      <c r="AP30" t="s">
        <v>16</v>
      </c>
      <c r="AQ30" s="1" t="s">
        <v>16</v>
      </c>
      <c r="AR30" s="1">
        <v>40299</v>
      </c>
      <c r="AS30" s="1">
        <v>40299</v>
      </c>
      <c r="AT30" s="1" t="s">
        <v>16</v>
      </c>
      <c r="AU30" s="1">
        <v>40293</v>
      </c>
      <c r="AV30" s="1"/>
      <c r="AW30" s="1">
        <v>40293</v>
      </c>
      <c r="AX30" s="1" t="s">
        <v>16</v>
      </c>
      <c r="AY30" t="s">
        <v>21</v>
      </c>
      <c r="AZ30">
        <v>148</v>
      </c>
      <c r="BA30">
        <v>68</v>
      </c>
      <c r="BB30">
        <v>0</v>
      </c>
      <c r="BC30">
        <v>6.9</v>
      </c>
      <c r="BD30">
        <v>130</v>
      </c>
      <c r="BE30">
        <v>5.0999999999999899</v>
      </c>
      <c r="BF30">
        <v>2.6</v>
      </c>
      <c r="BG30">
        <v>11.6</v>
      </c>
      <c r="BH30">
        <v>264</v>
      </c>
      <c r="BI30">
        <v>7.5499999999999901</v>
      </c>
      <c r="BJ30">
        <v>8.5999999999999908</v>
      </c>
      <c r="BK30">
        <v>5.7</v>
      </c>
      <c r="BL30">
        <v>12.1</v>
      </c>
      <c r="BM30">
        <v>137.80000000000001</v>
      </c>
      <c r="BN30">
        <v>5.7999999999999901</v>
      </c>
    </row>
    <row r="31" spans="1:66" x14ac:dyDescent="0.3">
      <c r="A31">
        <v>30</v>
      </c>
      <c r="B31" s="2" t="s">
        <v>430</v>
      </c>
      <c r="C31" s="2" t="s">
        <v>449</v>
      </c>
      <c r="D31">
        <v>78</v>
      </c>
      <c r="E31" s="1">
        <v>44066</v>
      </c>
      <c r="F31" s="1">
        <v>43940</v>
      </c>
      <c r="G31" s="1">
        <v>43776.472858796296</v>
      </c>
      <c r="H31" t="s">
        <v>15</v>
      </c>
      <c r="I31" t="s">
        <v>16</v>
      </c>
      <c r="J31" t="s">
        <v>15</v>
      </c>
      <c r="K31" t="s">
        <v>16</v>
      </c>
      <c r="L31">
        <v>60</v>
      </c>
      <c r="M31" t="s">
        <v>16</v>
      </c>
      <c r="N31" t="s">
        <v>16</v>
      </c>
      <c r="O31" t="s">
        <v>17</v>
      </c>
      <c r="P31" t="s">
        <v>75</v>
      </c>
      <c r="Q31" t="s">
        <v>16</v>
      </c>
      <c r="R31" t="s">
        <v>16</v>
      </c>
      <c r="S31" t="s">
        <v>16</v>
      </c>
      <c r="T31" t="s">
        <v>26</v>
      </c>
      <c r="U31" t="s">
        <v>16</v>
      </c>
      <c r="V31" t="s">
        <v>16</v>
      </c>
      <c r="W31" t="s">
        <v>26</v>
      </c>
      <c r="X31" t="s">
        <v>87</v>
      </c>
      <c r="Y31">
        <v>4</v>
      </c>
      <c r="Z31">
        <v>2.9000000953674299</v>
      </c>
      <c r="AA31">
        <v>0.80000001192092896</v>
      </c>
      <c r="AB31">
        <v>0.80000001192092896</v>
      </c>
      <c r="AC31">
        <v>93.464515686035199</v>
      </c>
      <c r="AD31">
        <v>58</v>
      </c>
      <c r="AE31">
        <v>1</v>
      </c>
      <c r="AF31">
        <v>52</v>
      </c>
      <c r="AG31">
        <v>145</v>
      </c>
      <c r="AH31">
        <v>4.6999998092651403</v>
      </c>
      <c r="AI31">
        <v>8.6800003051757795</v>
      </c>
      <c r="AJ31">
        <v>16.709999084472699</v>
      </c>
      <c r="AK31">
        <v>6</v>
      </c>
      <c r="AL31">
        <v>11.1000003814697</v>
      </c>
      <c r="AM31">
        <v>13.060000419616699</v>
      </c>
      <c r="AN31" t="s">
        <v>156</v>
      </c>
      <c r="AO31">
        <v>56</v>
      </c>
      <c r="AP31">
        <v>21.338210638622201</v>
      </c>
      <c r="AQ31" s="1" t="s">
        <v>16</v>
      </c>
      <c r="AR31" s="1" t="s">
        <v>16</v>
      </c>
      <c r="AS31" s="1" t="s">
        <v>16</v>
      </c>
      <c r="AT31" s="1">
        <v>43744</v>
      </c>
      <c r="AU31" s="1" t="s">
        <v>16</v>
      </c>
      <c r="AV31" s="1"/>
      <c r="AW31" s="1" t="s">
        <v>16</v>
      </c>
      <c r="AX31" s="1" t="s">
        <v>16</v>
      </c>
      <c r="AY31" t="s">
        <v>16</v>
      </c>
      <c r="AZ31">
        <v>103</v>
      </c>
      <c r="BA31">
        <v>56</v>
      </c>
      <c r="BB31">
        <v>2</v>
      </c>
      <c r="BC31">
        <f>(140-D31)*AO31/(72*BI31)</f>
        <v>12.723541483435943</v>
      </c>
      <c r="BD31">
        <v>141</v>
      </c>
      <c r="BE31">
        <v>4.4000000000000004</v>
      </c>
      <c r="BF31">
        <v>3.1</v>
      </c>
      <c r="BG31">
        <v>9.3000000000000007</v>
      </c>
      <c r="BH31">
        <v>108</v>
      </c>
      <c r="BI31">
        <v>3.79</v>
      </c>
      <c r="BJ31">
        <v>8.1999999999999904</v>
      </c>
      <c r="BK31">
        <v>4.7</v>
      </c>
      <c r="BL31">
        <v>7.4</v>
      </c>
      <c r="BM31">
        <v>15.15</v>
      </c>
      <c r="BN31">
        <v>4.7999999999999901</v>
      </c>
    </row>
    <row r="32" spans="1:66" x14ac:dyDescent="0.3">
      <c r="A32">
        <v>31</v>
      </c>
      <c r="B32" s="2" t="s">
        <v>430</v>
      </c>
      <c r="C32" s="2" t="s">
        <v>448</v>
      </c>
      <c r="D32">
        <v>93</v>
      </c>
      <c r="E32" s="1">
        <v>41406</v>
      </c>
      <c r="F32" s="1">
        <v>41403</v>
      </c>
      <c r="G32" s="1">
        <v>41368.407951388886</v>
      </c>
      <c r="H32" t="s">
        <v>15</v>
      </c>
      <c r="I32" t="s">
        <v>16</v>
      </c>
      <c r="J32" t="s">
        <v>15</v>
      </c>
      <c r="K32" t="s">
        <v>16</v>
      </c>
      <c r="L32">
        <v>60</v>
      </c>
      <c r="M32" t="s">
        <v>16</v>
      </c>
      <c r="N32" t="s">
        <v>16</v>
      </c>
      <c r="O32" t="s">
        <v>25</v>
      </c>
      <c r="P32" t="s">
        <v>75</v>
      </c>
      <c r="Q32" t="s">
        <v>19</v>
      </c>
      <c r="R32" t="s">
        <v>136</v>
      </c>
      <c r="S32" t="s">
        <v>16</v>
      </c>
      <c r="T32" t="s">
        <v>19</v>
      </c>
      <c r="U32" t="s">
        <v>110</v>
      </c>
      <c r="V32" t="s">
        <v>16</v>
      </c>
      <c r="W32" t="s">
        <v>19</v>
      </c>
      <c r="X32" t="s">
        <v>87</v>
      </c>
      <c r="Y32">
        <v>5.1199998855590803</v>
      </c>
      <c r="Z32">
        <v>3.9000000953674299</v>
      </c>
      <c r="AA32">
        <v>1.08000004291534</v>
      </c>
      <c r="AB32">
        <v>0.87999999523162797</v>
      </c>
      <c r="AC32">
        <v>184.20341491699199</v>
      </c>
      <c r="AD32">
        <v>105</v>
      </c>
      <c r="AE32">
        <v>1</v>
      </c>
      <c r="AF32">
        <v>49</v>
      </c>
      <c r="AG32">
        <v>157</v>
      </c>
      <c r="AH32">
        <v>5</v>
      </c>
      <c r="AI32">
        <v>4</v>
      </c>
      <c r="AJ32">
        <v>39.25</v>
      </c>
      <c r="AK32">
        <v>6</v>
      </c>
      <c r="AL32">
        <v>9</v>
      </c>
      <c r="AM32">
        <v>17.440000534057599</v>
      </c>
      <c r="AN32" t="s">
        <v>158</v>
      </c>
      <c r="AO32">
        <v>72</v>
      </c>
      <c r="AP32">
        <v>22.2222222222222</v>
      </c>
      <c r="AQ32" s="1" t="s">
        <v>16</v>
      </c>
      <c r="AR32" s="1" t="s">
        <v>16</v>
      </c>
      <c r="AS32" s="1">
        <v>41351</v>
      </c>
      <c r="AT32" s="1">
        <v>41348</v>
      </c>
      <c r="AU32" s="1">
        <v>40969</v>
      </c>
      <c r="AV32" s="1">
        <v>40498.794553900458</v>
      </c>
      <c r="AW32" s="1">
        <v>40969</v>
      </c>
      <c r="AX32" s="1" t="s">
        <v>16</v>
      </c>
      <c r="AY32" t="s">
        <v>16</v>
      </c>
      <c r="AZ32">
        <v>103</v>
      </c>
      <c r="BA32">
        <v>37</v>
      </c>
      <c r="BB32">
        <v>0</v>
      </c>
      <c r="BC32">
        <f>(140-D32)*AO32/(72*BI32)</f>
        <v>14.596273291925465</v>
      </c>
      <c r="BD32">
        <v>126</v>
      </c>
      <c r="BE32">
        <v>4.7</v>
      </c>
      <c r="BF32">
        <v>2.7999999999999901</v>
      </c>
      <c r="BG32">
        <v>10.3</v>
      </c>
      <c r="BH32">
        <v>182</v>
      </c>
      <c r="BI32">
        <v>3.22</v>
      </c>
      <c r="BJ32">
        <v>8.4</v>
      </c>
      <c r="BK32">
        <v>4.9000000000000004</v>
      </c>
      <c r="BL32">
        <v>6.2</v>
      </c>
      <c r="BM32">
        <v>40.42</v>
      </c>
      <c r="BN32">
        <v>7.9</v>
      </c>
    </row>
    <row r="33" spans="1:66" x14ac:dyDescent="0.3">
      <c r="A33">
        <v>32</v>
      </c>
      <c r="B33" s="2" t="s">
        <v>430</v>
      </c>
      <c r="C33" s="2" t="s">
        <v>449</v>
      </c>
      <c r="D33">
        <v>80</v>
      </c>
      <c r="E33" s="1">
        <v>42982</v>
      </c>
      <c r="F33" s="1">
        <v>42800</v>
      </c>
      <c r="G33" s="1">
        <v>42754.481620370374</v>
      </c>
      <c r="H33" t="s">
        <v>15</v>
      </c>
      <c r="I33" t="s">
        <v>78</v>
      </c>
      <c r="J33" t="s">
        <v>15</v>
      </c>
      <c r="K33" t="s">
        <v>16</v>
      </c>
      <c r="L33">
        <v>65</v>
      </c>
      <c r="M33" t="s">
        <v>16</v>
      </c>
      <c r="N33" t="s">
        <v>16</v>
      </c>
      <c r="O33" t="s">
        <v>17</v>
      </c>
      <c r="P33" t="s">
        <v>75</v>
      </c>
      <c r="Q33" t="s">
        <v>23</v>
      </c>
      <c r="R33" t="s">
        <v>16</v>
      </c>
      <c r="S33" t="s">
        <v>75</v>
      </c>
      <c r="T33" t="s">
        <v>34</v>
      </c>
      <c r="U33" t="s">
        <v>16</v>
      </c>
      <c r="V33" t="s">
        <v>16</v>
      </c>
      <c r="W33" t="s">
        <v>23</v>
      </c>
      <c r="X33" t="s">
        <v>90</v>
      </c>
      <c r="Y33">
        <v>5.1999998092651403</v>
      </c>
      <c r="Z33">
        <v>3</v>
      </c>
      <c r="AA33">
        <v>1.20000004768372</v>
      </c>
      <c r="AB33">
        <v>0.89999997615814198</v>
      </c>
      <c r="AC33">
        <v>207.276290893555</v>
      </c>
      <c r="AD33">
        <v>110</v>
      </c>
      <c r="AE33">
        <v>1</v>
      </c>
      <c r="AF33">
        <v>60</v>
      </c>
      <c r="AG33">
        <v>145</v>
      </c>
      <c r="AH33">
        <v>7</v>
      </c>
      <c r="AI33">
        <v>5</v>
      </c>
      <c r="AJ33">
        <v>29</v>
      </c>
      <c r="AK33">
        <v>8</v>
      </c>
      <c r="AL33">
        <v>7</v>
      </c>
      <c r="AM33">
        <v>20.709999084472699</v>
      </c>
      <c r="AN33" t="s">
        <v>160</v>
      </c>
      <c r="AO33">
        <v>80</v>
      </c>
      <c r="AP33">
        <v>29.384756657483901</v>
      </c>
      <c r="AQ33" s="1" t="s">
        <v>16</v>
      </c>
      <c r="AR33" s="1" t="s">
        <v>16</v>
      </c>
      <c r="AS33" s="1" t="s">
        <v>16</v>
      </c>
      <c r="AT33" s="1">
        <v>42782</v>
      </c>
      <c r="AU33" s="1">
        <v>42754</v>
      </c>
      <c r="AV33" s="1"/>
      <c r="AW33" s="1" t="s">
        <v>16</v>
      </c>
      <c r="AX33" s="1" t="s">
        <v>16</v>
      </c>
      <c r="AY33" t="s">
        <v>16</v>
      </c>
      <c r="AZ33">
        <v>119</v>
      </c>
      <c r="BA33">
        <v>44</v>
      </c>
      <c r="BB33">
        <v>0</v>
      </c>
      <c r="BC33">
        <f>(140-D33)*AO33/(72*BI33)</f>
        <v>15.649452269170615</v>
      </c>
      <c r="BD33">
        <v>143</v>
      </c>
      <c r="BE33">
        <v>4.4000000000000004</v>
      </c>
      <c r="BF33">
        <v>3.2</v>
      </c>
      <c r="BG33">
        <v>10</v>
      </c>
      <c r="BH33">
        <v>291</v>
      </c>
      <c r="BI33">
        <v>4.25999999999999</v>
      </c>
      <c r="BJ33">
        <v>8.9</v>
      </c>
      <c r="BK33">
        <v>8.5</v>
      </c>
      <c r="BL33">
        <v>22.1999999999999</v>
      </c>
      <c r="BM33">
        <v>21.969999999999899</v>
      </c>
      <c r="BN33">
        <v>5.0999999999999899</v>
      </c>
    </row>
    <row r="34" spans="1:66" x14ac:dyDescent="0.3">
      <c r="A34">
        <v>33</v>
      </c>
      <c r="B34" s="2" t="s">
        <v>434</v>
      </c>
      <c r="C34" s="2" t="s">
        <v>448</v>
      </c>
      <c r="D34">
        <v>74</v>
      </c>
      <c r="E34" s="1" t="s">
        <v>16</v>
      </c>
      <c r="F34" s="1">
        <v>42935</v>
      </c>
      <c r="G34" s="1">
        <v>42779.44767361111</v>
      </c>
      <c r="H34" t="s">
        <v>15</v>
      </c>
      <c r="I34" t="s">
        <v>87</v>
      </c>
      <c r="J34" t="s">
        <v>15</v>
      </c>
      <c r="K34" t="s">
        <v>161</v>
      </c>
      <c r="L34">
        <v>60</v>
      </c>
      <c r="M34" t="s">
        <v>16</v>
      </c>
      <c r="N34" t="s">
        <v>15</v>
      </c>
      <c r="O34" t="s">
        <v>25</v>
      </c>
      <c r="P34" t="s">
        <v>75</v>
      </c>
      <c r="Q34" t="s">
        <v>16</v>
      </c>
      <c r="R34" t="s">
        <v>16</v>
      </c>
      <c r="S34" t="s">
        <v>16</v>
      </c>
      <c r="T34" t="s">
        <v>26</v>
      </c>
      <c r="U34" t="s">
        <v>16</v>
      </c>
      <c r="V34" t="s">
        <v>16</v>
      </c>
      <c r="W34" t="s">
        <v>18</v>
      </c>
      <c r="X34" t="s">
        <v>78</v>
      </c>
      <c r="Y34">
        <v>5.4000000953674299</v>
      </c>
      <c r="Z34">
        <v>3.0999999046325701</v>
      </c>
      <c r="AA34">
        <v>1.70000004768372</v>
      </c>
      <c r="AB34">
        <v>1.29999995231628</v>
      </c>
      <c r="AC34">
        <v>362.71966552734398</v>
      </c>
      <c r="AD34">
        <v>185</v>
      </c>
      <c r="AE34">
        <v>1</v>
      </c>
      <c r="AF34">
        <v>45</v>
      </c>
      <c r="AG34">
        <v>106</v>
      </c>
      <c r="AH34">
        <v>9</v>
      </c>
      <c r="AI34">
        <v>6</v>
      </c>
      <c r="AJ34">
        <v>17.670000076293899</v>
      </c>
      <c r="AK34">
        <v>9</v>
      </c>
      <c r="AL34">
        <v>9</v>
      </c>
      <c r="AM34">
        <v>11.7799997329712</v>
      </c>
      <c r="AN34" t="s">
        <v>162</v>
      </c>
      <c r="AO34">
        <v>80</v>
      </c>
      <c r="AP34">
        <v>25.249337204898399</v>
      </c>
      <c r="AQ34" s="1" t="s">
        <v>16</v>
      </c>
      <c r="AR34" s="1" t="s">
        <v>16</v>
      </c>
      <c r="AS34" s="1" t="s">
        <v>16</v>
      </c>
      <c r="AT34" s="1">
        <v>43512</v>
      </c>
      <c r="AU34" s="1">
        <v>42779</v>
      </c>
      <c r="AV34" s="1">
        <v>42779.691898344907</v>
      </c>
      <c r="AW34" s="1">
        <v>42779</v>
      </c>
      <c r="AX34" s="1">
        <v>43479</v>
      </c>
      <c r="AY34" t="s">
        <v>16</v>
      </c>
      <c r="AZ34">
        <v>155</v>
      </c>
      <c r="BA34">
        <v>58</v>
      </c>
      <c r="BB34">
        <v>1</v>
      </c>
      <c r="BC34">
        <f>(140-D34)*AO34/(72*BI34)</f>
        <v>14.048531289910626</v>
      </c>
      <c r="BD34">
        <v>145</v>
      </c>
      <c r="BE34">
        <v>5.7</v>
      </c>
      <c r="BF34">
        <v>3.6</v>
      </c>
      <c r="BG34">
        <v>10.1</v>
      </c>
      <c r="BH34">
        <v>199</v>
      </c>
      <c r="BI34">
        <v>5.21999999999999</v>
      </c>
      <c r="BJ34">
        <v>6.4</v>
      </c>
      <c r="BK34">
        <v>5.9</v>
      </c>
      <c r="BL34">
        <v>6.7</v>
      </c>
      <c r="BM34">
        <v>8.2200000000000006</v>
      </c>
      <c r="BN34">
        <v>5.4</v>
      </c>
    </row>
    <row r="35" spans="1:66" x14ac:dyDescent="0.3">
      <c r="A35">
        <v>34</v>
      </c>
      <c r="B35" s="2" t="s">
        <v>430</v>
      </c>
      <c r="C35" s="2" t="s">
        <v>448</v>
      </c>
      <c r="D35">
        <v>66</v>
      </c>
      <c r="E35" s="1">
        <v>41345</v>
      </c>
      <c r="F35" s="1">
        <v>40574</v>
      </c>
      <c r="G35" s="1">
        <v>40583.483368055553</v>
      </c>
      <c r="H35" t="s">
        <v>15</v>
      </c>
      <c r="I35" t="s">
        <v>78</v>
      </c>
      <c r="J35" t="s">
        <v>15</v>
      </c>
      <c r="K35" t="s">
        <v>16</v>
      </c>
      <c r="L35">
        <v>65</v>
      </c>
      <c r="M35" t="s">
        <v>16</v>
      </c>
      <c r="N35" t="s">
        <v>16</v>
      </c>
      <c r="O35" t="s">
        <v>25</v>
      </c>
      <c r="P35" t="s">
        <v>16</v>
      </c>
      <c r="Q35" t="s">
        <v>16</v>
      </c>
      <c r="R35" t="s">
        <v>153</v>
      </c>
      <c r="S35" t="s">
        <v>16</v>
      </c>
      <c r="T35" t="s">
        <v>18</v>
      </c>
      <c r="U35" t="s">
        <v>163</v>
      </c>
      <c r="V35" t="s">
        <v>16</v>
      </c>
      <c r="W35" t="s">
        <v>18</v>
      </c>
      <c r="X35" t="s">
        <v>78</v>
      </c>
      <c r="Y35">
        <v>5</v>
      </c>
      <c r="Z35">
        <v>2.7999999523162802</v>
      </c>
      <c r="AA35">
        <v>1.1000000238418599</v>
      </c>
      <c r="AB35">
        <v>0.89999997615814198</v>
      </c>
      <c r="AC35">
        <v>181.975997924805</v>
      </c>
      <c r="AD35">
        <v>89</v>
      </c>
      <c r="AE35">
        <v>1</v>
      </c>
      <c r="AF35">
        <v>43</v>
      </c>
      <c r="AG35">
        <v>101</v>
      </c>
      <c r="AH35">
        <v>6</v>
      </c>
      <c r="AI35">
        <v>6</v>
      </c>
      <c r="AJ35">
        <v>16.829999923706101</v>
      </c>
      <c r="AK35">
        <v>7</v>
      </c>
      <c r="AL35">
        <v>10</v>
      </c>
      <c r="AM35">
        <v>10.1000003814697</v>
      </c>
      <c r="AN35" t="s">
        <v>164</v>
      </c>
      <c r="AO35" t="s">
        <v>16</v>
      </c>
      <c r="AP35" t="s">
        <v>16</v>
      </c>
      <c r="AQ35" s="1" t="s">
        <v>16</v>
      </c>
      <c r="AR35" s="1" t="s">
        <v>16</v>
      </c>
      <c r="AS35" s="1">
        <v>41113</v>
      </c>
      <c r="AT35" s="1">
        <v>41155</v>
      </c>
      <c r="AU35" s="1">
        <v>40611</v>
      </c>
      <c r="AV35" s="1"/>
      <c r="AW35" s="1">
        <v>41113</v>
      </c>
      <c r="AX35" s="1">
        <v>41113</v>
      </c>
      <c r="AY35" t="s">
        <v>16</v>
      </c>
      <c r="AZ35">
        <v>192</v>
      </c>
      <c r="BA35">
        <v>84</v>
      </c>
      <c r="BB35">
        <v>1</v>
      </c>
      <c r="BC35">
        <v>10.3</v>
      </c>
      <c r="BD35">
        <v>140</v>
      </c>
      <c r="BE35">
        <v>4.4000000000000004</v>
      </c>
      <c r="BF35">
        <v>3</v>
      </c>
      <c r="BG35">
        <v>10.1</v>
      </c>
      <c r="BH35">
        <v>144</v>
      </c>
      <c r="BI35">
        <v>5.5499999999999901</v>
      </c>
      <c r="BJ35">
        <v>7.5</v>
      </c>
      <c r="BK35">
        <v>4.7999999999999901</v>
      </c>
      <c r="BL35">
        <v>4.5999999999999899</v>
      </c>
      <c r="BM35">
        <v>101.599999999999</v>
      </c>
      <c r="BN35">
        <v>7.9</v>
      </c>
    </row>
    <row r="36" spans="1:66" x14ac:dyDescent="0.3">
      <c r="A36">
        <v>35</v>
      </c>
      <c r="B36" s="2" t="s">
        <v>430</v>
      </c>
      <c r="C36" s="2" t="s">
        <v>448</v>
      </c>
      <c r="D36">
        <v>76</v>
      </c>
      <c r="E36" s="1">
        <v>43442</v>
      </c>
      <c r="F36" s="1">
        <v>41154</v>
      </c>
      <c r="G36" s="1">
        <v>40874.52175925926</v>
      </c>
      <c r="H36" t="s">
        <v>31</v>
      </c>
      <c r="I36" t="s">
        <v>78</v>
      </c>
      <c r="J36" t="s">
        <v>30</v>
      </c>
      <c r="K36" t="s">
        <v>16</v>
      </c>
      <c r="L36">
        <v>35</v>
      </c>
      <c r="M36" t="s">
        <v>16</v>
      </c>
      <c r="N36" t="s">
        <v>16</v>
      </c>
      <c r="O36" t="s">
        <v>25</v>
      </c>
      <c r="P36" t="s">
        <v>75</v>
      </c>
      <c r="Q36" t="s">
        <v>23</v>
      </c>
      <c r="R36" t="s">
        <v>16</v>
      </c>
      <c r="S36" t="s">
        <v>16</v>
      </c>
      <c r="T36" t="s">
        <v>34</v>
      </c>
      <c r="U36" t="s">
        <v>16</v>
      </c>
      <c r="V36" t="s">
        <v>16</v>
      </c>
      <c r="W36" t="s">
        <v>23</v>
      </c>
      <c r="X36" t="s">
        <v>87</v>
      </c>
      <c r="Y36">
        <v>7.0199999809265101</v>
      </c>
      <c r="Z36">
        <v>5.7399997711181596</v>
      </c>
      <c r="AA36">
        <v>1.2400000095367401</v>
      </c>
      <c r="AB36">
        <v>0.91000002622604403</v>
      </c>
      <c r="AC36">
        <v>354.32214355468801</v>
      </c>
      <c r="AD36">
        <v>174</v>
      </c>
      <c r="AE36">
        <v>2.1199998855590798</v>
      </c>
      <c r="AF36">
        <v>51</v>
      </c>
      <c r="AG36">
        <v>82.300003051757798</v>
      </c>
      <c r="AH36" t="s">
        <v>16</v>
      </c>
      <c r="AI36" t="s">
        <v>16</v>
      </c>
      <c r="AJ36" t="s">
        <v>16</v>
      </c>
      <c r="AK36" t="s">
        <v>16</v>
      </c>
      <c r="AL36" t="s">
        <v>16</v>
      </c>
      <c r="AM36" t="s">
        <v>16</v>
      </c>
      <c r="AN36" t="s">
        <v>165</v>
      </c>
      <c r="AO36" t="s">
        <v>16</v>
      </c>
      <c r="AP36" t="s">
        <v>16</v>
      </c>
      <c r="AQ36" s="1">
        <v>43410</v>
      </c>
      <c r="AR36" s="1">
        <v>43410</v>
      </c>
      <c r="AS36" s="1">
        <v>40897</v>
      </c>
      <c r="AT36" s="1">
        <v>35538</v>
      </c>
      <c r="AU36" s="1" t="s">
        <v>16</v>
      </c>
      <c r="AV36" s="1"/>
      <c r="AW36" s="1" t="s">
        <v>16</v>
      </c>
      <c r="AX36" s="1" t="s">
        <v>16</v>
      </c>
      <c r="AY36" t="s">
        <v>16</v>
      </c>
      <c r="AZ36">
        <v>104</v>
      </c>
      <c r="BA36">
        <v>56</v>
      </c>
      <c r="BB36">
        <v>4</v>
      </c>
      <c r="BC36">
        <v>6.5</v>
      </c>
      <c r="BD36">
        <v>140</v>
      </c>
      <c r="BE36">
        <v>3</v>
      </c>
      <c r="BF36">
        <v>3.2</v>
      </c>
      <c r="BG36">
        <v>9.5999999999999908</v>
      </c>
      <c r="BH36">
        <v>378</v>
      </c>
      <c r="BI36">
        <v>8.06</v>
      </c>
      <c r="BJ36">
        <v>9.0999999999999908</v>
      </c>
      <c r="BK36">
        <v>10.1</v>
      </c>
      <c r="BL36">
        <v>10.1999999999999</v>
      </c>
      <c r="BM36">
        <v>196.9</v>
      </c>
    </row>
    <row r="37" spans="1:66" x14ac:dyDescent="0.3">
      <c r="A37">
        <v>36</v>
      </c>
      <c r="B37" s="2" t="s">
        <v>430</v>
      </c>
      <c r="C37" s="2" t="s">
        <v>448</v>
      </c>
      <c r="D37">
        <v>84</v>
      </c>
      <c r="E37" s="1">
        <v>43564</v>
      </c>
      <c r="F37" s="1">
        <v>43531</v>
      </c>
      <c r="G37" s="1">
        <v>43522.478425925925</v>
      </c>
      <c r="H37" t="s">
        <v>17</v>
      </c>
      <c r="I37" t="s">
        <v>16</v>
      </c>
      <c r="J37" t="s">
        <v>28</v>
      </c>
      <c r="K37" t="s">
        <v>157</v>
      </c>
      <c r="L37">
        <v>37</v>
      </c>
      <c r="M37" t="s">
        <v>79</v>
      </c>
      <c r="N37" t="s">
        <v>14</v>
      </c>
      <c r="O37" t="s">
        <v>25</v>
      </c>
      <c r="P37" t="s">
        <v>75</v>
      </c>
      <c r="Q37" t="s">
        <v>19</v>
      </c>
      <c r="R37" t="s">
        <v>76</v>
      </c>
      <c r="S37" t="s">
        <v>16</v>
      </c>
      <c r="T37" t="s">
        <v>34</v>
      </c>
      <c r="U37" t="s">
        <v>16</v>
      </c>
      <c r="V37" t="s">
        <v>16</v>
      </c>
      <c r="W37" t="s">
        <v>34</v>
      </c>
      <c r="X37" t="s">
        <v>87</v>
      </c>
      <c r="Y37">
        <v>5.96000003814697</v>
      </c>
      <c r="Z37">
        <v>3.8699998855590798</v>
      </c>
      <c r="AA37">
        <v>1.1100000143051101</v>
      </c>
      <c r="AB37">
        <v>0.97000002861022905</v>
      </c>
      <c r="AC37">
        <v>256.86410522460898</v>
      </c>
      <c r="AD37">
        <v>115</v>
      </c>
      <c r="AE37">
        <v>1.9400000572204601</v>
      </c>
      <c r="AF37">
        <v>48</v>
      </c>
      <c r="AG37">
        <v>114.790000915527</v>
      </c>
      <c r="AH37">
        <v>4</v>
      </c>
      <c r="AI37">
        <v>4</v>
      </c>
      <c r="AJ37">
        <v>28.700000762939499</v>
      </c>
      <c r="AK37">
        <v>5</v>
      </c>
      <c r="AL37">
        <v>7</v>
      </c>
      <c r="AM37">
        <v>16.399999618530298</v>
      </c>
      <c r="AN37" t="s">
        <v>166</v>
      </c>
      <c r="AO37">
        <v>83</v>
      </c>
      <c r="AP37" t="s">
        <v>16</v>
      </c>
      <c r="AQ37" s="1" t="s">
        <v>16</v>
      </c>
      <c r="AR37" s="1" t="s">
        <v>16</v>
      </c>
      <c r="AS37" s="1" t="s">
        <v>16</v>
      </c>
      <c r="AT37" s="1" t="s">
        <v>16</v>
      </c>
      <c r="AU37" s="1" t="s">
        <v>16</v>
      </c>
      <c r="AV37" s="1"/>
      <c r="AW37" s="1" t="s">
        <v>16</v>
      </c>
      <c r="AX37" s="1" t="s">
        <v>16</v>
      </c>
      <c r="AY37" t="s">
        <v>16</v>
      </c>
      <c r="AZ37">
        <v>132</v>
      </c>
      <c r="BA37">
        <v>61</v>
      </c>
      <c r="BB37">
        <v>0</v>
      </c>
      <c r="BC37">
        <f>(140-D37)*AO37/(72*BI37)</f>
        <v>11.054033485540353</v>
      </c>
      <c r="BD37">
        <v>150</v>
      </c>
      <c r="BE37">
        <v>6</v>
      </c>
      <c r="BF37">
        <v>2.8999999999999901</v>
      </c>
      <c r="BH37">
        <v>375</v>
      </c>
      <c r="BI37">
        <v>5.8399999999999901</v>
      </c>
      <c r="BJ37">
        <v>8.3000000000000007</v>
      </c>
      <c r="BK37">
        <v>10.6999999999999</v>
      </c>
      <c r="BL37">
        <v>17.100000000000001</v>
      </c>
      <c r="BM37">
        <v>140.25</v>
      </c>
    </row>
    <row r="38" spans="1:66" x14ac:dyDescent="0.3">
      <c r="A38">
        <v>37</v>
      </c>
      <c r="B38" s="2" t="s">
        <v>430</v>
      </c>
      <c r="C38" s="2" t="s">
        <v>449</v>
      </c>
      <c r="D38">
        <v>74</v>
      </c>
      <c r="E38" s="1">
        <v>41097</v>
      </c>
      <c r="F38" s="1">
        <v>40471</v>
      </c>
      <c r="G38" s="1">
        <v>40426.408043981479</v>
      </c>
      <c r="H38" t="s">
        <v>15</v>
      </c>
      <c r="I38" t="s">
        <v>78</v>
      </c>
      <c r="J38" t="s">
        <v>15</v>
      </c>
      <c r="K38" t="s">
        <v>16</v>
      </c>
      <c r="L38">
        <v>70</v>
      </c>
      <c r="M38" t="s">
        <v>16</v>
      </c>
      <c r="N38" t="s">
        <v>16</v>
      </c>
      <c r="O38" t="s">
        <v>25</v>
      </c>
      <c r="P38" t="s">
        <v>75</v>
      </c>
      <c r="Q38" t="s">
        <v>19</v>
      </c>
      <c r="R38" t="s">
        <v>167</v>
      </c>
      <c r="S38" t="s">
        <v>133</v>
      </c>
      <c r="T38" t="s">
        <v>39</v>
      </c>
      <c r="U38" t="s">
        <v>16</v>
      </c>
      <c r="V38" t="s">
        <v>16</v>
      </c>
      <c r="W38" t="s">
        <v>19</v>
      </c>
      <c r="X38" t="s">
        <v>87</v>
      </c>
      <c r="Y38">
        <v>4.3000001907348597</v>
      </c>
      <c r="Z38">
        <v>2.9000000953674299</v>
      </c>
      <c r="AA38">
        <v>1.20000004768372</v>
      </c>
      <c r="AB38">
        <v>1.1000000238418599</v>
      </c>
      <c r="AC38">
        <v>174</v>
      </c>
      <c r="AD38">
        <v>88</v>
      </c>
      <c r="AE38">
        <v>1</v>
      </c>
      <c r="AF38">
        <v>65</v>
      </c>
      <c r="AG38">
        <v>135</v>
      </c>
      <c r="AH38">
        <v>5</v>
      </c>
      <c r="AI38">
        <v>3</v>
      </c>
      <c r="AJ38">
        <v>45</v>
      </c>
      <c r="AK38">
        <v>10</v>
      </c>
      <c r="AL38">
        <v>4</v>
      </c>
      <c r="AM38">
        <v>33.75</v>
      </c>
      <c r="AN38" t="s">
        <v>168</v>
      </c>
      <c r="AO38">
        <v>87</v>
      </c>
      <c r="AP38">
        <v>33.984375</v>
      </c>
      <c r="AQ38" s="1">
        <v>39966</v>
      </c>
      <c r="AR38" s="1" t="s">
        <v>16</v>
      </c>
      <c r="AS38" s="1">
        <v>39965</v>
      </c>
      <c r="AT38" s="1">
        <v>39965</v>
      </c>
      <c r="AU38" s="1">
        <v>39965</v>
      </c>
      <c r="AV38" s="1">
        <v>39965.02503931713</v>
      </c>
      <c r="AW38" s="1">
        <v>39965</v>
      </c>
      <c r="AX38" s="1" t="s">
        <v>16</v>
      </c>
      <c r="AY38" t="s">
        <v>16</v>
      </c>
      <c r="AZ38">
        <v>115</v>
      </c>
      <c r="BA38">
        <v>68</v>
      </c>
      <c r="BB38">
        <v>3</v>
      </c>
      <c r="BC38">
        <f>(140-D38)*AO38/(72*BI38)</f>
        <v>14.5</v>
      </c>
      <c r="BD38">
        <v>134</v>
      </c>
      <c r="BE38">
        <v>5.0999999999999899</v>
      </c>
      <c r="BF38">
        <v>2.8999999999999901</v>
      </c>
      <c r="BH38">
        <v>310</v>
      </c>
      <c r="BI38">
        <v>5.5</v>
      </c>
      <c r="BJ38">
        <v>8.0999999999999908</v>
      </c>
      <c r="BK38">
        <v>6</v>
      </c>
      <c r="BL38">
        <v>15.6</v>
      </c>
      <c r="BM38">
        <v>136.599999999999</v>
      </c>
      <c r="BN38">
        <v>7.0999999999999899</v>
      </c>
    </row>
    <row r="39" spans="1:66" x14ac:dyDescent="0.3">
      <c r="A39">
        <v>38</v>
      </c>
      <c r="B39" s="2" t="s">
        <v>434</v>
      </c>
      <c r="C39" s="2" t="s">
        <v>449</v>
      </c>
      <c r="D39">
        <v>82</v>
      </c>
      <c r="E39" s="1">
        <v>45306</v>
      </c>
      <c r="F39" s="1">
        <v>44263</v>
      </c>
      <c r="G39" s="1">
        <v>44050.352754629632</v>
      </c>
      <c r="H39" t="s">
        <v>15</v>
      </c>
      <c r="I39" t="s">
        <v>78</v>
      </c>
      <c r="J39" t="s">
        <v>37</v>
      </c>
      <c r="K39" t="s">
        <v>16</v>
      </c>
      <c r="L39">
        <v>70</v>
      </c>
      <c r="M39" t="s">
        <v>16</v>
      </c>
      <c r="N39" t="s">
        <v>16</v>
      </c>
      <c r="O39" t="s">
        <v>15</v>
      </c>
      <c r="P39" t="s">
        <v>75</v>
      </c>
      <c r="Q39" t="s">
        <v>33</v>
      </c>
      <c r="R39" t="s">
        <v>16</v>
      </c>
      <c r="S39" t="s">
        <v>16</v>
      </c>
      <c r="T39" t="s">
        <v>18</v>
      </c>
      <c r="U39" t="s">
        <v>96</v>
      </c>
      <c r="V39" t="s">
        <v>16</v>
      </c>
      <c r="W39" t="s">
        <v>18</v>
      </c>
      <c r="X39" t="s">
        <v>16</v>
      </c>
      <c r="Y39">
        <v>3.9000000953674299</v>
      </c>
      <c r="Z39">
        <v>2.7599999904632599</v>
      </c>
      <c r="AA39">
        <v>1.1900000572204601</v>
      </c>
      <c r="AB39">
        <v>0.97000002861022905</v>
      </c>
      <c r="AC39">
        <v>136.40403747558599</v>
      </c>
      <c r="AD39">
        <v>86</v>
      </c>
      <c r="AE39">
        <v>1</v>
      </c>
      <c r="AF39" t="s">
        <v>16</v>
      </c>
      <c r="AG39">
        <v>67.300003051757798</v>
      </c>
      <c r="AH39">
        <v>5.5100002288818404</v>
      </c>
      <c r="AI39">
        <v>4.6399998664856001</v>
      </c>
      <c r="AJ39">
        <v>14.5</v>
      </c>
      <c r="AK39">
        <v>5.9000000953674299</v>
      </c>
      <c r="AL39">
        <v>6.1900000572204599</v>
      </c>
      <c r="AM39">
        <v>10.8699998855591</v>
      </c>
      <c r="AN39" t="s">
        <v>169</v>
      </c>
      <c r="AO39">
        <v>65</v>
      </c>
      <c r="AP39">
        <v>28.8888888888889</v>
      </c>
      <c r="AQ39" s="1">
        <v>44059</v>
      </c>
      <c r="AR39" s="1" t="s">
        <v>16</v>
      </c>
      <c r="AS39" s="1" t="s">
        <v>16</v>
      </c>
      <c r="AT39" s="1" t="s">
        <v>16</v>
      </c>
      <c r="AU39" s="1">
        <v>44049</v>
      </c>
      <c r="AV39" s="1">
        <v>44049.797472071761</v>
      </c>
      <c r="AW39" s="1">
        <v>44049</v>
      </c>
      <c r="AX39" s="1" t="s">
        <v>16</v>
      </c>
      <c r="AY39" t="s">
        <v>16</v>
      </c>
      <c r="AZ39">
        <v>181</v>
      </c>
      <c r="BA39">
        <v>97</v>
      </c>
      <c r="BB39">
        <v>1</v>
      </c>
      <c r="BC39">
        <f>(140-D39)*AO39/(72*BI39)</f>
        <v>8.7560386473429936</v>
      </c>
      <c r="BD39">
        <v>137</v>
      </c>
      <c r="BE39">
        <v>4.7999999999999901</v>
      </c>
      <c r="BF39">
        <v>3.7</v>
      </c>
      <c r="BG39">
        <v>12.8</v>
      </c>
      <c r="BH39">
        <v>174</v>
      </c>
      <c r="BI39">
        <v>5.98</v>
      </c>
      <c r="BJ39">
        <v>9</v>
      </c>
      <c r="BK39">
        <v>4.5999999999999899</v>
      </c>
      <c r="BL39">
        <v>5.9</v>
      </c>
      <c r="BM39">
        <v>3.3999999999999901</v>
      </c>
      <c r="BN39">
        <v>6.5</v>
      </c>
    </row>
    <row r="40" spans="1:66" x14ac:dyDescent="0.3">
      <c r="A40">
        <v>39</v>
      </c>
      <c r="B40" s="2" t="s">
        <v>430</v>
      </c>
      <c r="C40" s="2" t="s">
        <v>448</v>
      </c>
      <c r="D40">
        <v>73</v>
      </c>
      <c r="E40" s="1">
        <v>44036</v>
      </c>
      <c r="F40" s="1">
        <v>42492</v>
      </c>
      <c r="G40" s="1">
        <v>42492.56144675926</v>
      </c>
      <c r="H40" t="s">
        <v>15</v>
      </c>
      <c r="I40" t="s">
        <v>78</v>
      </c>
      <c r="J40" t="s">
        <v>15</v>
      </c>
      <c r="K40" t="s">
        <v>145</v>
      </c>
      <c r="L40">
        <v>60</v>
      </c>
      <c r="M40" t="s">
        <v>16</v>
      </c>
      <c r="N40" t="s">
        <v>16</v>
      </c>
      <c r="O40" t="s">
        <v>17</v>
      </c>
      <c r="P40" t="s">
        <v>85</v>
      </c>
      <c r="Q40" t="s">
        <v>18</v>
      </c>
      <c r="R40" t="s">
        <v>16</v>
      </c>
      <c r="S40" t="s">
        <v>16</v>
      </c>
      <c r="T40" t="s">
        <v>18</v>
      </c>
      <c r="U40" t="s">
        <v>16</v>
      </c>
      <c r="V40" t="s">
        <v>16</v>
      </c>
      <c r="W40" t="s">
        <v>19</v>
      </c>
      <c r="X40" t="s">
        <v>78</v>
      </c>
      <c r="Y40">
        <v>5.1999998092651403</v>
      </c>
      <c r="Z40">
        <v>3.0999999046325701</v>
      </c>
      <c r="AA40">
        <v>1.29999995231628</v>
      </c>
      <c r="AB40">
        <v>1.1000000238418599</v>
      </c>
      <c r="AC40">
        <v>248.84217834472699</v>
      </c>
      <c r="AD40">
        <v>126</v>
      </c>
      <c r="AE40">
        <v>1</v>
      </c>
      <c r="AF40">
        <v>48</v>
      </c>
      <c r="AG40">
        <v>107</v>
      </c>
      <c r="AH40">
        <v>8</v>
      </c>
      <c r="AI40">
        <v>8</v>
      </c>
      <c r="AJ40">
        <v>13.3800001144409</v>
      </c>
      <c r="AK40">
        <v>8</v>
      </c>
      <c r="AL40">
        <v>8</v>
      </c>
      <c r="AM40">
        <v>13.3800001144409</v>
      </c>
      <c r="AN40" t="s">
        <v>170</v>
      </c>
      <c r="AO40">
        <v>58</v>
      </c>
      <c r="AP40">
        <v>17.703977290070501</v>
      </c>
      <c r="AQ40" s="1">
        <v>43880</v>
      </c>
      <c r="AR40" s="1" t="s">
        <v>16</v>
      </c>
      <c r="AS40" s="1">
        <v>43881</v>
      </c>
      <c r="AT40" s="1">
        <v>42490</v>
      </c>
      <c r="AU40" s="1">
        <v>41995</v>
      </c>
      <c r="AV40" s="1">
        <v>41995.765233101847</v>
      </c>
      <c r="AW40" s="1">
        <v>43096</v>
      </c>
      <c r="AX40" s="1">
        <v>43906</v>
      </c>
      <c r="AY40" t="s">
        <v>16</v>
      </c>
      <c r="AZ40">
        <v>176</v>
      </c>
      <c r="BA40">
        <v>74</v>
      </c>
      <c r="BB40">
        <v>6</v>
      </c>
      <c r="BC40">
        <f>(140-D40)*AO40/(72*BI40)</f>
        <v>5.7848040967012029</v>
      </c>
      <c r="BD40">
        <v>135</v>
      </c>
      <c r="BE40">
        <v>3.2999999999999901</v>
      </c>
      <c r="BF40">
        <v>2.6</v>
      </c>
      <c r="BG40">
        <v>8.1999999999999904</v>
      </c>
      <c r="BH40">
        <v>272</v>
      </c>
      <c r="BI40">
        <v>9.33</v>
      </c>
      <c r="BJ40">
        <v>7.0999999999999899</v>
      </c>
      <c r="BK40">
        <v>8</v>
      </c>
      <c r="BL40">
        <v>11.8</v>
      </c>
      <c r="BM40">
        <v>280.94</v>
      </c>
      <c r="BN40">
        <v>6.2</v>
      </c>
    </row>
    <row r="41" spans="1:66" s="2" customFormat="1" x14ac:dyDescent="0.3">
      <c r="A41">
        <v>40</v>
      </c>
      <c r="B41" s="2" t="s">
        <v>430</v>
      </c>
      <c r="C41" s="2" t="s">
        <v>448</v>
      </c>
      <c r="D41" s="2">
        <v>88</v>
      </c>
      <c r="E41" s="3">
        <v>41670</v>
      </c>
      <c r="F41" s="3">
        <v>41641</v>
      </c>
      <c r="G41" s="3">
        <v>41659.37027777778</v>
      </c>
      <c r="H41" s="2" t="s">
        <v>15</v>
      </c>
      <c r="I41" s="2" t="s">
        <v>78</v>
      </c>
      <c r="J41" s="2" t="s">
        <v>15</v>
      </c>
      <c r="K41" s="2" t="s">
        <v>16</v>
      </c>
      <c r="L41" s="2">
        <v>60</v>
      </c>
      <c r="M41" s="2" t="s">
        <v>16</v>
      </c>
      <c r="N41" s="2" t="s">
        <v>16</v>
      </c>
      <c r="O41" s="2" t="s">
        <v>25</v>
      </c>
      <c r="P41" s="2" t="s">
        <v>75</v>
      </c>
      <c r="Q41" s="2" t="s">
        <v>18</v>
      </c>
      <c r="R41" s="2" t="s">
        <v>16</v>
      </c>
      <c r="S41" s="2" t="s">
        <v>16</v>
      </c>
      <c r="T41" s="2" t="s">
        <v>19</v>
      </c>
      <c r="U41" s="2" t="s">
        <v>110</v>
      </c>
      <c r="V41" s="2" t="s">
        <v>16</v>
      </c>
      <c r="W41" s="2" t="s">
        <v>16</v>
      </c>
      <c r="X41" s="2" t="s">
        <v>16</v>
      </c>
      <c r="Y41" s="2">
        <v>4.6100001335143999</v>
      </c>
      <c r="Z41" s="2">
        <v>2.7699999809265101</v>
      </c>
      <c r="AA41" s="2">
        <v>1.3999999761581401</v>
      </c>
      <c r="AB41" s="2">
        <v>0.99000000953674305</v>
      </c>
      <c r="AC41" s="2">
        <v>204.46315002441401</v>
      </c>
      <c r="AD41" s="2">
        <v>113</v>
      </c>
      <c r="AE41" s="2">
        <v>1.1900000572204601</v>
      </c>
      <c r="AF41" s="2" t="s">
        <v>16</v>
      </c>
      <c r="AG41" s="2">
        <v>117</v>
      </c>
      <c r="AH41" s="2">
        <v>4.3699998855590803</v>
      </c>
      <c r="AI41" s="2">
        <v>9.8299999237060494</v>
      </c>
      <c r="AJ41" s="2">
        <v>11.8999996185303</v>
      </c>
      <c r="AK41" s="2">
        <v>6.8600001335143999</v>
      </c>
      <c r="AL41" s="2">
        <v>7.7199997901916504</v>
      </c>
      <c r="AM41" s="2">
        <v>15.1599998474121</v>
      </c>
      <c r="AN41" s="2" t="s">
        <v>171</v>
      </c>
      <c r="AO41" s="2" t="s">
        <v>16</v>
      </c>
      <c r="AP41" s="2" t="s">
        <v>16</v>
      </c>
      <c r="AQ41" s="3" t="s">
        <v>16</v>
      </c>
      <c r="AR41" s="3">
        <v>39806</v>
      </c>
      <c r="AS41" s="3">
        <v>39811</v>
      </c>
      <c r="AT41" s="3">
        <v>39806</v>
      </c>
      <c r="AU41" s="3">
        <v>39763</v>
      </c>
      <c r="AV41" s="1">
        <v>39763.734341053241</v>
      </c>
      <c r="AW41" s="3">
        <v>39763</v>
      </c>
      <c r="AX41" s="3" t="s">
        <v>16</v>
      </c>
      <c r="AY41" s="2" t="s">
        <v>16</v>
      </c>
      <c r="AZ41" s="2">
        <v>137</v>
      </c>
      <c r="BA41" s="2">
        <v>49</v>
      </c>
      <c r="BB41" s="2">
        <v>0</v>
      </c>
      <c r="BC41" s="2">
        <v>28.1</v>
      </c>
      <c r="BD41">
        <v>137</v>
      </c>
      <c r="BE41">
        <v>5</v>
      </c>
      <c r="BF41">
        <v>4.2999999999999901</v>
      </c>
      <c r="BG41">
        <v>11.6999999999999</v>
      </c>
      <c r="BH41">
        <v>91</v>
      </c>
      <c r="BI41">
        <v>2.2200000000000002</v>
      </c>
      <c r="BJ41">
        <v>9.6999999999999904</v>
      </c>
      <c r="BK41">
        <v>4.7</v>
      </c>
      <c r="BL41">
        <v>8.5</v>
      </c>
      <c r="BM41">
        <v>169.55</v>
      </c>
      <c r="BN41">
        <v>8.5</v>
      </c>
    </row>
    <row r="42" spans="1:66" x14ac:dyDescent="0.3">
      <c r="A42">
        <v>41</v>
      </c>
      <c r="B42" t="s">
        <v>430</v>
      </c>
      <c r="C42" s="2" t="s">
        <v>449</v>
      </c>
      <c r="D42">
        <v>85</v>
      </c>
      <c r="E42" s="1">
        <v>44624</v>
      </c>
      <c r="F42" s="1">
        <v>44455</v>
      </c>
      <c r="G42" s="1">
        <v>44476.348738425928</v>
      </c>
      <c r="H42" t="s">
        <v>16</v>
      </c>
      <c r="I42" t="s">
        <v>16</v>
      </c>
      <c r="J42" t="s">
        <v>16</v>
      </c>
      <c r="K42" t="s">
        <v>74</v>
      </c>
      <c r="L42">
        <v>60</v>
      </c>
      <c r="M42" t="s">
        <v>16</v>
      </c>
      <c r="N42" t="s">
        <v>16</v>
      </c>
      <c r="O42" t="s">
        <v>25</v>
      </c>
      <c r="P42" t="s">
        <v>75</v>
      </c>
      <c r="Q42" t="s">
        <v>16</v>
      </c>
      <c r="R42" t="s">
        <v>16</v>
      </c>
      <c r="S42" t="s">
        <v>16</v>
      </c>
      <c r="T42" t="s">
        <v>19</v>
      </c>
      <c r="U42" t="s">
        <v>16</v>
      </c>
      <c r="V42" t="s">
        <v>16</v>
      </c>
      <c r="W42" t="s">
        <v>19</v>
      </c>
      <c r="X42" t="s">
        <v>15</v>
      </c>
      <c r="Y42">
        <v>4.4000000953674299</v>
      </c>
      <c r="Z42">
        <v>2.9000000953674299</v>
      </c>
      <c r="AA42">
        <v>1.1000000238418599</v>
      </c>
      <c r="AB42">
        <v>0.89999997615814198</v>
      </c>
      <c r="AC42">
        <v>147.83071899414099</v>
      </c>
      <c r="AD42">
        <v>79</v>
      </c>
      <c r="AE42">
        <v>1</v>
      </c>
      <c r="AF42">
        <v>33</v>
      </c>
      <c r="AG42">
        <v>123</v>
      </c>
      <c r="AH42">
        <v>4.3499999046325701</v>
      </c>
      <c r="AI42">
        <v>6.4200000762939498</v>
      </c>
      <c r="AJ42">
        <v>19.159999847412099</v>
      </c>
      <c r="AK42">
        <v>7.8299999237060502</v>
      </c>
      <c r="AL42">
        <v>4.3499999046325701</v>
      </c>
      <c r="AM42">
        <v>28.280000686645501</v>
      </c>
      <c r="AN42" t="s">
        <v>172</v>
      </c>
      <c r="AO42">
        <v>70</v>
      </c>
      <c r="AP42">
        <v>24.2214532871972</v>
      </c>
      <c r="AQ42" s="1" t="s">
        <v>16</v>
      </c>
      <c r="AR42" s="1" t="s">
        <v>16</v>
      </c>
      <c r="AS42" s="1" t="s">
        <v>16</v>
      </c>
      <c r="AT42" s="1">
        <v>44476</v>
      </c>
      <c r="AU42" s="1" t="s">
        <v>16</v>
      </c>
      <c r="AV42" s="1">
        <v>42873.679369328704</v>
      </c>
      <c r="AW42" s="1" t="s">
        <v>16</v>
      </c>
      <c r="AX42" s="1" t="s">
        <v>16</v>
      </c>
      <c r="AY42" t="s">
        <v>16</v>
      </c>
      <c r="AZ42">
        <v>149</v>
      </c>
      <c r="BA42">
        <v>72</v>
      </c>
      <c r="BB42">
        <v>2</v>
      </c>
      <c r="BC42">
        <f>(140-D42)*AO42/(72*BI42)</f>
        <v>8.5968202929617856</v>
      </c>
      <c r="BD42">
        <v>128</v>
      </c>
      <c r="BE42">
        <v>4.4000000000000004</v>
      </c>
      <c r="BF42">
        <v>2.7999999999999901</v>
      </c>
      <c r="BG42">
        <v>6.2999999999999901</v>
      </c>
      <c r="BH42">
        <v>378</v>
      </c>
      <c r="BI42">
        <v>6.21999999999999</v>
      </c>
      <c r="BJ42">
        <v>9.1999999999999904</v>
      </c>
      <c r="BK42">
        <v>7.2</v>
      </c>
      <c r="BL42">
        <v>8.1999999999999904</v>
      </c>
      <c r="BM42">
        <v>53.469999999999899</v>
      </c>
      <c r="BN42">
        <v>5.9</v>
      </c>
    </row>
    <row r="43" spans="1:66" x14ac:dyDescent="0.3">
      <c r="A43">
        <v>42</v>
      </c>
      <c r="B43" s="2" t="s">
        <v>430</v>
      </c>
      <c r="C43" s="2" t="s">
        <v>448</v>
      </c>
      <c r="D43">
        <v>79</v>
      </c>
      <c r="E43" s="1" t="s">
        <v>16</v>
      </c>
      <c r="F43" s="1">
        <v>43851</v>
      </c>
      <c r="G43" s="1">
        <v>43825.733020833337</v>
      </c>
      <c r="H43" t="s">
        <v>15</v>
      </c>
      <c r="I43" t="s">
        <v>78</v>
      </c>
      <c r="J43" t="s">
        <v>15</v>
      </c>
      <c r="K43" t="s">
        <v>16</v>
      </c>
      <c r="L43">
        <v>65</v>
      </c>
      <c r="M43" t="s">
        <v>16</v>
      </c>
      <c r="N43" t="s">
        <v>16</v>
      </c>
      <c r="O43" t="s">
        <v>25</v>
      </c>
      <c r="P43" t="s">
        <v>75</v>
      </c>
      <c r="Q43" t="s">
        <v>23</v>
      </c>
      <c r="R43" t="s">
        <v>173</v>
      </c>
      <c r="S43" t="s">
        <v>16</v>
      </c>
      <c r="T43" t="s">
        <v>19</v>
      </c>
      <c r="U43" t="s">
        <v>16</v>
      </c>
      <c r="V43" t="s">
        <v>16</v>
      </c>
      <c r="W43" t="s">
        <v>23</v>
      </c>
      <c r="X43" t="s">
        <v>78</v>
      </c>
      <c r="Y43">
        <v>3.9000000953674299</v>
      </c>
      <c r="Z43">
        <v>2.5</v>
      </c>
      <c r="AA43">
        <v>1.20000004768372</v>
      </c>
      <c r="AB43">
        <v>1.1000000238418599</v>
      </c>
      <c r="AC43">
        <v>149.53549194335901</v>
      </c>
      <c r="AD43">
        <v>84</v>
      </c>
      <c r="AE43">
        <v>1</v>
      </c>
      <c r="AF43">
        <v>50</v>
      </c>
      <c r="AG43">
        <v>64.5</v>
      </c>
      <c r="AH43">
        <v>6.4499998092651403</v>
      </c>
      <c r="AI43">
        <v>5.1799998283386204</v>
      </c>
      <c r="AJ43">
        <v>12.449999809265099</v>
      </c>
      <c r="AK43">
        <v>5.6999998092651403</v>
      </c>
      <c r="AL43">
        <v>6.0799999237060502</v>
      </c>
      <c r="AM43">
        <v>10.6099996566772</v>
      </c>
      <c r="AN43" t="s">
        <v>174</v>
      </c>
      <c r="AO43">
        <v>72</v>
      </c>
      <c r="AP43">
        <v>26.1286108288576</v>
      </c>
      <c r="AQ43" s="1" t="s">
        <v>16</v>
      </c>
      <c r="AR43" s="1" t="s">
        <v>16</v>
      </c>
      <c r="AS43" s="1" t="s">
        <v>16</v>
      </c>
      <c r="AT43" s="1" t="s">
        <v>16</v>
      </c>
      <c r="AU43" s="1">
        <v>40603</v>
      </c>
      <c r="AV43" s="1">
        <v>40603.58802422454</v>
      </c>
      <c r="AW43" s="1">
        <v>43821</v>
      </c>
      <c r="AX43" s="1" t="s">
        <v>16</v>
      </c>
      <c r="AY43" t="s">
        <v>16</v>
      </c>
      <c r="AZ43">
        <v>132</v>
      </c>
      <c r="BA43">
        <v>82</v>
      </c>
      <c r="BB43">
        <v>1</v>
      </c>
      <c r="BC43">
        <f>(140-D43)*AO43/(72*BI43)</f>
        <v>4.7693510555121561</v>
      </c>
      <c r="BD43">
        <v>136</v>
      </c>
      <c r="BE43">
        <v>4.5999999999999899</v>
      </c>
      <c r="BF43">
        <v>3.3999999999999901</v>
      </c>
      <c r="BH43">
        <v>294</v>
      </c>
      <c r="BI43">
        <v>12.7899999999999</v>
      </c>
      <c r="BJ43">
        <v>9.1999999999999904</v>
      </c>
      <c r="BK43">
        <v>4.7999999999999901</v>
      </c>
      <c r="BL43">
        <v>10.3</v>
      </c>
      <c r="BM43">
        <v>60.7</v>
      </c>
      <c r="BN43">
        <v>8.9</v>
      </c>
    </row>
    <row r="44" spans="1:66" x14ac:dyDescent="0.3">
      <c r="A44">
        <v>43</v>
      </c>
      <c r="B44" s="2" t="s">
        <v>430</v>
      </c>
      <c r="C44" s="2" t="s">
        <v>448</v>
      </c>
      <c r="D44">
        <v>82</v>
      </c>
      <c r="E44" s="1">
        <v>42088</v>
      </c>
      <c r="F44" s="1">
        <v>42034</v>
      </c>
      <c r="G44" s="1">
        <v>41969.424953703703</v>
      </c>
      <c r="H44" t="s">
        <v>15</v>
      </c>
      <c r="I44" t="s">
        <v>78</v>
      </c>
      <c r="J44" t="s">
        <v>24</v>
      </c>
      <c r="K44" t="s">
        <v>16</v>
      </c>
      <c r="L44">
        <v>50</v>
      </c>
      <c r="M44" t="s">
        <v>15</v>
      </c>
      <c r="N44" t="s">
        <v>28</v>
      </c>
      <c r="O44" t="s">
        <v>17</v>
      </c>
      <c r="P44" t="s">
        <v>75</v>
      </c>
      <c r="Q44" t="s">
        <v>33</v>
      </c>
      <c r="R44" t="s">
        <v>16</v>
      </c>
      <c r="S44" t="s">
        <v>16</v>
      </c>
      <c r="T44" t="s">
        <v>18</v>
      </c>
      <c r="U44" t="s">
        <v>110</v>
      </c>
      <c r="V44" t="s">
        <v>93</v>
      </c>
      <c r="W44" t="s">
        <v>19</v>
      </c>
      <c r="X44" t="s">
        <v>87</v>
      </c>
      <c r="Y44">
        <v>5.4499998092651403</v>
      </c>
      <c r="Z44">
        <v>3.3800001144409202</v>
      </c>
      <c r="AA44">
        <v>1.1599999666214</v>
      </c>
      <c r="AB44">
        <v>1</v>
      </c>
      <c r="AC44">
        <v>232.58860778808599</v>
      </c>
      <c r="AD44">
        <v>116</v>
      </c>
      <c r="AE44">
        <v>1.25</v>
      </c>
      <c r="AF44">
        <v>52</v>
      </c>
      <c r="AG44">
        <v>111</v>
      </c>
      <c r="AH44">
        <v>7.8000001907348597</v>
      </c>
      <c r="AI44">
        <v>7.6999998092651403</v>
      </c>
      <c r="AJ44">
        <v>14.420000076293899</v>
      </c>
      <c r="AK44">
        <v>10.199999809265099</v>
      </c>
      <c r="AL44">
        <v>10</v>
      </c>
      <c r="AM44">
        <v>11.1000003814697</v>
      </c>
      <c r="AN44" t="s">
        <v>175</v>
      </c>
      <c r="AO44">
        <v>90</v>
      </c>
      <c r="AP44">
        <v>27.7777777777778</v>
      </c>
      <c r="AQ44" s="1" t="s">
        <v>16</v>
      </c>
      <c r="AR44" s="1" t="s">
        <v>16</v>
      </c>
      <c r="AS44" s="1" t="s">
        <v>16</v>
      </c>
      <c r="AT44" s="1" t="s">
        <v>16</v>
      </c>
      <c r="AU44" s="1" t="s">
        <v>16</v>
      </c>
      <c r="AV44" s="1"/>
      <c r="AW44" s="1" t="s">
        <v>16</v>
      </c>
      <c r="AX44" s="1">
        <v>39999</v>
      </c>
      <c r="AY44" t="s">
        <v>16</v>
      </c>
      <c r="AZ44">
        <v>111</v>
      </c>
      <c r="BA44">
        <v>58</v>
      </c>
      <c r="BB44">
        <v>2</v>
      </c>
      <c r="BC44">
        <f>(140-D44)*AO44/(72*BI44)</f>
        <v>17.386091127098364</v>
      </c>
      <c r="BD44">
        <v>141</v>
      </c>
      <c r="BE44">
        <v>5.5</v>
      </c>
      <c r="BF44">
        <v>3</v>
      </c>
      <c r="BG44">
        <v>7.7</v>
      </c>
      <c r="BH44">
        <v>213</v>
      </c>
      <c r="BI44">
        <v>4.1699999999999902</v>
      </c>
      <c r="BJ44">
        <v>7.7</v>
      </c>
      <c r="BK44">
        <v>8</v>
      </c>
      <c r="BL44">
        <v>12.1999999999999</v>
      </c>
      <c r="BM44">
        <v>94.37</v>
      </c>
    </row>
    <row r="45" spans="1:66" x14ac:dyDescent="0.3">
      <c r="A45">
        <v>44</v>
      </c>
      <c r="B45" t="s">
        <v>430</v>
      </c>
      <c r="C45" s="2" t="s">
        <v>449</v>
      </c>
      <c r="D45">
        <v>65</v>
      </c>
      <c r="E45" s="1">
        <v>41717</v>
      </c>
      <c r="F45" s="1">
        <v>40181</v>
      </c>
      <c r="G45" s="1">
        <v>40085.428865740738</v>
      </c>
      <c r="H45" t="s">
        <v>15</v>
      </c>
      <c r="I45" t="s">
        <v>78</v>
      </c>
      <c r="J45" t="s">
        <v>15</v>
      </c>
      <c r="K45" t="s">
        <v>84</v>
      </c>
      <c r="L45">
        <v>60</v>
      </c>
      <c r="M45" t="s">
        <v>15</v>
      </c>
      <c r="N45" t="s">
        <v>15</v>
      </c>
      <c r="O45" t="s">
        <v>17</v>
      </c>
      <c r="P45" t="s">
        <v>16</v>
      </c>
      <c r="Q45" t="s">
        <v>16</v>
      </c>
      <c r="R45" t="s">
        <v>16</v>
      </c>
      <c r="S45" t="s">
        <v>92</v>
      </c>
      <c r="T45" t="s">
        <v>39</v>
      </c>
      <c r="U45" t="s">
        <v>16</v>
      </c>
      <c r="V45" t="s">
        <v>16</v>
      </c>
      <c r="W45" t="s">
        <v>19</v>
      </c>
      <c r="X45" t="s">
        <v>90</v>
      </c>
      <c r="Y45">
        <v>5</v>
      </c>
      <c r="Z45">
        <v>3.0999999046325701</v>
      </c>
      <c r="AA45">
        <v>1.20000004768372</v>
      </c>
      <c r="AB45">
        <v>1.20000004768372</v>
      </c>
      <c r="AC45">
        <v>234</v>
      </c>
      <c r="AD45">
        <v>123</v>
      </c>
      <c r="AE45">
        <v>1</v>
      </c>
      <c r="AF45">
        <v>77</v>
      </c>
      <c r="AG45">
        <v>115</v>
      </c>
      <c r="AH45">
        <v>7</v>
      </c>
      <c r="AI45">
        <v>7</v>
      </c>
      <c r="AJ45">
        <v>16.430000305175799</v>
      </c>
      <c r="AK45">
        <v>7</v>
      </c>
      <c r="AL45">
        <v>9</v>
      </c>
      <c r="AM45">
        <v>12.7799997329712</v>
      </c>
      <c r="AN45" t="s">
        <v>176</v>
      </c>
      <c r="AO45">
        <v>77</v>
      </c>
      <c r="AP45">
        <v>27.281746031746</v>
      </c>
      <c r="AQ45" s="1" t="s">
        <v>16</v>
      </c>
      <c r="AR45" s="1" t="s">
        <v>16</v>
      </c>
      <c r="AS45" s="1" t="s">
        <v>16</v>
      </c>
      <c r="AT45" s="1" t="s">
        <v>16</v>
      </c>
      <c r="AU45" s="1">
        <v>40255</v>
      </c>
      <c r="AV45" s="1">
        <v>40025.802237731477</v>
      </c>
      <c r="AW45" s="1" t="s">
        <v>16</v>
      </c>
      <c r="AX45" s="1" t="s">
        <v>16</v>
      </c>
      <c r="AY45" t="s">
        <v>21</v>
      </c>
      <c r="AZ45">
        <v>161</v>
      </c>
      <c r="BA45">
        <v>78</v>
      </c>
      <c r="BB45">
        <v>3</v>
      </c>
      <c r="BC45">
        <f>(140-D45)*AO45/(72*BI45)</f>
        <v>17.474582425562854</v>
      </c>
      <c r="BD45">
        <v>141</v>
      </c>
      <c r="BE45">
        <v>4.7999999999999901</v>
      </c>
      <c r="BF45">
        <v>3.1</v>
      </c>
      <c r="BG45">
        <v>10.6999999999999</v>
      </c>
      <c r="BH45">
        <v>293</v>
      </c>
      <c r="BI45">
        <v>4.5899999999999901</v>
      </c>
      <c r="BJ45">
        <v>7.9</v>
      </c>
      <c r="BK45">
        <v>10.0299999999999</v>
      </c>
      <c r="BL45">
        <v>10.3</v>
      </c>
      <c r="BM45">
        <v>310.91000000000003</v>
      </c>
      <c r="BN45">
        <v>6.5999999999999899</v>
      </c>
    </row>
    <row r="46" spans="1:66" x14ac:dyDescent="0.3">
      <c r="A46">
        <v>45</v>
      </c>
      <c r="B46" t="s">
        <v>430</v>
      </c>
      <c r="C46" s="2" t="s">
        <v>448</v>
      </c>
      <c r="D46">
        <v>80</v>
      </c>
      <c r="E46" s="1">
        <v>41819</v>
      </c>
      <c r="F46" s="1">
        <v>40975</v>
      </c>
      <c r="G46" s="1">
        <v>40709.304537037038</v>
      </c>
      <c r="H46" t="s">
        <v>15</v>
      </c>
      <c r="I46" t="s">
        <v>16</v>
      </c>
      <c r="J46" t="s">
        <v>37</v>
      </c>
      <c r="K46" t="s">
        <v>177</v>
      </c>
      <c r="L46">
        <v>70</v>
      </c>
      <c r="M46" t="s">
        <v>16</v>
      </c>
      <c r="N46" t="s">
        <v>16</v>
      </c>
      <c r="O46" t="s">
        <v>25</v>
      </c>
      <c r="P46" t="s">
        <v>85</v>
      </c>
      <c r="Q46" t="s">
        <v>18</v>
      </c>
      <c r="R46" t="s">
        <v>16</v>
      </c>
      <c r="S46" t="s">
        <v>16</v>
      </c>
      <c r="T46" t="s">
        <v>19</v>
      </c>
      <c r="U46" t="s">
        <v>178</v>
      </c>
      <c r="V46" t="s">
        <v>16</v>
      </c>
      <c r="W46" t="s">
        <v>18</v>
      </c>
      <c r="X46" t="s">
        <v>87</v>
      </c>
      <c r="Y46">
        <v>4.4000000953674299</v>
      </c>
      <c r="Z46">
        <v>2.7000000476837198</v>
      </c>
      <c r="AA46">
        <v>1.3999999761581401</v>
      </c>
      <c r="AB46" t="s">
        <v>16</v>
      </c>
      <c r="AC46" t="s">
        <v>16</v>
      </c>
      <c r="AD46" t="s">
        <v>16</v>
      </c>
      <c r="AE46">
        <v>1</v>
      </c>
      <c r="AF46">
        <v>50</v>
      </c>
      <c r="AG46">
        <v>118</v>
      </c>
      <c r="AH46">
        <v>8</v>
      </c>
      <c r="AI46">
        <v>4</v>
      </c>
      <c r="AJ46">
        <v>29.5</v>
      </c>
      <c r="AK46">
        <v>6</v>
      </c>
      <c r="AL46">
        <v>4</v>
      </c>
      <c r="AM46">
        <v>29.5</v>
      </c>
      <c r="AN46" t="s">
        <v>179</v>
      </c>
      <c r="AO46" t="s">
        <v>16</v>
      </c>
      <c r="AP46" t="s">
        <v>16</v>
      </c>
      <c r="AQ46" s="1">
        <v>40885</v>
      </c>
      <c r="AR46" s="1" t="s">
        <v>16</v>
      </c>
      <c r="AS46" s="1" t="s">
        <v>16</v>
      </c>
      <c r="AT46" s="1">
        <v>40882</v>
      </c>
      <c r="AU46" s="1">
        <v>40664</v>
      </c>
      <c r="AV46" s="1"/>
      <c r="AW46" s="1" t="s">
        <v>16</v>
      </c>
      <c r="AX46" s="1" t="s">
        <v>16</v>
      </c>
      <c r="AY46" t="s">
        <v>16</v>
      </c>
      <c r="AZ46">
        <v>190</v>
      </c>
      <c r="BA46">
        <v>70</v>
      </c>
      <c r="BB46">
        <v>2</v>
      </c>
      <c r="BC46">
        <v>8.1</v>
      </c>
      <c r="BD46">
        <v>146</v>
      </c>
      <c r="BE46">
        <v>4.5999999999999899</v>
      </c>
      <c r="BF46">
        <v>3.6</v>
      </c>
      <c r="BG46">
        <v>10.1</v>
      </c>
      <c r="BH46">
        <v>198</v>
      </c>
      <c r="BI46">
        <v>6.61</v>
      </c>
      <c r="BJ46">
        <v>7.5</v>
      </c>
      <c r="BK46">
        <v>5.9</v>
      </c>
      <c r="BL46">
        <v>11.4</v>
      </c>
      <c r="BM46">
        <v>8</v>
      </c>
      <c r="BN46">
        <v>6.5</v>
      </c>
    </row>
    <row r="47" spans="1:66" x14ac:dyDescent="0.3">
      <c r="A47">
        <v>46</v>
      </c>
      <c r="B47" t="s">
        <v>434</v>
      </c>
      <c r="C47" s="2" t="s">
        <v>448</v>
      </c>
      <c r="D47">
        <v>67</v>
      </c>
      <c r="E47" s="1">
        <v>41786</v>
      </c>
      <c r="F47" s="1">
        <v>41560</v>
      </c>
      <c r="G47" s="1">
        <v>41579.468530092592</v>
      </c>
      <c r="H47" t="s">
        <v>17</v>
      </c>
      <c r="I47" t="s">
        <v>16</v>
      </c>
      <c r="J47" t="s">
        <v>35</v>
      </c>
      <c r="K47" t="s">
        <v>16</v>
      </c>
      <c r="L47" t="s">
        <v>16</v>
      </c>
      <c r="M47" t="s">
        <v>16</v>
      </c>
      <c r="N47" t="s">
        <v>16</v>
      </c>
      <c r="O47" t="s">
        <v>16</v>
      </c>
      <c r="P47" t="s">
        <v>75</v>
      </c>
      <c r="Q47" t="s">
        <v>33</v>
      </c>
      <c r="R47" t="s">
        <v>16</v>
      </c>
      <c r="S47" t="s">
        <v>16</v>
      </c>
      <c r="T47" t="s">
        <v>23</v>
      </c>
      <c r="U47" t="s">
        <v>16</v>
      </c>
      <c r="V47" t="s">
        <v>16</v>
      </c>
      <c r="W47" t="s">
        <v>23</v>
      </c>
      <c r="X47" t="s">
        <v>90</v>
      </c>
      <c r="Y47">
        <v>5.9000000953674299</v>
      </c>
      <c r="Z47">
        <v>4.0999999046325701</v>
      </c>
      <c r="AA47">
        <v>1.20000004768372</v>
      </c>
      <c r="AB47">
        <v>1</v>
      </c>
      <c r="AC47">
        <v>271.88357543945301</v>
      </c>
      <c r="AD47">
        <v>120</v>
      </c>
      <c r="AE47">
        <v>2</v>
      </c>
      <c r="AF47">
        <v>74</v>
      </c>
      <c r="AG47">
        <v>89</v>
      </c>
      <c r="AH47">
        <v>6</v>
      </c>
      <c r="AI47">
        <v>7</v>
      </c>
      <c r="AJ47">
        <v>12.710000038146999</v>
      </c>
      <c r="AK47">
        <v>4</v>
      </c>
      <c r="AL47">
        <v>8</v>
      </c>
      <c r="AM47">
        <v>11.1199998855591</v>
      </c>
      <c r="AN47" t="s">
        <v>180</v>
      </c>
      <c r="AO47">
        <v>120</v>
      </c>
      <c r="AP47">
        <v>39.183673469387799</v>
      </c>
      <c r="AQ47" s="1">
        <v>41786</v>
      </c>
      <c r="AR47" s="1">
        <v>41023</v>
      </c>
      <c r="AS47" s="1">
        <v>41023</v>
      </c>
      <c r="AT47" s="1">
        <v>41578</v>
      </c>
      <c r="AU47" s="1" t="s">
        <v>16</v>
      </c>
      <c r="AV47" s="1"/>
      <c r="AW47" s="1" t="s">
        <v>16</v>
      </c>
      <c r="AX47" s="1" t="s">
        <v>16</v>
      </c>
      <c r="AY47" t="s">
        <v>16</v>
      </c>
      <c r="AZ47">
        <v>113</v>
      </c>
      <c r="BA47">
        <v>71</v>
      </c>
      <c r="BB47">
        <v>2</v>
      </c>
      <c r="BC47">
        <f t="shared" ref="BC47:BC53" si="2">(140-D47)*AO47/(72*BI47)</f>
        <v>54.804804804804803</v>
      </c>
      <c r="BD47">
        <v>134</v>
      </c>
      <c r="BE47">
        <v>3.2999999999999901</v>
      </c>
      <c r="BF47">
        <v>3.8999999999999901</v>
      </c>
      <c r="BH47">
        <v>61</v>
      </c>
      <c r="BI47">
        <v>2.2200000000000002</v>
      </c>
      <c r="BJ47">
        <v>9.1999999999999904</v>
      </c>
      <c r="BK47">
        <v>3.8999999999999901</v>
      </c>
      <c r="BL47">
        <v>11.1</v>
      </c>
      <c r="BM47">
        <v>24.59</v>
      </c>
      <c r="BN47">
        <v>5.7999999999999901</v>
      </c>
    </row>
    <row r="48" spans="1:66" x14ac:dyDescent="0.3">
      <c r="A48">
        <v>47</v>
      </c>
      <c r="B48" t="s">
        <v>434</v>
      </c>
      <c r="C48" s="2" t="s">
        <v>449</v>
      </c>
      <c r="D48">
        <v>71</v>
      </c>
      <c r="E48" s="1">
        <v>44551</v>
      </c>
      <c r="F48" s="1">
        <v>42856</v>
      </c>
      <c r="G48" s="1">
        <v>42778.58221064815</v>
      </c>
      <c r="H48" t="s">
        <v>15</v>
      </c>
      <c r="I48" t="s">
        <v>15</v>
      </c>
      <c r="J48" t="s">
        <v>22</v>
      </c>
      <c r="K48" t="s">
        <v>16</v>
      </c>
      <c r="L48">
        <v>40</v>
      </c>
      <c r="M48" t="s">
        <v>16</v>
      </c>
      <c r="N48" t="s">
        <v>16</v>
      </c>
      <c r="O48" t="s">
        <v>17</v>
      </c>
      <c r="P48" t="s">
        <v>16</v>
      </c>
      <c r="Q48" t="s">
        <v>16</v>
      </c>
      <c r="R48" t="s">
        <v>153</v>
      </c>
      <c r="S48" t="s">
        <v>16</v>
      </c>
      <c r="T48" t="s">
        <v>23</v>
      </c>
      <c r="U48" t="s">
        <v>16</v>
      </c>
      <c r="V48" t="s">
        <v>16</v>
      </c>
      <c r="W48" t="s">
        <v>18</v>
      </c>
      <c r="X48" t="s">
        <v>78</v>
      </c>
      <c r="Y48">
        <v>4.6900000572204599</v>
      </c>
      <c r="Z48">
        <v>3.2999999523162802</v>
      </c>
      <c r="AA48">
        <v>1.12999999523163</v>
      </c>
      <c r="AB48">
        <v>1.0099999904632599</v>
      </c>
      <c r="AC48">
        <v>179.85462951660199</v>
      </c>
      <c r="AD48">
        <v>92</v>
      </c>
      <c r="AE48">
        <v>1</v>
      </c>
      <c r="AF48">
        <v>36</v>
      </c>
      <c r="AG48">
        <v>60.599998474121101</v>
      </c>
      <c r="AH48">
        <v>6.3099999427795401</v>
      </c>
      <c r="AI48">
        <v>4.46000003814697</v>
      </c>
      <c r="AJ48">
        <v>13.5900001525879</v>
      </c>
      <c r="AK48">
        <v>5.8699998855590803</v>
      </c>
      <c r="AL48">
        <v>4.3499999046325701</v>
      </c>
      <c r="AM48">
        <v>13.930000305175801</v>
      </c>
      <c r="AN48" t="s">
        <v>182</v>
      </c>
      <c r="AO48">
        <v>95.1</v>
      </c>
      <c r="AP48">
        <v>36.236854138088702</v>
      </c>
      <c r="AQ48" s="1" t="s">
        <v>16</v>
      </c>
      <c r="AR48" s="1" t="s">
        <v>16</v>
      </c>
      <c r="AS48" s="1" t="s">
        <v>16</v>
      </c>
      <c r="AT48" s="1" t="s">
        <v>16</v>
      </c>
      <c r="AU48" s="1">
        <v>42762</v>
      </c>
      <c r="AV48" s="1">
        <v>42762.438034803243</v>
      </c>
      <c r="AW48" s="1">
        <v>42762</v>
      </c>
      <c r="AX48" s="1" t="s">
        <v>16</v>
      </c>
      <c r="AY48" t="s">
        <v>21</v>
      </c>
      <c r="AZ48">
        <v>130</v>
      </c>
      <c r="BA48">
        <v>67</v>
      </c>
      <c r="BB48">
        <v>1</v>
      </c>
      <c r="BC48">
        <f t="shared" si="2"/>
        <v>9.8314455231931053</v>
      </c>
      <c r="BD48">
        <v>136</v>
      </c>
      <c r="BE48">
        <v>4.7</v>
      </c>
      <c r="BF48">
        <v>3.1</v>
      </c>
      <c r="BG48">
        <v>9.9</v>
      </c>
      <c r="BH48">
        <v>281</v>
      </c>
      <c r="BI48">
        <v>9.2699999999999907</v>
      </c>
      <c r="BJ48">
        <v>7.4</v>
      </c>
      <c r="BK48">
        <v>11.1</v>
      </c>
      <c r="BL48">
        <v>6.9</v>
      </c>
      <c r="BM48">
        <v>19.940000000000001</v>
      </c>
      <c r="BN48">
        <v>5.4</v>
      </c>
    </row>
    <row r="49" spans="1:66" x14ac:dyDescent="0.3">
      <c r="A49">
        <v>48</v>
      </c>
      <c r="B49" t="s">
        <v>430</v>
      </c>
      <c r="C49" s="2" t="s">
        <v>448</v>
      </c>
      <c r="D49">
        <v>72</v>
      </c>
      <c r="E49" s="1">
        <v>43682</v>
      </c>
      <c r="F49" s="1">
        <v>42375</v>
      </c>
      <c r="G49" s="1">
        <v>42156.445810185185</v>
      </c>
      <c r="H49" t="s">
        <v>15</v>
      </c>
      <c r="I49" t="s">
        <v>78</v>
      </c>
      <c r="J49" t="s">
        <v>28</v>
      </c>
      <c r="K49" t="s">
        <v>129</v>
      </c>
      <c r="L49">
        <v>35</v>
      </c>
      <c r="M49" t="s">
        <v>16</v>
      </c>
      <c r="N49" t="s">
        <v>16</v>
      </c>
      <c r="O49" t="s">
        <v>17</v>
      </c>
      <c r="P49" t="s">
        <v>75</v>
      </c>
      <c r="Q49" t="s">
        <v>18</v>
      </c>
      <c r="R49" t="s">
        <v>146</v>
      </c>
      <c r="S49" t="s">
        <v>16</v>
      </c>
      <c r="T49" t="s">
        <v>19</v>
      </c>
      <c r="U49" t="s">
        <v>121</v>
      </c>
      <c r="V49" t="s">
        <v>16</v>
      </c>
      <c r="W49" t="s">
        <v>23</v>
      </c>
      <c r="X49" t="s">
        <v>90</v>
      </c>
      <c r="Y49">
        <v>5</v>
      </c>
      <c r="Z49">
        <v>3</v>
      </c>
      <c r="AA49">
        <v>1.29999995231628</v>
      </c>
      <c r="AB49">
        <v>1</v>
      </c>
      <c r="AC49">
        <v>220.26214599609401</v>
      </c>
      <c r="AD49">
        <v>117</v>
      </c>
      <c r="AE49">
        <v>2</v>
      </c>
      <c r="AF49">
        <v>55</v>
      </c>
      <c r="AG49">
        <v>137</v>
      </c>
      <c r="AH49">
        <v>6.0999999046325701</v>
      </c>
      <c r="AI49">
        <v>4.3800001144409197</v>
      </c>
      <c r="AJ49">
        <v>31.280000686645501</v>
      </c>
      <c r="AK49">
        <v>6.5</v>
      </c>
      <c r="AL49">
        <v>8.8000001907348597</v>
      </c>
      <c r="AM49">
        <v>15.569999694824199</v>
      </c>
      <c r="AN49" t="s">
        <v>183</v>
      </c>
      <c r="AO49">
        <v>78</v>
      </c>
      <c r="AP49">
        <v>27.3099681383705</v>
      </c>
      <c r="AQ49" s="1">
        <v>42087</v>
      </c>
      <c r="AR49" s="1" t="s">
        <v>16</v>
      </c>
      <c r="AS49" s="1">
        <v>42087</v>
      </c>
      <c r="AT49" s="1">
        <v>42403</v>
      </c>
      <c r="AU49" s="1">
        <v>40489</v>
      </c>
      <c r="AV49" s="1">
        <v>40436.92488244213</v>
      </c>
      <c r="AW49" s="1">
        <v>40489</v>
      </c>
      <c r="AX49" s="1" t="s">
        <v>16</v>
      </c>
      <c r="AY49" t="s">
        <v>16</v>
      </c>
      <c r="AZ49">
        <v>102</v>
      </c>
      <c r="BA49">
        <v>55</v>
      </c>
      <c r="BB49">
        <v>4</v>
      </c>
      <c r="BC49">
        <f t="shared" si="2"/>
        <v>14.52991452991453</v>
      </c>
      <c r="BD49">
        <v>137</v>
      </c>
      <c r="BE49">
        <v>5.0999999999999899</v>
      </c>
      <c r="BF49">
        <v>3.5</v>
      </c>
      <c r="BG49">
        <v>9.9</v>
      </c>
      <c r="BH49">
        <v>161</v>
      </c>
      <c r="BI49">
        <v>5.07</v>
      </c>
      <c r="BJ49">
        <v>9.4</v>
      </c>
      <c r="BK49">
        <v>8.9</v>
      </c>
      <c r="BL49">
        <v>5.2</v>
      </c>
      <c r="BM49">
        <v>13.22</v>
      </c>
      <c r="BN49">
        <v>5.5</v>
      </c>
    </row>
    <row r="50" spans="1:66" x14ac:dyDescent="0.3">
      <c r="A50">
        <v>49</v>
      </c>
      <c r="B50" t="s">
        <v>430</v>
      </c>
      <c r="C50" s="2" t="s">
        <v>449</v>
      </c>
      <c r="D50">
        <v>85</v>
      </c>
      <c r="E50" s="1" t="s">
        <v>16</v>
      </c>
      <c r="F50" s="1">
        <v>44244</v>
      </c>
      <c r="G50" s="1">
        <v>44251.607106481482</v>
      </c>
      <c r="H50" t="s">
        <v>15</v>
      </c>
      <c r="I50" t="s">
        <v>16</v>
      </c>
      <c r="J50" t="s">
        <v>22</v>
      </c>
      <c r="K50" t="s">
        <v>16</v>
      </c>
      <c r="L50">
        <v>40</v>
      </c>
      <c r="M50" t="s">
        <v>79</v>
      </c>
      <c r="N50" t="s">
        <v>28</v>
      </c>
      <c r="O50" t="s">
        <v>16</v>
      </c>
      <c r="P50" t="s">
        <v>75</v>
      </c>
      <c r="Q50" t="s">
        <v>19</v>
      </c>
      <c r="R50" t="s">
        <v>16</v>
      </c>
      <c r="S50" t="s">
        <v>16</v>
      </c>
      <c r="T50" t="s">
        <v>23</v>
      </c>
      <c r="U50" t="s">
        <v>16</v>
      </c>
      <c r="V50" t="s">
        <v>16</v>
      </c>
      <c r="W50" t="s">
        <v>19</v>
      </c>
      <c r="X50" t="s">
        <v>78</v>
      </c>
      <c r="Y50">
        <v>4.78999996185303</v>
      </c>
      <c r="Z50">
        <v>3.7300000190734899</v>
      </c>
      <c r="AA50">
        <v>1.0199999809265099</v>
      </c>
      <c r="AB50">
        <v>1.0900000333786</v>
      </c>
      <c r="AC50">
        <v>182.48081970214801</v>
      </c>
      <c r="AD50">
        <v>100</v>
      </c>
      <c r="AE50">
        <v>2</v>
      </c>
      <c r="AF50">
        <v>40</v>
      </c>
      <c r="AG50">
        <v>83.099998474121094</v>
      </c>
      <c r="AH50" t="s">
        <v>16</v>
      </c>
      <c r="AI50">
        <v>5.5500001907348597</v>
      </c>
      <c r="AJ50">
        <v>14.9700002670288</v>
      </c>
      <c r="AK50" t="s">
        <v>16</v>
      </c>
      <c r="AL50">
        <v>8.2700004577636701</v>
      </c>
      <c r="AM50">
        <v>10.050000190734901</v>
      </c>
      <c r="AN50" t="s">
        <v>185</v>
      </c>
      <c r="AO50">
        <v>84</v>
      </c>
      <c r="AP50">
        <v>34.963579604578598</v>
      </c>
      <c r="AQ50" s="1" t="s">
        <v>16</v>
      </c>
      <c r="AR50" s="1" t="s">
        <v>16</v>
      </c>
      <c r="AS50" s="1" t="s">
        <v>16</v>
      </c>
      <c r="AT50" s="1">
        <v>44165</v>
      </c>
      <c r="AU50" s="1" t="s">
        <v>16</v>
      </c>
      <c r="AV50" s="1">
        <v>39614.435001967591</v>
      </c>
      <c r="AW50" s="1" t="s">
        <v>16</v>
      </c>
      <c r="AX50" s="1" t="s">
        <v>16</v>
      </c>
      <c r="AY50" t="s">
        <v>16</v>
      </c>
      <c r="AZ50">
        <v>155</v>
      </c>
      <c r="BA50">
        <v>87</v>
      </c>
      <c r="BB50">
        <v>1</v>
      </c>
      <c r="BC50">
        <f t="shared" si="2"/>
        <v>12.387387387387411</v>
      </c>
      <c r="BD50">
        <v>137</v>
      </c>
      <c r="BE50">
        <v>5.7999999999999901</v>
      </c>
      <c r="BF50">
        <v>3.3999999999999901</v>
      </c>
      <c r="BG50">
        <v>9.1999999999999904</v>
      </c>
      <c r="BH50">
        <v>103</v>
      </c>
      <c r="BI50">
        <v>5.1799999999999899</v>
      </c>
      <c r="BJ50">
        <v>8.6999999999999904</v>
      </c>
      <c r="BK50">
        <v>3.2</v>
      </c>
      <c r="BL50">
        <v>3.7</v>
      </c>
      <c r="BM50">
        <v>11.57</v>
      </c>
      <c r="BN50">
        <v>5.2</v>
      </c>
    </row>
    <row r="51" spans="1:66" x14ac:dyDescent="0.3">
      <c r="A51">
        <v>50</v>
      </c>
      <c r="B51" t="s">
        <v>430</v>
      </c>
      <c r="C51" s="2" t="s">
        <v>448</v>
      </c>
      <c r="D51">
        <v>79</v>
      </c>
      <c r="E51" s="1">
        <v>44395</v>
      </c>
      <c r="F51" s="1">
        <v>42424</v>
      </c>
      <c r="G51" s="1">
        <v>42422.368449074071</v>
      </c>
      <c r="H51" t="s">
        <v>15</v>
      </c>
      <c r="I51" t="s">
        <v>16</v>
      </c>
      <c r="J51" t="s">
        <v>24</v>
      </c>
      <c r="K51" t="s">
        <v>16</v>
      </c>
      <c r="L51">
        <v>53</v>
      </c>
      <c r="M51" t="s">
        <v>16</v>
      </c>
      <c r="N51" t="s">
        <v>16</v>
      </c>
      <c r="O51" t="s">
        <v>15</v>
      </c>
      <c r="P51" t="s">
        <v>75</v>
      </c>
      <c r="Q51" t="s">
        <v>18</v>
      </c>
      <c r="R51" t="s">
        <v>80</v>
      </c>
      <c r="S51" t="s">
        <v>92</v>
      </c>
      <c r="T51" t="s">
        <v>19</v>
      </c>
      <c r="U51" t="s">
        <v>16</v>
      </c>
      <c r="V51" t="s">
        <v>16</v>
      </c>
      <c r="W51" t="s">
        <v>18</v>
      </c>
      <c r="X51" t="s">
        <v>15</v>
      </c>
      <c r="Y51">
        <v>4.1500000953674299</v>
      </c>
      <c r="Z51">
        <v>2.9100000858306898</v>
      </c>
      <c r="AA51">
        <v>1.0099999904632599</v>
      </c>
      <c r="AB51">
        <v>0.83999997377395597</v>
      </c>
      <c r="AC51">
        <v>120.846153259277</v>
      </c>
      <c r="AD51">
        <v>60</v>
      </c>
      <c r="AE51">
        <v>1.25</v>
      </c>
      <c r="AF51">
        <v>31</v>
      </c>
      <c r="AG51">
        <v>50.799999237060497</v>
      </c>
      <c r="AH51">
        <v>4.5199999809265101</v>
      </c>
      <c r="AI51">
        <v>4.7600002288818404</v>
      </c>
      <c r="AJ51">
        <v>10.670000076293899</v>
      </c>
      <c r="AK51">
        <v>7.6799998283386204</v>
      </c>
      <c r="AL51">
        <v>5.28999996185303</v>
      </c>
      <c r="AM51">
        <v>9.6000003814697301</v>
      </c>
      <c r="AN51" t="s">
        <v>187</v>
      </c>
      <c r="AO51">
        <v>85</v>
      </c>
      <c r="AP51">
        <v>26.827420780204498</v>
      </c>
      <c r="AQ51" s="1" t="s">
        <v>16</v>
      </c>
      <c r="AR51" s="1">
        <v>42438</v>
      </c>
      <c r="AS51" s="1">
        <v>42425</v>
      </c>
      <c r="AT51" s="1">
        <v>44270</v>
      </c>
      <c r="AU51" s="1">
        <v>42421</v>
      </c>
      <c r="AV51" s="1">
        <v>42421.883742708327</v>
      </c>
      <c r="AW51" s="1" t="s">
        <v>16</v>
      </c>
      <c r="AX51" s="1" t="s">
        <v>16</v>
      </c>
      <c r="AY51" t="s">
        <v>16</v>
      </c>
      <c r="AZ51">
        <v>119</v>
      </c>
      <c r="BA51">
        <v>71</v>
      </c>
      <c r="BB51">
        <v>1</v>
      </c>
      <c r="BC51">
        <f t="shared" si="2"/>
        <v>16.255956859794367</v>
      </c>
      <c r="BD51">
        <v>135</v>
      </c>
      <c r="BE51">
        <v>3.7</v>
      </c>
      <c r="BF51">
        <v>3.8999999999999901</v>
      </c>
      <c r="BH51">
        <v>172</v>
      </c>
      <c r="BI51">
        <v>4.4299999999999899</v>
      </c>
      <c r="BJ51">
        <v>9</v>
      </c>
      <c r="BK51">
        <v>4.5999999999999899</v>
      </c>
      <c r="BL51">
        <v>9.5</v>
      </c>
      <c r="BN51">
        <v>7.9</v>
      </c>
    </row>
    <row r="52" spans="1:66" x14ac:dyDescent="0.3">
      <c r="A52">
        <v>51</v>
      </c>
      <c r="B52" t="s">
        <v>430</v>
      </c>
      <c r="C52" s="2" t="s">
        <v>448</v>
      </c>
      <c r="D52">
        <v>85</v>
      </c>
      <c r="E52" s="1">
        <v>45070</v>
      </c>
      <c r="F52" s="1">
        <v>44987</v>
      </c>
      <c r="G52" s="1">
        <v>44979.468715277777</v>
      </c>
      <c r="H52" t="s">
        <v>17</v>
      </c>
      <c r="I52" t="s">
        <v>16</v>
      </c>
      <c r="J52" t="s">
        <v>30</v>
      </c>
      <c r="K52" t="s">
        <v>16</v>
      </c>
      <c r="L52">
        <v>30</v>
      </c>
      <c r="M52" t="s">
        <v>15</v>
      </c>
      <c r="N52" t="s">
        <v>15</v>
      </c>
      <c r="O52" t="s">
        <v>17</v>
      </c>
      <c r="P52" t="s">
        <v>75</v>
      </c>
      <c r="Q52" t="s">
        <v>16</v>
      </c>
      <c r="R52" t="s">
        <v>102</v>
      </c>
      <c r="S52" t="s">
        <v>133</v>
      </c>
      <c r="T52" t="s">
        <v>23</v>
      </c>
      <c r="U52" t="s">
        <v>147</v>
      </c>
      <c r="V52" t="s">
        <v>16</v>
      </c>
      <c r="W52" t="s">
        <v>19</v>
      </c>
      <c r="X52" t="s">
        <v>87</v>
      </c>
      <c r="Y52">
        <v>5.9000000953674299</v>
      </c>
      <c r="Z52">
        <v>5</v>
      </c>
      <c r="AA52">
        <v>0.89999997615814198</v>
      </c>
      <c r="AB52">
        <v>1</v>
      </c>
      <c r="AC52">
        <v>224.55194091796901</v>
      </c>
      <c r="AD52">
        <v>116</v>
      </c>
      <c r="AE52">
        <v>2.5</v>
      </c>
      <c r="AF52">
        <v>52</v>
      </c>
      <c r="AG52">
        <v>69.800003051757798</v>
      </c>
      <c r="AH52" t="s">
        <v>16</v>
      </c>
      <c r="AI52" t="s">
        <v>16</v>
      </c>
      <c r="AJ52" t="s">
        <v>16</v>
      </c>
      <c r="AK52" t="s">
        <v>16</v>
      </c>
      <c r="AL52" t="s">
        <v>16</v>
      </c>
      <c r="AM52" t="s">
        <v>16</v>
      </c>
      <c r="AN52" t="s">
        <v>189</v>
      </c>
      <c r="AO52">
        <v>80</v>
      </c>
      <c r="AP52">
        <v>26.423569824283302</v>
      </c>
      <c r="AQ52" s="1">
        <v>44980</v>
      </c>
      <c r="AR52" s="1">
        <v>44988</v>
      </c>
      <c r="AS52" s="1">
        <v>44980</v>
      </c>
      <c r="AT52" s="1" t="s">
        <v>16</v>
      </c>
      <c r="AU52" s="1">
        <v>45021</v>
      </c>
      <c r="AV52" s="1"/>
      <c r="AW52" s="1">
        <v>45021</v>
      </c>
      <c r="AX52" s="1" t="s">
        <v>16</v>
      </c>
      <c r="AY52" t="s">
        <v>21</v>
      </c>
      <c r="AZ52">
        <v>115</v>
      </c>
      <c r="BA52">
        <v>64</v>
      </c>
      <c r="BB52">
        <v>1</v>
      </c>
      <c r="BC52">
        <f t="shared" si="2"/>
        <v>20.715630885122408</v>
      </c>
      <c r="BD52">
        <v>152</v>
      </c>
      <c r="BE52">
        <v>3.7999999999999901</v>
      </c>
      <c r="BF52">
        <v>3.2</v>
      </c>
      <c r="BG52">
        <v>9.4</v>
      </c>
      <c r="BH52">
        <v>278</v>
      </c>
      <c r="BI52">
        <v>2.95</v>
      </c>
      <c r="BJ52">
        <v>8</v>
      </c>
      <c r="BK52">
        <v>5.7</v>
      </c>
      <c r="BL52">
        <v>14</v>
      </c>
      <c r="BM52">
        <v>28.53</v>
      </c>
      <c r="BN52">
        <v>5.2999999999999901</v>
      </c>
    </row>
    <row r="53" spans="1:66" x14ac:dyDescent="0.3">
      <c r="A53">
        <v>52</v>
      </c>
      <c r="B53" t="s">
        <v>430</v>
      </c>
      <c r="C53" s="2" t="s">
        <v>448</v>
      </c>
      <c r="D53">
        <v>63</v>
      </c>
      <c r="E53" s="1">
        <v>42675</v>
      </c>
      <c r="F53" s="1">
        <v>40119</v>
      </c>
      <c r="G53" s="1">
        <v>39945.402187500003</v>
      </c>
      <c r="H53" t="s">
        <v>15</v>
      </c>
      <c r="I53" t="s">
        <v>16</v>
      </c>
      <c r="J53" t="s">
        <v>24</v>
      </c>
      <c r="K53" t="s">
        <v>16</v>
      </c>
      <c r="L53">
        <v>55</v>
      </c>
      <c r="M53" t="s">
        <v>16</v>
      </c>
      <c r="N53" t="s">
        <v>16</v>
      </c>
      <c r="O53" t="s">
        <v>17</v>
      </c>
      <c r="P53" t="s">
        <v>16</v>
      </c>
      <c r="Q53" t="s">
        <v>16</v>
      </c>
      <c r="R53" t="s">
        <v>153</v>
      </c>
      <c r="S53" t="s">
        <v>15</v>
      </c>
      <c r="T53" t="s">
        <v>36</v>
      </c>
      <c r="U53" t="s">
        <v>16</v>
      </c>
      <c r="V53" t="s">
        <v>16</v>
      </c>
      <c r="W53" t="s">
        <v>33</v>
      </c>
      <c r="X53" t="s">
        <v>16</v>
      </c>
      <c r="Y53">
        <v>5.1999998092651403</v>
      </c>
      <c r="Z53">
        <v>2.4500000476837198</v>
      </c>
      <c r="AA53">
        <v>1.4400000572204601</v>
      </c>
      <c r="AB53">
        <v>1.1799999475479099</v>
      </c>
      <c r="AC53">
        <v>281</v>
      </c>
      <c r="AD53">
        <v>159</v>
      </c>
      <c r="AE53">
        <v>1.12000000476837</v>
      </c>
      <c r="AF53" t="s">
        <v>16</v>
      </c>
      <c r="AG53">
        <v>86</v>
      </c>
      <c r="AH53">
        <v>6</v>
      </c>
      <c r="AI53">
        <v>4</v>
      </c>
      <c r="AJ53">
        <v>21.5</v>
      </c>
      <c r="AK53">
        <v>6</v>
      </c>
      <c r="AL53">
        <v>7</v>
      </c>
      <c r="AM53">
        <v>12.289999961853001</v>
      </c>
      <c r="AN53" t="s">
        <v>190</v>
      </c>
      <c r="AO53">
        <v>90</v>
      </c>
      <c r="AP53">
        <v>29.387755102040799</v>
      </c>
      <c r="AQ53" s="1">
        <v>39977</v>
      </c>
      <c r="AR53" s="1">
        <v>39950</v>
      </c>
      <c r="AS53" s="1">
        <v>39950</v>
      </c>
      <c r="AT53" s="1" t="s">
        <v>16</v>
      </c>
      <c r="AU53" s="1">
        <v>39977</v>
      </c>
      <c r="AV53" s="1"/>
      <c r="AW53" s="1">
        <v>39977</v>
      </c>
      <c r="AX53" s="1" t="s">
        <v>16</v>
      </c>
      <c r="AY53" t="s">
        <v>21</v>
      </c>
      <c r="BB53">
        <v>4</v>
      </c>
      <c r="BC53">
        <f t="shared" si="2"/>
        <v>16.566265060240994</v>
      </c>
      <c r="BD53">
        <v>139</v>
      </c>
      <c r="BE53">
        <v>5.4</v>
      </c>
      <c r="BF53">
        <v>2.8999999999999901</v>
      </c>
      <c r="BG53">
        <v>9.8000000000000007</v>
      </c>
      <c r="BH53">
        <v>154</v>
      </c>
      <c r="BI53">
        <v>5.8099999999999898</v>
      </c>
      <c r="BJ53">
        <v>8.5999999999999908</v>
      </c>
      <c r="BK53">
        <v>4.25999999999999</v>
      </c>
      <c r="BL53">
        <v>8.3000000000000007</v>
      </c>
      <c r="BM53">
        <v>3.2999999999999901</v>
      </c>
      <c r="BN53">
        <v>6.2999999999999901</v>
      </c>
    </row>
    <row r="54" spans="1:66" x14ac:dyDescent="0.3">
      <c r="A54">
        <v>53</v>
      </c>
      <c r="B54" t="s">
        <v>430</v>
      </c>
      <c r="C54" s="2" t="s">
        <v>448</v>
      </c>
      <c r="D54">
        <v>69</v>
      </c>
      <c r="E54" s="1">
        <v>41880</v>
      </c>
      <c r="F54" s="1">
        <v>40191</v>
      </c>
      <c r="G54" s="1">
        <v>40176.626608796294</v>
      </c>
      <c r="H54" t="s">
        <v>17</v>
      </c>
      <c r="I54" t="s">
        <v>16</v>
      </c>
      <c r="J54" t="s">
        <v>28</v>
      </c>
      <c r="K54" t="s">
        <v>192</v>
      </c>
      <c r="L54">
        <v>35</v>
      </c>
      <c r="M54" t="s">
        <v>16</v>
      </c>
      <c r="N54" t="s">
        <v>16</v>
      </c>
      <c r="O54" t="s">
        <v>25</v>
      </c>
      <c r="P54" t="s">
        <v>16</v>
      </c>
      <c r="Q54" t="s">
        <v>16</v>
      </c>
      <c r="R54" t="s">
        <v>16</v>
      </c>
      <c r="S54" t="s">
        <v>16</v>
      </c>
      <c r="T54" t="s">
        <v>20</v>
      </c>
      <c r="U54" t="s">
        <v>16</v>
      </c>
      <c r="V54" t="s">
        <v>16</v>
      </c>
      <c r="W54" t="s">
        <v>23</v>
      </c>
      <c r="X54" t="s">
        <v>16</v>
      </c>
      <c r="Y54">
        <v>5.4400000572204599</v>
      </c>
      <c r="Z54">
        <v>4.5900001525878897</v>
      </c>
      <c r="AA54">
        <v>1.3200000524520901</v>
      </c>
      <c r="AB54">
        <v>0.98100000619888295</v>
      </c>
      <c r="AC54">
        <v>253</v>
      </c>
      <c r="AD54">
        <v>128</v>
      </c>
      <c r="AE54">
        <v>2</v>
      </c>
      <c r="AF54" t="s">
        <v>16</v>
      </c>
      <c r="AG54">
        <v>160</v>
      </c>
      <c r="AH54">
        <v>4</v>
      </c>
      <c r="AI54">
        <v>3</v>
      </c>
      <c r="AJ54">
        <v>53.330001831054702</v>
      </c>
      <c r="AK54">
        <v>3</v>
      </c>
      <c r="AL54">
        <v>6</v>
      </c>
      <c r="AM54">
        <v>26.670000076293899</v>
      </c>
      <c r="AN54" t="s">
        <v>193</v>
      </c>
      <c r="AO54" t="s">
        <v>16</v>
      </c>
      <c r="AP54" t="s">
        <v>16</v>
      </c>
      <c r="AQ54" s="1">
        <v>40955</v>
      </c>
      <c r="AR54" s="1">
        <v>40140</v>
      </c>
      <c r="AS54" s="1" t="s">
        <v>16</v>
      </c>
      <c r="AT54" s="1" t="s">
        <v>16</v>
      </c>
      <c r="AU54" s="1">
        <v>40140</v>
      </c>
      <c r="AV54" s="1">
        <v>40140.619956747687</v>
      </c>
      <c r="AW54" s="1" t="s">
        <v>16</v>
      </c>
      <c r="AX54" s="1" t="s">
        <v>16</v>
      </c>
      <c r="AY54" t="s">
        <v>16</v>
      </c>
      <c r="AZ54">
        <v>129</v>
      </c>
      <c r="BA54">
        <v>76</v>
      </c>
      <c r="BB54">
        <v>1</v>
      </c>
      <c r="BC54">
        <v>12.6</v>
      </c>
      <c r="BD54">
        <v>140</v>
      </c>
      <c r="BE54">
        <v>3.8999999999999901</v>
      </c>
      <c r="BF54">
        <v>3.3999999999999901</v>
      </c>
      <c r="BG54">
        <v>9</v>
      </c>
      <c r="BH54">
        <v>189</v>
      </c>
      <c r="BI54">
        <v>4.6500000000000004</v>
      </c>
      <c r="BJ54">
        <v>9</v>
      </c>
      <c r="BK54">
        <v>4.37</v>
      </c>
      <c r="BL54">
        <v>10.1999999999999</v>
      </c>
      <c r="BM54">
        <v>40.899999999999899</v>
      </c>
      <c r="BN54">
        <v>8.0999999999999908</v>
      </c>
    </row>
    <row r="55" spans="1:66" x14ac:dyDescent="0.3">
      <c r="A55">
        <v>54</v>
      </c>
      <c r="B55" t="s">
        <v>434</v>
      </c>
      <c r="C55" s="2" t="s">
        <v>449</v>
      </c>
      <c r="D55">
        <v>66</v>
      </c>
      <c r="E55" s="1">
        <v>41129</v>
      </c>
      <c r="F55" s="1">
        <v>40741</v>
      </c>
      <c r="G55" s="1">
        <v>40724.607662037037</v>
      </c>
      <c r="H55" t="s">
        <v>17</v>
      </c>
      <c r="I55" t="s">
        <v>16</v>
      </c>
      <c r="J55" t="s">
        <v>35</v>
      </c>
      <c r="K55" t="s">
        <v>16</v>
      </c>
      <c r="L55">
        <v>10</v>
      </c>
      <c r="M55" t="s">
        <v>79</v>
      </c>
      <c r="N55" t="s">
        <v>35</v>
      </c>
      <c r="O55" t="s">
        <v>25</v>
      </c>
      <c r="P55" t="s">
        <v>75</v>
      </c>
      <c r="Q55" t="s">
        <v>19</v>
      </c>
      <c r="R55" t="s">
        <v>136</v>
      </c>
      <c r="S55" t="s">
        <v>126</v>
      </c>
      <c r="T55" t="s">
        <v>19</v>
      </c>
      <c r="U55" t="s">
        <v>16</v>
      </c>
      <c r="V55" t="s">
        <v>16</v>
      </c>
      <c r="W55" t="s">
        <v>34</v>
      </c>
      <c r="X55" t="s">
        <v>90</v>
      </c>
      <c r="Y55">
        <v>5.8699998855590803</v>
      </c>
      <c r="Z55">
        <v>4.7800002098083496</v>
      </c>
      <c r="AA55">
        <v>1.1599999666214</v>
      </c>
      <c r="AB55">
        <v>1.3400000333786</v>
      </c>
      <c r="AC55">
        <v>320.18304443359398</v>
      </c>
      <c r="AD55">
        <v>165</v>
      </c>
      <c r="AE55">
        <v>2</v>
      </c>
      <c r="AF55">
        <v>62</v>
      </c>
      <c r="AG55" t="s">
        <v>16</v>
      </c>
      <c r="AH55">
        <v>3</v>
      </c>
      <c r="AI55">
        <v>3.4000000953674299</v>
      </c>
      <c r="AJ55" t="s">
        <v>16</v>
      </c>
      <c r="AK55">
        <v>4</v>
      </c>
      <c r="AL55">
        <v>11.3999996185303</v>
      </c>
      <c r="AM55" t="s">
        <v>16</v>
      </c>
      <c r="AN55" t="s">
        <v>194</v>
      </c>
      <c r="AO55" t="s">
        <v>16</v>
      </c>
      <c r="AP55" t="s">
        <v>16</v>
      </c>
      <c r="AQ55" s="1" t="s">
        <v>16</v>
      </c>
      <c r="AR55" s="1" t="s">
        <v>16</v>
      </c>
      <c r="AS55" s="1" t="s">
        <v>16</v>
      </c>
      <c r="AT55" s="1">
        <v>40723</v>
      </c>
      <c r="AU55" s="1" t="s">
        <v>16</v>
      </c>
      <c r="AV55" s="1"/>
      <c r="AW55" s="1" t="s">
        <v>16</v>
      </c>
      <c r="AX55" s="1" t="s">
        <v>16</v>
      </c>
      <c r="AY55" t="s">
        <v>21</v>
      </c>
      <c r="AZ55">
        <v>106</v>
      </c>
      <c r="BA55">
        <v>64</v>
      </c>
      <c r="BB55">
        <v>5</v>
      </c>
      <c r="BC55">
        <v>6.9</v>
      </c>
      <c r="BD55">
        <v>130</v>
      </c>
      <c r="BE55">
        <v>3.7999999999999901</v>
      </c>
      <c r="BF55">
        <v>2.5</v>
      </c>
      <c r="BG55">
        <v>9.6999999999999904</v>
      </c>
      <c r="BH55">
        <v>75</v>
      </c>
      <c r="BI55">
        <v>6.0899999999999901</v>
      </c>
      <c r="BJ55">
        <v>8.4</v>
      </c>
      <c r="BK55">
        <v>8.4</v>
      </c>
      <c r="BL55">
        <v>5.0999999999999899</v>
      </c>
      <c r="BM55">
        <v>147.28</v>
      </c>
      <c r="BN55">
        <v>6.7999999999999901</v>
      </c>
    </row>
    <row r="56" spans="1:66" x14ac:dyDescent="0.3">
      <c r="A56">
        <v>55</v>
      </c>
      <c r="B56" t="s">
        <v>430</v>
      </c>
      <c r="C56" s="2" t="s">
        <v>449</v>
      </c>
      <c r="D56">
        <v>83</v>
      </c>
      <c r="E56" s="1">
        <v>43422</v>
      </c>
      <c r="F56" s="1">
        <v>43388</v>
      </c>
      <c r="G56" s="1">
        <v>43258.5387962963</v>
      </c>
      <c r="H56" t="s">
        <v>15</v>
      </c>
      <c r="I56" t="s">
        <v>16</v>
      </c>
      <c r="J56" t="s">
        <v>15</v>
      </c>
      <c r="K56" t="s">
        <v>16</v>
      </c>
      <c r="L56">
        <v>60</v>
      </c>
      <c r="M56" t="s">
        <v>79</v>
      </c>
      <c r="N56" t="s">
        <v>15</v>
      </c>
      <c r="O56" t="s">
        <v>25</v>
      </c>
      <c r="P56" t="s">
        <v>75</v>
      </c>
      <c r="Q56" t="s">
        <v>16</v>
      </c>
      <c r="R56" t="s">
        <v>76</v>
      </c>
      <c r="S56" t="s">
        <v>75</v>
      </c>
      <c r="T56" t="s">
        <v>19</v>
      </c>
      <c r="U56" t="s">
        <v>16</v>
      </c>
      <c r="V56" t="s">
        <v>16</v>
      </c>
      <c r="W56" t="s">
        <v>34</v>
      </c>
      <c r="X56" t="s">
        <v>87</v>
      </c>
      <c r="Y56">
        <v>4.4299998283386204</v>
      </c>
      <c r="Z56">
        <v>2.3299999237060498</v>
      </c>
      <c r="AA56">
        <v>1.16999995708466</v>
      </c>
      <c r="AB56">
        <v>0.81999999284744296</v>
      </c>
      <c r="AC56">
        <v>148.42225646972699</v>
      </c>
      <c r="AD56">
        <v>77</v>
      </c>
      <c r="AE56">
        <v>1</v>
      </c>
      <c r="AF56">
        <v>56</v>
      </c>
      <c r="AG56">
        <v>117</v>
      </c>
      <c r="AH56">
        <v>6.3499999046325701</v>
      </c>
      <c r="AI56">
        <v>10.300000190734901</v>
      </c>
      <c r="AJ56">
        <v>11.3599996566772</v>
      </c>
      <c r="AK56">
        <v>8.4399995803833008</v>
      </c>
      <c r="AL56">
        <v>8.6899995803833008</v>
      </c>
      <c r="AM56">
        <v>13.460000038146999</v>
      </c>
      <c r="AN56" t="s">
        <v>195</v>
      </c>
      <c r="AO56">
        <v>92</v>
      </c>
      <c r="AP56">
        <v>35.9375</v>
      </c>
      <c r="AQ56" s="1" t="s">
        <v>16</v>
      </c>
      <c r="AR56" s="1" t="s">
        <v>16</v>
      </c>
      <c r="AS56" s="1" t="s">
        <v>16</v>
      </c>
      <c r="AT56" s="1">
        <v>42214</v>
      </c>
      <c r="AU56" s="1">
        <v>42215</v>
      </c>
      <c r="AV56" s="1"/>
      <c r="AW56" s="1" t="s">
        <v>16</v>
      </c>
      <c r="AX56" s="1" t="s">
        <v>16</v>
      </c>
      <c r="AY56" t="s">
        <v>21</v>
      </c>
      <c r="AZ56">
        <v>123</v>
      </c>
      <c r="BA56">
        <v>63</v>
      </c>
      <c r="BB56">
        <v>0</v>
      </c>
      <c r="BC56">
        <f>(140-D56)*AO56/(72*BI56)</f>
        <v>9.8026020637057112</v>
      </c>
      <c r="BD56">
        <v>136</v>
      </c>
      <c r="BE56">
        <v>3.8999999999999901</v>
      </c>
      <c r="BF56">
        <v>3.5</v>
      </c>
      <c r="BG56">
        <v>12</v>
      </c>
      <c r="BH56">
        <v>292</v>
      </c>
      <c r="BI56">
        <v>7.4299999999999899</v>
      </c>
      <c r="BJ56">
        <v>7.9</v>
      </c>
      <c r="BK56">
        <v>13</v>
      </c>
      <c r="BL56">
        <v>13.8</v>
      </c>
      <c r="BM56">
        <v>231.66999999999899</v>
      </c>
      <c r="BN56">
        <v>6.7999999999999901</v>
      </c>
    </row>
    <row r="57" spans="1:66" x14ac:dyDescent="0.3">
      <c r="A57">
        <v>56</v>
      </c>
      <c r="B57" t="s">
        <v>430</v>
      </c>
      <c r="C57" s="2" t="s">
        <v>449</v>
      </c>
      <c r="D57">
        <v>83</v>
      </c>
      <c r="E57" s="1">
        <v>44642</v>
      </c>
      <c r="F57" s="1">
        <v>44577</v>
      </c>
      <c r="G57" s="1">
        <v>44486.702025462961</v>
      </c>
      <c r="H57" t="s">
        <v>15</v>
      </c>
      <c r="I57" t="s">
        <v>16</v>
      </c>
      <c r="J57" t="s">
        <v>24</v>
      </c>
      <c r="K57" t="s">
        <v>145</v>
      </c>
      <c r="L57">
        <v>50</v>
      </c>
      <c r="M57" t="s">
        <v>15</v>
      </c>
      <c r="N57" t="s">
        <v>15</v>
      </c>
      <c r="O57" t="s">
        <v>17</v>
      </c>
      <c r="P57" t="s">
        <v>85</v>
      </c>
      <c r="Q57" t="s">
        <v>19</v>
      </c>
      <c r="R57" t="s">
        <v>16</v>
      </c>
      <c r="S57" t="s">
        <v>16</v>
      </c>
      <c r="T57" t="s">
        <v>19</v>
      </c>
      <c r="U57" t="s">
        <v>16</v>
      </c>
      <c r="V57" t="s">
        <v>16</v>
      </c>
      <c r="W57" t="s">
        <v>16</v>
      </c>
      <c r="X57" t="s">
        <v>16</v>
      </c>
      <c r="Y57">
        <v>5.0999999046325701</v>
      </c>
      <c r="Z57">
        <v>4.0999999046325701</v>
      </c>
      <c r="AA57">
        <v>1.3999999761581401</v>
      </c>
      <c r="AB57">
        <v>1.1000000238418599</v>
      </c>
      <c r="AC57">
        <v>255.46240234375</v>
      </c>
      <c r="AD57">
        <v>123</v>
      </c>
      <c r="AE57">
        <v>1</v>
      </c>
      <c r="AF57" t="s">
        <v>16</v>
      </c>
      <c r="AG57">
        <v>110</v>
      </c>
      <c r="AH57">
        <v>3.9400000572204599</v>
      </c>
      <c r="AI57">
        <v>7.8000001907348597</v>
      </c>
      <c r="AJ57">
        <v>14.1000003814697</v>
      </c>
      <c r="AK57">
        <v>4.7300000190734899</v>
      </c>
      <c r="AL57">
        <v>9.2899999618530291</v>
      </c>
      <c r="AM57">
        <v>11.8400001525879</v>
      </c>
      <c r="AN57" t="s">
        <v>197</v>
      </c>
      <c r="AO57">
        <v>96</v>
      </c>
      <c r="AP57">
        <v>32.075912994086003</v>
      </c>
      <c r="AQ57" s="1" t="s">
        <v>16</v>
      </c>
      <c r="AR57" s="1" t="s">
        <v>16</v>
      </c>
      <c r="AS57" s="1" t="s">
        <v>16</v>
      </c>
      <c r="AT57" s="1">
        <v>44569</v>
      </c>
      <c r="AU57" s="1">
        <v>40291</v>
      </c>
      <c r="AV57" s="1">
        <v>40291.018211655093</v>
      </c>
      <c r="AW57" s="1" t="s">
        <v>16</v>
      </c>
      <c r="AX57" s="1" t="s">
        <v>16</v>
      </c>
      <c r="AY57" t="s">
        <v>21</v>
      </c>
      <c r="AZ57">
        <v>152</v>
      </c>
      <c r="BA57">
        <v>78</v>
      </c>
      <c r="BB57">
        <v>2</v>
      </c>
      <c r="BC57">
        <f>(140-D57)*AO57/(72*BI57)</f>
        <v>13.080895008605875</v>
      </c>
      <c r="BD57">
        <v>125</v>
      </c>
      <c r="BE57">
        <v>5.2</v>
      </c>
      <c r="BF57">
        <v>2.1</v>
      </c>
      <c r="BG57">
        <v>8.5</v>
      </c>
      <c r="BH57">
        <v>267</v>
      </c>
      <c r="BI57">
        <v>5.8099999999999898</v>
      </c>
      <c r="BJ57">
        <v>8.0999999999999908</v>
      </c>
      <c r="BK57">
        <v>7.9</v>
      </c>
      <c r="BL57">
        <v>12.1</v>
      </c>
      <c r="BM57">
        <v>175.789999999999</v>
      </c>
      <c r="BN57">
        <v>5.4</v>
      </c>
    </row>
    <row r="58" spans="1:66" x14ac:dyDescent="0.3">
      <c r="A58">
        <v>57</v>
      </c>
      <c r="B58" t="s">
        <v>430</v>
      </c>
      <c r="C58" s="2" t="s">
        <v>448</v>
      </c>
      <c r="D58">
        <v>89</v>
      </c>
      <c r="E58" s="1">
        <v>43207</v>
      </c>
      <c r="F58" s="1">
        <v>43195</v>
      </c>
      <c r="G58" s="1">
        <v>43193.527673611112</v>
      </c>
      <c r="H58" t="s">
        <v>17</v>
      </c>
      <c r="I58" t="s">
        <v>15</v>
      </c>
      <c r="J58" t="s">
        <v>35</v>
      </c>
      <c r="K58" t="s">
        <v>16</v>
      </c>
      <c r="L58">
        <v>10</v>
      </c>
      <c r="M58" t="s">
        <v>79</v>
      </c>
      <c r="N58" t="s">
        <v>35</v>
      </c>
      <c r="O58" t="s">
        <v>25</v>
      </c>
      <c r="P58" t="s">
        <v>75</v>
      </c>
      <c r="Q58" t="s">
        <v>18</v>
      </c>
      <c r="R58" t="s">
        <v>76</v>
      </c>
      <c r="S58" t="s">
        <v>16</v>
      </c>
      <c r="T58" t="s">
        <v>23</v>
      </c>
      <c r="U58" t="s">
        <v>96</v>
      </c>
      <c r="V58" t="s">
        <v>16</v>
      </c>
      <c r="W58" t="s">
        <v>23</v>
      </c>
      <c r="X58" t="s">
        <v>90</v>
      </c>
      <c r="Y58">
        <v>5.8699998855590803</v>
      </c>
      <c r="Z58">
        <v>5.5199999809265101</v>
      </c>
      <c r="AA58">
        <v>1.0900000333786</v>
      </c>
      <c r="AB58">
        <v>0.83999997377395597</v>
      </c>
      <c r="AC58">
        <v>227.14527893066401</v>
      </c>
      <c r="AD58">
        <v>129</v>
      </c>
      <c r="AE58">
        <v>1</v>
      </c>
      <c r="AF58">
        <v>72</v>
      </c>
      <c r="AG58">
        <v>103</v>
      </c>
      <c r="AH58">
        <v>3.8800001144409202</v>
      </c>
      <c r="AI58">
        <v>4.0500001907348597</v>
      </c>
      <c r="AJ58">
        <v>25.430000305175799</v>
      </c>
      <c r="AK58">
        <v>4.6700000762939498</v>
      </c>
      <c r="AL58">
        <v>8.7799997329711896</v>
      </c>
      <c r="AM58">
        <v>11.7299995422363</v>
      </c>
      <c r="AN58" t="s">
        <v>199</v>
      </c>
      <c r="AO58">
        <v>69</v>
      </c>
      <c r="AP58">
        <v>25.344352617079899</v>
      </c>
      <c r="AQ58" s="1">
        <v>43152</v>
      </c>
      <c r="AR58" s="1" t="s">
        <v>16</v>
      </c>
      <c r="AS58" s="1">
        <v>43153</v>
      </c>
      <c r="AT58" s="1">
        <v>43151</v>
      </c>
      <c r="AU58" s="1">
        <v>43153</v>
      </c>
      <c r="AV58" s="1"/>
      <c r="AW58" s="1">
        <v>43153</v>
      </c>
      <c r="AX58" s="1" t="s">
        <v>16</v>
      </c>
      <c r="AY58" t="s">
        <v>16</v>
      </c>
      <c r="AZ58">
        <v>109</v>
      </c>
      <c r="BA58">
        <v>52</v>
      </c>
      <c r="BB58">
        <v>0</v>
      </c>
      <c r="BC58">
        <f>(140-D58)*AO58/(72*BI58)</f>
        <v>10.789183222958057</v>
      </c>
      <c r="BD58">
        <v>131</v>
      </c>
      <c r="BE58">
        <v>4.7999999999999901</v>
      </c>
      <c r="BF58">
        <v>3.1</v>
      </c>
      <c r="BH58">
        <v>277</v>
      </c>
      <c r="BI58">
        <v>4.53</v>
      </c>
      <c r="BJ58">
        <v>8.6999999999999904</v>
      </c>
      <c r="BK58">
        <v>6.5</v>
      </c>
      <c r="BL58">
        <v>12.1</v>
      </c>
      <c r="BM58">
        <v>63.31</v>
      </c>
      <c r="BN58">
        <v>5.9</v>
      </c>
    </row>
    <row r="59" spans="1:66" x14ac:dyDescent="0.3">
      <c r="A59">
        <v>58</v>
      </c>
      <c r="B59" t="s">
        <v>434</v>
      </c>
      <c r="C59" s="2" t="s">
        <v>449</v>
      </c>
      <c r="D59">
        <v>59</v>
      </c>
      <c r="E59" s="1">
        <v>41604</v>
      </c>
      <c r="F59" s="1">
        <v>41270</v>
      </c>
      <c r="G59" s="1">
        <v>40931.274895833332</v>
      </c>
      <c r="H59" t="s">
        <v>15</v>
      </c>
      <c r="I59" t="s">
        <v>15</v>
      </c>
      <c r="J59" t="s">
        <v>37</v>
      </c>
      <c r="K59" t="s">
        <v>16</v>
      </c>
      <c r="L59">
        <v>65</v>
      </c>
      <c r="M59" t="s">
        <v>17</v>
      </c>
      <c r="N59" t="s">
        <v>14</v>
      </c>
      <c r="O59" t="s">
        <v>17</v>
      </c>
      <c r="P59" t="s">
        <v>16</v>
      </c>
      <c r="Q59" t="s">
        <v>16</v>
      </c>
      <c r="R59" t="s">
        <v>16</v>
      </c>
      <c r="S59" t="s">
        <v>16</v>
      </c>
      <c r="T59" t="s">
        <v>18</v>
      </c>
      <c r="U59" t="s">
        <v>16</v>
      </c>
      <c r="V59" t="s">
        <v>16</v>
      </c>
      <c r="W59" t="s">
        <v>19</v>
      </c>
      <c r="X59" t="s">
        <v>90</v>
      </c>
      <c r="Y59">
        <v>5</v>
      </c>
      <c r="Z59">
        <v>2.7000000476837198</v>
      </c>
      <c r="AA59">
        <v>1.1000000238418599</v>
      </c>
      <c r="AB59">
        <v>0.89999997615814198</v>
      </c>
      <c r="AC59">
        <v>181.975997924805</v>
      </c>
      <c r="AD59">
        <v>103</v>
      </c>
      <c r="AE59">
        <v>1</v>
      </c>
      <c r="AF59">
        <v>82</v>
      </c>
      <c r="AG59">
        <v>150</v>
      </c>
      <c r="AH59">
        <v>7</v>
      </c>
      <c r="AI59">
        <v>6</v>
      </c>
      <c r="AJ59">
        <v>25</v>
      </c>
      <c r="AK59">
        <v>8</v>
      </c>
      <c r="AL59">
        <v>5</v>
      </c>
      <c r="AM59">
        <v>30</v>
      </c>
      <c r="AN59" t="s">
        <v>200</v>
      </c>
      <c r="AO59">
        <v>74</v>
      </c>
      <c r="AP59">
        <v>30.8012486992716</v>
      </c>
      <c r="AQ59" s="1" t="s">
        <v>16</v>
      </c>
      <c r="AR59" s="1" t="s">
        <v>16</v>
      </c>
      <c r="AS59" s="1" t="s">
        <v>16</v>
      </c>
      <c r="AT59" s="1">
        <v>41297</v>
      </c>
      <c r="AU59" s="1">
        <v>40524</v>
      </c>
      <c r="AV59" s="1"/>
      <c r="AW59" s="1">
        <v>40524</v>
      </c>
      <c r="AX59" s="1" t="s">
        <v>16</v>
      </c>
      <c r="AY59" t="s">
        <v>16</v>
      </c>
      <c r="AZ59">
        <v>132</v>
      </c>
      <c r="BA59">
        <v>57</v>
      </c>
      <c r="BB59">
        <v>5</v>
      </c>
      <c r="BC59">
        <f>(140-D59)*AO59/(72*BI59)</f>
        <v>26.768488745980793</v>
      </c>
      <c r="BD59">
        <v>139</v>
      </c>
      <c r="BE59">
        <v>4</v>
      </c>
      <c r="BF59">
        <v>3.2999999999999901</v>
      </c>
      <c r="BG59">
        <v>11.1999999999999</v>
      </c>
      <c r="BH59">
        <v>212</v>
      </c>
      <c r="BI59">
        <v>3.1099999999999901</v>
      </c>
      <c r="BJ59">
        <v>9.5</v>
      </c>
      <c r="BK59">
        <v>4.0999999999999899</v>
      </c>
      <c r="BL59">
        <v>14.6999999999999</v>
      </c>
      <c r="BM59">
        <v>126.43</v>
      </c>
      <c r="BN59">
        <v>6.7</v>
      </c>
    </row>
    <row r="60" spans="1:66" x14ac:dyDescent="0.3">
      <c r="A60">
        <v>59</v>
      </c>
      <c r="B60" t="s">
        <v>430</v>
      </c>
      <c r="C60" s="2" t="s">
        <v>449</v>
      </c>
      <c r="D60">
        <v>81</v>
      </c>
      <c r="E60" s="1" t="s">
        <v>16</v>
      </c>
      <c r="F60" s="1">
        <v>43657</v>
      </c>
      <c r="G60" s="1">
        <v>43660.407083333332</v>
      </c>
      <c r="H60" t="s">
        <v>16</v>
      </c>
      <c r="I60" t="s">
        <v>16</v>
      </c>
      <c r="J60" t="s">
        <v>16</v>
      </c>
      <c r="K60" t="s">
        <v>74</v>
      </c>
      <c r="L60">
        <v>60</v>
      </c>
      <c r="M60" t="s">
        <v>16</v>
      </c>
      <c r="N60" t="s">
        <v>16</v>
      </c>
      <c r="O60" t="s">
        <v>17</v>
      </c>
      <c r="P60" t="s">
        <v>75</v>
      </c>
      <c r="Q60" t="s">
        <v>33</v>
      </c>
      <c r="R60" t="s">
        <v>16</v>
      </c>
      <c r="S60" t="s">
        <v>16</v>
      </c>
      <c r="T60" t="s">
        <v>19</v>
      </c>
      <c r="U60" t="s">
        <v>16</v>
      </c>
      <c r="V60" t="s">
        <v>16</v>
      </c>
      <c r="W60" t="s">
        <v>19</v>
      </c>
      <c r="X60" t="s">
        <v>78</v>
      </c>
      <c r="Y60">
        <v>5.1999998092651403</v>
      </c>
      <c r="Z60">
        <v>3.7699999809265101</v>
      </c>
      <c r="AA60">
        <v>0.86000001430511497</v>
      </c>
      <c r="AB60">
        <v>0.69999998807907104</v>
      </c>
      <c r="AC60">
        <v>140.63206481933599</v>
      </c>
      <c r="AD60">
        <v>80</v>
      </c>
      <c r="AE60">
        <v>1</v>
      </c>
      <c r="AF60">
        <v>47</v>
      </c>
      <c r="AG60">
        <v>104</v>
      </c>
      <c r="AH60">
        <v>6.2699999809265101</v>
      </c>
      <c r="AI60">
        <v>5.5100002288818404</v>
      </c>
      <c r="AJ60">
        <v>18.870000839233398</v>
      </c>
      <c r="AK60">
        <v>7.4400000572204599</v>
      </c>
      <c r="AL60">
        <v>7.5999999046325701</v>
      </c>
      <c r="AM60">
        <v>13.680000305175801</v>
      </c>
      <c r="AN60" t="s">
        <v>201</v>
      </c>
      <c r="AO60" t="s">
        <v>16</v>
      </c>
      <c r="AP60" t="s">
        <v>16</v>
      </c>
      <c r="AQ60" s="1" t="s">
        <v>16</v>
      </c>
      <c r="AR60" s="1" t="s">
        <v>16</v>
      </c>
      <c r="AS60" s="1" t="s">
        <v>16</v>
      </c>
      <c r="AT60" s="1">
        <v>43660</v>
      </c>
      <c r="AU60" s="1">
        <v>41768</v>
      </c>
      <c r="AV60" s="1"/>
      <c r="AW60" s="1" t="s">
        <v>16</v>
      </c>
      <c r="AX60" s="1" t="s">
        <v>16</v>
      </c>
      <c r="AY60" t="s">
        <v>21</v>
      </c>
      <c r="AZ60">
        <v>169</v>
      </c>
      <c r="BA60">
        <v>72</v>
      </c>
      <c r="BB60">
        <v>0</v>
      </c>
      <c r="BC60">
        <v>5.8</v>
      </c>
      <c r="BD60">
        <v>140</v>
      </c>
      <c r="BE60">
        <v>4.9000000000000004</v>
      </c>
      <c r="BF60">
        <v>2.8999999999999901</v>
      </c>
      <c r="BH60">
        <v>170</v>
      </c>
      <c r="BI60">
        <v>6.8099999999999898</v>
      </c>
      <c r="BJ60">
        <v>5.5</v>
      </c>
      <c r="BK60">
        <v>6.4</v>
      </c>
      <c r="BL60">
        <v>7.7999999999999901</v>
      </c>
      <c r="BM60">
        <v>17.489999999999899</v>
      </c>
    </row>
    <row r="61" spans="1:66" x14ac:dyDescent="0.3">
      <c r="A61">
        <v>60</v>
      </c>
      <c r="B61" t="s">
        <v>435</v>
      </c>
      <c r="C61" s="2" t="s">
        <v>448</v>
      </c>
      <c r="D61">
        <v>95</v>
      </c>
      <c r="E61" s="1">
        <v>41006</v>
      </c>
      <c r="F61" s="1">
        <v>40062</v>
      </c>
      <c r="G61" s="1">
        <v>40031.578553240739</v>
      </c>
      <c r="H61" t="s">
        <v>15</v>
      </c>
      <c r="I61" t="s">
        <v>16</v>
      </c>
      <c r="J61" t="s">
        <v>15</v>
      </c>
      <c r="K61" t="s">
        <v>16</v>
      </c>
      <c r="L61">
        <v>60</v>
      </c>
      <c r="M61" t="s">
        <v>17</v>
      </c>
      <c r="N61" t="s">
        <v>15</v>
      </c>
      <c r="O61" t="s">
        <v>17</v>
      </c>
      <c r="P61" t="s">
        <v>75</v>
      </c>
      <c r="Q61" t="s">
        <v>19</v>
      </c>
      <c r="R61" t="s">
        <v>91</v>
      </c>
      <c r="S61" t="s">
        <v>16</v>
      </c>
      <c r="T61" t="s">
        <v>27</v>
      </c>
      <c r="U61" t="s">
        <v>181</v>
      </c>
      <c r="V61" t="s">
        <v>16</v>
      </c>
      <c r="W61" t="s">
        <v>18</v>
      </c>
      <c r="X61" t="s">
        <v>78</v>
      </c>
      <c r="Y61">
        <v>4.8000001907348597</v>
      </c>
      <c r="Z61">
        <v>2.7000000476837198</v>
      </c>
      <c r="AA61">
        <v>0.89999997615814198</v>
      </c>
      <c r="AB61">
        <v>0.89999997615814198</v>
      </c>
      <c r="AC61">
        <v>148</v>
      </c>
      <c r="AD61">
        <v>90</v>
      </c>
      <c r="AE61">
        <v>1</v>
      </c>
      <c r="AF61">
        <v>43.650001525878899</v>
      </c>
      <c r="AG61">
        <v>128</v>
      </c>
      <c r="AH61">
        <v>6</v>
      </c>
      <c r="AI61">
        <v>6</v>
      </c>
      <c r="AJ61">
        <v>21.329999923706101</v>
      </c>
      <c r="AK61">
        <v>5</v>
      </c>
      <c r="AL61">
        <v>8</v>
      </c>
      <c r="AM61">
        <v>16</v>
      </c>
      <c r="AN61" t="s">
        <v>202</v>
      </c>
      <c r="AO61">
        <v>56</v>
      </c>
      <c r="AP61">
        <v>19.377162629757802</v>
      </c>
      <c r="AQ61" s="1" t="s">
        <v>16</v>
      </c>
      <c r="AR61" s="1" t="s">
        <v>16</v>
      </c>
      <c r="AS61" s="1">
        <v>40170</v>
      </c>
      <c r="AT61" s="1">
        <v>39144</v>
      </c>
      <c r="AU61" s="1">
        <v>40322</v>
      </c>
      <c r="AV61" s="1"/>
      <c r="AW61" s="1">
        <v>40322</v>
      </c>
      <c r="AX61" s="1">
        <v>40991</v>
      </c>
      <c r="AY61" t="s">
        <v>21</v>
      </c>
      <c r="BB61">
        <v>0</v>
      </c>
      <c r="BC61">
        <f>(140-D61)*AO61/(72*BI61)</f>
        <v>5.0359712230215825</v>
      </c>
      <c r="BD61">
        <v>139</v>
      </c>
      <c r="BE61">
        <v>5</v>
      </c>
      <c r="BF61">
        <v>3.3999999999999901</v>
      </c>
      <c r="BG61">
        <v>13.6999999999999</v>
      </c>
      <c r="BH61">
        <v>25</v>
      </c>
      <c r="BI61">
        <v>6.95</v>
      </c>
      <c r="BJ61">
        <v>9.6999999999999904</v>
      </c>
      <c r="BK61">
        <v>4.49</v>
      </c>
      <c r="BL61">
        <v>4.0999999999999899</v>
      </c>
      <c r="BM61">
        <v>12.34</v>
      </c>
    </row>
    <row r="62" spans="1:66" x14ac:dyDescent="0.3">
      <c r="A62">
        <v>61</v>
      </c>
      <c r="B62" t="s">
        <v>430</v>
      </c>
      <c r="C62" s="2" t="s">
        <v>448</v>
      </c>
      <c r="D62">
        <v>94</v>
      </c>
      <c r="E62" s="1">
        <v>43889</v>
      </c>
      <c r="F62" s="1">
        <v>43451</v>
      </c>
      <c r="G62" s="1">
        <v>43446.370775462965</v>
      </c>
      <c r="H62" t="s">
        <v>15</v>
      </c>
      <c r="I62" t="s">
        <v>16</v>
      </c>
      <c r="J62" t="s">
        <v>24</v>
      </c>
      <c r="K62" t="s">
        <v>16</v>
      </c>
      <c r="L62">
        <v>50</v>
      </c>
      <c r="M62" t="s">
        <v>16</v>
      </c>
      <c r="N62" t="s">
        <v>16</v>
      </c>
      <c r="O62" t="s">
        <v>17</v>
      </c>
      <c r="P62" t="s">
        <v>75</v>
      </c>
      <c r="Q62" t="s">
        <v>33</v>
      </c>
      <c r="R62" t="s">
        <v>16</v>
      </c>
      <c r="S62" t="s">
        <v>16</v>
      </c>
      <c r="T62" t="s">
        <v>19</v>
      </c>
      <c r="U62" t="s">
        <v>16</v>
      </c>
      <c r="V62" t="s">
        <v>16</v>
      </c>
      <c r="W62" t="s">
        <v>23</v>
      </c>
      <c r="X62" t="s">
        <v>78</v>
      </c>
      <c r="Y62">
        <v>4.3000001907348597</v>
      </c>
      <c r="Z62">
        <v>3.5</v>
      </c>
      <c r="AA62">
        <v>1.1000000238418599</v>
      </c>
      <c r="AB62">
        <v>1</v>
      </c>
      <c r="AC62">
        <v>152.55398559570301</v>
      </c>
      <c r="AD62">
        <v>88</v>
      </c>
      <c r="AE62">
        <v>1.0599999427795399</v>
      </c>
      <c r="AF62">
        <v>45</v>
      </c>
      <c r="AG62">
        <v>114</v>
      </c>
      <c r="AH62">
        <v>4.6999998092651403</v>
      </c>
      <c r="AI62">
        <v>14</v>
      </c>
      <c r="AJ62">
        <v>8.1400003433227504</v>
      </c>
      <c r="AK62">
        <v>6</v>
      </c>
      <c r="AL62">
        <v>12</v>
      </c>
      <c r="AM62">
        <v>9.5</v>
      </c>
      <c r="AN62" t="s">
        <v>203</v>
      </c>
      <c r="AO62">
        <v>70</v>
      </c>
      <c r="AP62">
        <v>24.2214532871972</v>
      </c>
      <c r="AQ62" s="1" t="s">
        <v>16</v>
      </c>
      <c r="AR62" s="1" t="s">
        <v>16</v>
      </c>
      <c r="AS62" s="1" t="s">
        <v>16</v>
      </c>
      <c r="AT62" s="1" t="s">
        <v>16</v>
      </c>
      <c r="AU62" s="1">
        <v>43444</v>
      </c>
      <c r="AV62" s="1">
        <v>43444.66825185185</v>
      </c>
      <c r="AW62" s="1">
        <v>43444</v>
      </c>
      <c r="AX62" s="1" t="s">
        <v>16</v>
      </c>
      <c r="AY62" t="s">
        <v>16</v>
      </c>
      <c r="AZ62">
        <v>181</v>
      </c>
      <c r="BA62">
        <v>77</v>
      </c>
      <c r="BB62">
        <v>0</v>
      </c>
      <c r="BC62">
        <f>(140-D62)*AO62/(72*BI62)</f>
        <v>6.4348521183053551</v>
      </c>
      <c r="BD62">
        <v>138</v>
      </c>
      <c r="BE62">
        <v>3.7999999999999901</v>
      </c>
      <c r="BF62">
        <v>1.8999999999999899</v>
      </c>
      <c r="BG62">
        <v>10.6</v>
      </c>
      <c r="BH62">
        <v>202</v>
      </c>
      <c r="BI62">
        <v>6.95</v>
      </c>
      <c r="BJ62">
        <v>5.7999999999999901</v>
      </c>
      <c r="BK62">
        <v>3</v>
      </c>
      <c r="BL62">
        <v>9.5999999999999908</v>
      </c>
      <c r="BM62">
        <v>137.61000000000001</v>
      </c>
      <c r="BN62">
        <v>7.5999999999999899</v>
      </c>
    </row>
    <row r="63" spans="1:66" x14ac:dyDescent="0.3">
      <c r="A63">
        <v>62</v>
      </c>
      <c r="B63" t="s">
        <v>430</v>
      </c>
      <c r="C63" s="2" t="s">
        <v>449</v>
      </c>
      <c r="D63">
        <v>73</v>
      </c>
      <c r="E63" s="1">
        <v>44976</v>
      </c>
      <c r="F63" s="1">
        <v>44145</v>
      </c>
      <c r="G63" s="1">
        <v>44175.420034722221</v>
      </c>
      <c r="H63" t="s">
        <v>15</v>
      </c>
      <c r="I63" t="s">
        <v>78</v>
      </c>
      <c r="J63" t="s">
        <v>14</v>
      </c>
      <c r="K63" t="s">
        <v>16</v>
      </c>
      <c r="L63">
        <v>45</v>
      </c>
      <c r="M63" t="s">
        <v>16</v>
      </c>
      <c r="N63" t="s">
        <v>16</v>
      </c>
      <c r="O63" t="s">
        <v>15</v>
      </c>
      <c r="P63" t="s">
        <v>75</v>
      </c>
      <c r="Q63" t="s">
        <v>18</v>
      </c>
      <c r="R63" t="s">
        <v>16</v>
      </c>
      <c r="S63" t="s">
        <v>16</v>
      </c>
      <c r="T63" t="s">
        <v>18</v>
      </c>
      <c r="U63" t="s">
        <v>96</v>
      </c>
      <c r="V63" t="s">
        <v>93</v>
      </c>
      <c r="W63" t="s">
        <v>18</v>
      </c>
      <c r="X63" t="s">
        <v>16</v>
      </c>
      <c r="Y63">
        <v>4.6999998092651403</v>
      </c>
      <c r="Z63">
        <v>3.4000000953674299</v>
      </c>
      <c r="AA63">
        <v>1.20000004768372</v>
      </c>
      <c r="AB63">
        <v>1</v>
      </c>
      <c r="AC63">
        <v>187.53875732421901</v>
      </c>
      <c r="AD63">
        <v>99</v>
      </c>
      <c r="AE63">
        <v>1.5</v>
      </c>
      <c r="AF63" t="s">
        <v>16</v>
      </c>
      <c r="AG63">
        <v>77.5</v>
      </c>
      <c r="AH63">
        <v>5.8200001716613796</v>
      </c>
      <c r="AI63">
        <v>4.21000003814697</v>
      </c>
      <c r="AJ63">
        <v>18.409999847412099</v>
      </c>
      <c r="AK63">
        <v>5.0100002288818404</v>
      </c>
      <c r="AL63">
        <v>5.0799999237060502</v>
      </c>
      <c r="AM63">
        <v>15.2600002288818</v>
      </c>
      <c r="AN63" t="s">
        <v>204</v>
      </c>
      <c r="AO63">
        <v>72</v>
      </c>
      <c r="AP63">
        <v>25.5102040816327</v>
      </c>
      <c r="AQ63" s="1">
        <v>44177</v>
      </c>
      <c r="AR63" s="1" t="s">
        <v>16</v>
      </c>
      <c r="AS63" s="1">
        <v>44178</v>
      </c>
      <c r="AT63" s="1" t="s">
        <v>16</v>
      </c>
      <c r="AU63" s="1">
        <v>44164</v>
      </c>
      <c r="AV63" s="1"/>
      <c r="AW63" s="1">
        <v>44164</v>
      </c>
      <c r="AX63" s="1" t="s">
        <v>16</v>
      </c>
      <c r="AY63" t="s">
        <v>16</v>
      </c>
      <c r="AZ63">
        <v>191</v>
      </c>
      <c r="BA63">
        <v>78</v>
      </c>
      <c r="BB63">
        <v>7</v>
      </c>
      <c r="BC63">
        <f>(140-D63)*AO63/(72*BI63)</f>
        <v>9.6960926193921857</v>
      </c>
      <c r="BD63">
        <v>140</v>
      </c>
      <c r="BE63">
        <v>6.2999999999999901</v>
      </c>
      <c r="BF63">
        <v>3.7</v>
      </c>
      <c r="BG63">
        <v>8.3000000000000007</v>
      </c>
      <c r="BH63">
        <v>289</v>
      </c>
      <c r="BI63">
        <v>6.91</v>
      </c>
      <c r="BJ63">
        <v>9.0999999999999908</v>
      </c>
      <c r="BK63">
        <v>7.7</v>
      </c>
      <c r="BL63">
        <v>9</v>
      </c>
      <c r="BM63">
        <v>5.37</v>
      </c>
      <c r="BN63">
        <v>7.7999999999999901</v>
      </c>
    </row>
    <row r="64" spans="1:66" x14ac:dyDescent="0.3">
      <c r="A64">
        <v>63</v>
      </c>
      <c r="B64" t="s">
        <v>430</v>
      </c>
      <c r="C64" s="2" t="s">
        <v>448</v>
      </c>
      <c r="D64">
        <v>78</v>
      </c>
      <c r="E64" s="1" t="s">
        <v>16</v>
      </c>
      <c r="F64" s="1">
        <v>44846</v>
      </c>
      <c r="G64" s="1">
        <v>44544.47861111111</v>
      </c>
      <c r="H64" t="s">
        <v>16</v>
      </c>
      <c r="I64" t="s">
        <v>16</v>
      </c>
      <c r="J64" t="s">
        <v>16</v>
      </c>
      <c r="K64" t="s">
        <v>74</v>
      </c>
      <c r="L64">
        <v>60</v>
      </c>
      <c r="M64" t="s">
        <v>16</v>
      </c>
      <c r="N64" t="s">
        <v>16</v>
      </c>
      <c r="O64" t="s">
        <v>17</v>
      </c>
      <c r="P64" t="s">
        <v>133</v>
      </c>
      <c r="Q64" t="s">
        <v>18</v>
      </c>
      <c r="R64" t="s">
        <v>16</v>
      </c>
      <c r="S64" t="s">
        <v>16</v>
      </c>
      <c r="T64" t="s">
        <v>19</v>
      </c>
      <c r="U64" t="s">
        <v>205</v>
      </c>
      <c r="V64" t="s">
        <v>16</v>
      </c>
      <c r="W64" t="s">
        <v>23</v>
      </c>
      <c r="X64" t="s">
        <v>87</v>
      </c>
      <c r="Y64">
        <v>5</v>
      </c>
      <c r="Z64">
        <v>2.5999999046325701</v>
      </c>
      <c r="AA64">
        <v>1</v>
      </c>
      <c r="AB64">
        <v>0.80000001192092896</v>
      </c>
      <c r="AC64">
        <v>158.20742797851599</v>
      </c>
      <c r="AD64">
        <v>85</v>
      </c>
      <c r="AE64">
        <v>1</v>
      </c>
      <c r="AF64">
        <v>49</v>
      </c>
      <c r="AG64">
        <v>176</v>
      </c>
      <c r="AH64" t="s">
        <v>16</v>
      </c>
      <c r="AI64">
        <v>8.2700004577636701</v>
      </c>
      <c r="AJ64">
        <v>21.280000686645501</v>
      </c>
      <c r="AK64">
        <v>9.3599996566772496</v>
      </c>
      <c r="AL64">
        <v>9.0299997329711896</v>
      </c>
      <c r="AM64">
        <v>19.4899997711182</v>
      </c>
      <c r="AN64" t="s">
        <v>206</v>
      </c>
      <c r="AO64">
        <v>75</v>
      </c>
      <c r="AP64">
        <v>25.351541373715499</v>
      </c>
      <c r="AQ64" s="1" t="s">
        <v>16</v>
      </c>
      <c r="AR64" s="1">
        <v>42164</v>
      </c>
      <c r="AS64" s="1">
        <v>44810</v>
      </c>
      <c r="AT64" s="1">
        <v>42170</v>
      </c>
      <c r="AU64" s="1">
        <v>40098</v>
      </c>
      <c r="AV64" s="1">
        <v>40098.396015428239</v>
      </c>
      <c r="AW64" s="1">
        <v>40098</v>
      </c>
      <c r="AX64" s="1" t="s">
        <v>16</v>
      </c>
      <c r="AY64" t="s">
        <v>16</v>
      </c>
      <c r="AZ64">
        <v>155</v>
      </c>
      <c r="BA64">
        <v>72</v>
      </c>
      <c r="BB64">
        <v>1</v>
      </c>
      <c r="BC64">
        <f>(140-D64)*AO64/(72*BI64)</f>
        <v>13.454861111111139</v>
      </c>
      <c r="BD64">
        <v>133</v>
      </c>
      <c r="BE64">
        <v>3.2</v>
      </c>
      <c r="BF64">
        <v>3.2</v>
      </c>
      <c r="BG64">
        <v>8</v>
      </c>
      <c r="BH64">
        <v>226</v>
      </c>
      <c r="BI64">
        <v>4.7999999999999901</v>
      </c>
      <c r="BJ64">
        <v>5.7</v>
      </c>
      <c r="BK64">
        <v>6.2</v>
      </c>
      <c r="BL64">
        <v>8.9</v>
      </c>
      <c r="BM64">
        <v>4.25</v>
      </c>
      <c r="BN64">
        <v>6.0999999999999899</v>
      </c>
    </row>
    <row r="65" spans="1:66" x14ac:dyDescent="0.3">
      <c r="A65">
        <v>64</v>
      </c>
      <c r="B65" t="s">
        <v>430</v>
      </c>
      <c r="C65" s="2" t="s">
        <v>448</v>
      </c>
      <c r="D65">
        <v>75</v>
      </c>
      <c r="E65" s="1">
        <v>42978</v>
      </c>
      <c r="F65" s="1">
        <v>42954</v>
      </c>
      <c r="G65" s="1">
        <v>42975.58116898148</v>
      </c>
      <c r="H65" t="s">
        <v>15</v>
      </c>
      <c r="I65" t="s">
        <v>78</v>
      </c>
      <c r="J65" t="s">
        <v>15</v>
      </c>
      <c r="K65" t="s">
        <v>145</v>
      </c>
      <c r="L65">
        <v>55</v>
      </c>
      <c r="M65" t="s">
        <v>79</v>
      </c>
      <c r="N65" t="s">
        <v>14</v>
      </c>
      <c r="O65" t="s">
        <v>17</v>
      </c>
      <c r="P65" t="s">
        <v>15</v>
      </c>
      <c r="Q65" t="s">
        <v>16</v>
      </c>
      <c r="R65" t="s">
        <v>16</v>
      </c>
      <c r="S65" t="s">
        <v>16</v>
      </c>
      <c r="T65" t="s">
        <v>23</v>
      </c>
      <c r="U65" t="s">
        <v>16</v>
      </c>
      <c r="V65" t="s">
        <v>16</v>
      </c>
      <c r="W65" t="s">
        <v>23</v>
      </c>
      <c r="X65" t="s">
        <v>78</v>
      </c>
      <c r="Y65">
        <v>4.75</v>
      </c>
      <c r="Z65">
        <v>2.8699998855590798</v>
      </c>
      <c r="AA65">
        <v>1.4099999666214</v>
      </c>
      <c r="AB65">
        <v>1.20000004768372</v>
      </c>
      <c r="AC65">
        <v>243.14163208007801</v>
      </c>
      <c r="AD65">
        <v>149</v>
      </c>
      <c r="AE65">
        <v>1</v>
      </c>
      <c r="AF65">
        <v>44</v>
      </c>
      <c r="AG65">
        <v>105</v>
      </c>
      <c r="AH65">
        <v>4</v>
      </c>
      <c r="AI65">
        <v>5</v>
      </c>
      <c r="AJ65">
        <v>21</v>
      </c>
      <c r="AK65">
        <v>4</v>
      </c>
      <c r="AL65">
        <v>5</v>
      </c>
      <c r="AM65">
        <v>21</v>
      </c>
      <c r="AN65" t="s">
        <v>207</v>
      </c>
      <c r="AO65" t="s">
        <v>16</v>
      </c>
      <c r="AP65" t="s">
        <v>16</v>
      </c>
      <c r="AQ65" s="1" t="s">
        <v>16</v>
      </c>
      <c r="AR65" s="1" t="s">
        <v>16</v>
      </c>
      <c r="AS65" s="1" t="s">
        <v>16</v>
      </c>
      <c r="AT65" s="1">
        <v>42968</v>
      </c>
      <c r="AU65" s="1" t="s">
        <v>16</v>
      </c>
      <c r="AV65" s="1"/>
      <c r="AW65" s="1" t="s">
        <v>16</v>
      </c>
      <c r="AX65" s="1" t="s">
        <v>16</v>
      </c>
      <c r="AY65" t="s">
        <v>21</v>
      </c>
      <c r="AZ65">
        <v>103</v>
      </c>
      <c r="BA65">
        <v>63</v>
      </c>
      <c r="BB65">
        <v>0</v>
      </c>
      <c r="BC65">
        <v>17.3</v>
      </c>
      <c r="BD65">
        <v>143</v>
      </c>
      <c r="BE65">
        <v>3.6</v>
      </c>
      <c r="BF65">
        <v>3.2</v>
      </c>
      <c r="BG65">
        <v>9.4</v>
      </c>
      <c r="BH65">
        <v>103</v>
      </c>
      <c r="BI65">
        <v>3.48</v>
      </c>
      <c r="BJ65">
        <v>8.4</v>
      </c>
      <c r="BK65">
        <v>5.65</v>
      </c>
      <c r="BL65">
        <v>3.8999999999999901</v>
      </c>
      <c r="BM65">
        <v>8.5099999999999891</v>
      </c>
    </row>
    <row r="66" spans="1:66" x14ac:dyDescent="0.3">
      <c r="A66">
        <v>65</v>
      </c>
      <c r="B66" t="s">
        <v>430</v>
      </c>
      <c r="C66" s="2" t="s">
        <v>448</v>
      </c>
      <c r="D66">
        <v>77</v>
      </c>
      <c r="E66" s="1">
        <v>41609</v>
      </c>
      <c r="F66" s="1">
        <v>41498</v>
      </c>
      <c r="G66" s="1">
        <v>41448.500289351854</v>
      </c>
      <c r="H66" t="s">
        <v>17</v>
      </c>
      <c r="I66" t="s">
        <v>78</v>
      </c>
      <c r="J66" t="s">
        <v>35</v>
      </c>
      <c r="K66" t="s">
        <v>16</v>
      </c>
      <c r="L66">
        <v>15</v>
      </c>
      <c r="M66" t="s">
        <v>79</v>
      </c>
      <c r="N66" t="s">
        <v>35</v>
      </c>
      <c r="O66" t="s">
        <v>25</v>
      </c>
      <c r="P66" t="s">
        <v>75</v>
      </c>
      <c r="Q66" t="s">
        <v>34</v>
      </c>
      <c r="R66" t="s">
        <v>80</v>
      </c>
      <c r="S66" t="s">
        <v>16</v>
      </c>
      <c r="T66" t="s">
        <v>29</v>
      </c>
      <c r="U66" t="s">
        <v>16</v>
      </c>
      <c r="V66" t="s">
        <v>16</v>
      </c>
      <c r="W66" t="s">
        <v>29</v>
      </c>
      <c r="X66" t="s">
        <v>90</v>
      </c>
      <c r="Y66">
        <v>6.1599998474121103</v>
      </c>
      <c r="Z66">
        <v>5.6599998474121103</v>
      </c>
      <c r="AA66">
        <v>1.2200000286102299</v>
      </c>
      <c r="AB66">
        <v>1.1799999475479099</v>
      </c>
      <c r="AC66">
        <v>327.97296142578102</v>
      </c>
      <c r="AD66">
        <v>175</v>
      </c>
      <c r="AE66">
        <v>1</v>
      </c>
      <c r="AF66">
        <v>69</v>
      </c>
      <c r="AG66">
        <v>133.919998168945</v>
      </c>
      <c r="AH66">
        <v>3</v>
      </c>
      <c r="AI66">
        <v>2</v>
      </c>
      <c r="AJ66">
        <v>66.959999084472699</v>
      </c>
      <c r="AK66">
        <v>4</v>
      </c>
      <c r="AL66">
        <v>5</v>
      </c>
      <c r="AM66">
        <v>26.780000686645501</v>
      </c>
      <c r="AN66" t="s">
        <v>208</v>
      </c>
      <c r="AO66">
        <v>67</v>
      </c>
      <c r="AP66">
        <v>21.6296487603306</v>
      </c>
      <c r="AQ66" s="1" t="s">
        <v>16</v>
      </c>
      <c r="AR66" s="1">
        <v>41447</v>
      </c>
      <c r="AS66" s="1">
        <v>41447</v>
      </c>
      <c r="AT66" s="1" t="s">
        <v>16</v>
      </c>
      <c r="AU66" s="1">
        <v>41447</v>
      </c>
      <c r="AV66" s="1"/>
      <c r="AW66" s="1">
        <v>41447</v>
      </c>
      <c r="AX66" s="1" t="s">
        <v>16</v>
      </c>
      <c r="AY66" t="s">
        <v>21</v>
      </c>
      <c r="AZ66">
        <v>100</v>
      </c>
      <c r="BA66">
        <v>50</v>
      </c>
      <c r="BB66">
        <v>0</v>
      </c>
      <c r="BC66">
        <f t="shared" ref="BC66:BC76" si="3">(140-D66)*AO66/(72*BI66)</f>
        <v>17.344674556213068</v>
      </c>
      <c r="BD66">
        <v>142</v>
      </c>
      <c r="BE66">
        <v>4.0999999999999899</v>
      </c>
      <c r="BF66">
        <v>3.1</v>
      </c>
      <c r="BH66">
        <v>219</v>
      </c>
      <c r="BI66">
        <v>3.3799999999999901</v>
      </c>
      <c r="BJ66">
        <v>8.5999999999999908</v>
      </c>
      <c r="BK66">
        <v>3.7</v>
      </c>
      <c r="BL66">
        <v>12.3</v>
      </c>
      <c r="BM66">
        <v>12.67</v>
      </c>
    </row>
    <row r="67" spans="1:66" x14ac:dyDescent="0.3">
      <c r="A67">
        <v>66</v>
      </c>
      <c r="B67" t="s">
        <v>430</v>
      </c>
      <c r="C67" s="2" t="s">
        <v>449</v>
      </c>
      <c r="D67">
        <v>87</v>
      </c>
      <c r="E67" s="1">
        <v>43485</v>
      </c>
      <c r="F67" s="1">
        <v>40335</v>
      </c>
      <c r="G67" s="1">
        <v>40344.39644675926</v>
      </c>
      <c r="H67" t="s">
        <v>15</v>
      </c>
      <c r="I67" t="s">
        <v>15</v>
      </c>
      <c r="J67" t="s">
        <v>22</v>
      </c>
      <c r="K67" t="s">
        <v>106</v>
      </c>
      <c r="L67">
        <v>40</v>
      </c>
      <c r="M67" t="s">
        <v>15</v>
      </c>
      <c r="N67" t="s">
        <v>15</v>
      </c>
      <c r="O67" t="s">
        <v>17</v>
      </c>
      <c r="P67" t="s">
        <v>16</v>
      </c>
      <c r="Q67" t="s">
        <v>16</v>
      </c>
      <c r="R67" t="s">
        <v>16</v>
      </c>
      <c r="S67" t="s">
        <v>92</v>
      </c>
      <c r="T67" t="s">
        <v>27</v>
      </c>
      <c r="U67" t="s">
        <v>16</v>
      </c>
      <c r="V67" t="s">
        <v>16</v>
      </c>
      <c r="W67" t="s">
        <v>19</v>
      </c>
      <c r="X67" t="s">
        <v>78</v>
      </c>
      <c r="Y67">
        <v>4.9000000953674299</v>
      </c>
      <c r="Z67">
        <v>4</v>
      </c>
      <c r="AA67">
        <v>1</v>
      </c>
      <c r="AB67">
        <v>0.80000001192092896</v>
      </c>
      <c r="AC67">
        <v>153</v>
      </c>
      <c r="AD67">
        <v>109</v>
      </c>
      <c r="AE67">
        <v>1.9400000572204601</v>
      </c>
      <c r="AF67">
        <v>46</v>
      </c>
      <c r="AG67">
        <v>94</v>
      </c>
      <c r="AH67">
        <v>6</v>
      </c>
      <c r="AI67">
        <v>4</v>
      </c>
      <c r="AJ67">
        <v>23.5</v>
      </c>
      <c r="AK67">
        <v>5</v>
      </c>
      <c r="AL67">
        <v>6</v>
      </c>
      <c r="AM67">
        <v>15.670000076293899</v>
      </c>
      <c r="AN67" t="s">
        <v>209</v>
      </c>
      <c r="AO67">
        <v>55</v>
      </c>
      <c r="AP67">
        <v>22.8928199791883</v>
      </c>
      <c r="AQ67" s="1">
        <v>42670</v>
      </c>
      <c r="AR67" s="1" t="s">
        <v>16</v>
      </c>
      <c r="AS67" s="1">
        <v>42684</v>
      </c>
      <c r="AT67" s="1" t="s">
        <v>16</v>
      </c>
      <c r="AU67" s="1">
        <v>39969</v>
      </c>
      <c r="AV67" s="1"/>
      <c r="AW67" s="1" t="s">
        <v>16</v>
      </c>
      <c r="AX67" s="1" t="s">
        <v>16</v>
      </c>
      <c r="AY67" t="s">
        <v>16</v>
      </c>
      <c r="AZ67">
        <v>160</v>
      </c>
      <c r="BA67">
        <v>70</v>
      </c>
      <c r="BB67">
        <v>1</v>
      </c>
      <c r="BC67">
        <f t="shared" si="3"/>
        <v>5.1118827160493892</v>
      </c>
      <c r="BD67">
        <v>137</v>
      </c>
      <c r="BE67">
        <v>5.0999999999999899</v>
      </c>
      <c r="BF67">
        <v>3.6</v>
      </c>
      <c r="BG67">
        <v>12.3</v>
      </c>
      <c r="BH67">
        <v>162</v>
      </c>
      <c r="BI67">
        <v>7.9199999999999902</v>
      </c>
      <c r="BJ67">
        <v>9.0999999999999908</v>
      </c>
      <c r="BK67">
        <v>3.06</v>
      </c>
      <c r="BL67">
        <v>4.7</v>
      </c>
      <c r="BM67">
        <v>9.24</v>
      </c>
    </row>
    <row r="68" spans="1:66" x14ac:dyDescent="0.3">
      <c r="A68">
        <v>67</v>
      </c>
      <c r="B68" t="s">
        <v>430</v>
      </c>
      <c r="C68" s="2" t="s">
        <v>449</v>
      </c>
      <c r="D68">
        <v>65</v>
      </c>
      <c r="E68" s="1">
        <v>41320</v>
      </c>
      <c r="F68" s="1">
        <v>40962</v>
      </c>
      <c r="G68" s="1">
        <v>40618.392268518517</v>
      </c>
      <c r="H68" t="s">
        <v>15</v>
      </c>
      <c r="I68" t="s">
        <v>78</v>
      </c>
      <c r="J68" t="s">
        <v>15</v>
      </c>
      <c r="K68" t="s">
        <v>16</v>
      </c>
      <c r="L68">
        <v>60</v>
      </c>
      <c r="M68" t="s">
        <v>16</v>
      </c>
      <c r="N68" t="s">
        <v>16</v>
      </c>
      <c r="O68" t="s">
        <v>15</v>
      </c>
      <c r="P68" t="s">
        <v>16</v>
      </c>
      <c r="Q68" t="s">
        <v>16</v>
      </c>
      <c r="R68" t="s">
        <v>16</v>
      </c>
      <c r="S68" t="s">
        <v>16</v>
      </c>
      <c r="T68" t="s">
        <v>18</v>
      </c>
      <c r="U68" t="s">
        <v>16</v>
      </c>
      <c r="V68" t="s">
        <v>16</v>
      </c>
      <c r="W68" t="s">
        <v>18</v>
      </c>
      <c r="X68" t="s">
        <v>15</v>
      </c>
      <c r="Y68">
        <v>4.5</v>
      </c>
      <c r="Z68">
        <v>2.4000000953674299</v>
      </c>
      <c r="AA68">
        <v>1.20000004768372</v>
      </c>
      <c r="AB68">
        <v>1.1000000238418599</v>
      </c>
      <c r="AC68">
        <v>186.39141845703099</v>
      </c>
      <c r="AD68">
        <v>99</v>
      </c>
      <c r="AE68">
        <v>1</v>
      </c>
      <c r="AF68">
        <v>29</v>
      </c>
      <c r="AG68">
        <v>94</v>
      </c>
      <c r="AH68">
        <v>7</v>
      </c>
      <c r="AI68">
        <v>5</v>
      </c>
      <c r="AJ68">
        <v>18.799999237060501</v>
      </c>
      <c r="AK68">
        <v>8</v>
      </c>
      <c r="AL68">
        <v>7</v>
      </c>
      <c r="AM68">
        <v>13.430000305175801</v>
      </c>
      <c r="AN68" t="s">
        <v>210</v>
      </c>
      <c r="AO68">
        <v>89.5</v>
      </c>
      <c r="AP68" t="s">
        <v>16</v>
      </c>
      <c r="AQ68" s="1" t="s">
        <v>16</v>
      </c>
      <c r="AR68" s="1" t="s">
        <v>16</v>
      </c>
      <c r="AS68" s="1" t="s">
        <v>16</v>
      </c>
      <c r="AT68" s="1" t="s">
        <v>16</v>
      </c>
      <c r="AU68" s="1">
        <v>40752</v>
      </c>
      <c r="AV68" s="1">
        <v>40098.314553668977</v>
      </c>
      <c r="AW68" s="1">
        <v>40897</v>
      </c>
      <c r="AX68" s="1">
        <v>40098</v>
      </c>
      <c r="AY68" t="s">
        <v>16</v>
      </c>
      <c r="AZ68">
        <v>147</v>
      </c>
      <c r="BA68">
        <v>65</v>
      </c>
      <c r="BB68">
        <v>6</v>
      </c>
      <c r="BC68">
        <f t="shared" si="3"/>
        <v>25.129155435759209</v>
      </c>
      <c r="BD68">
        <v>128</v>
      </c>
      <c r="BE68">
        <v>5</v>
      </c>
      <c r="BF68">
        <v>2.2999999999999901</v>
      </c>
      <c r="BG68">
        <v>10.3</v>
      </c>
      <c r="BH68">
        <v>100</v>
      </c>
      <c r="BI68">
        <v>3.71</v>
      </c>
      <c r="BJ68">
        <v>8.8000000000000007</v>
      </c>
      <c r="BK68">
        <v>5.2999999999999901</v>
      </c>
      <c r="BL68">
        <v>8.5999999999999908</v>
      </c>
      <c r="BN68">
        <v>6.7</v>
      </c>
    </row>
    <row r="69" spans="1:66" x14ac:dyDescent="0.3">
      <c r="A69">
        <v>68</v>
      </c>
      <c r="B69" t="s">
        <v>430</v>
      </c>
      <c r="C69" s="2" t="s">
        <v>448</v>
      </c>
      <c r="D69">
        <v>88</v>
      </c>
      <c r="E69" s="1">
        <v>43367</v>
      </c>
      <c r="F69" s="1">
        <v>43265</v>
      </c>
      <c r="G69" s="1">
        <v>43263.480937499997</v>
      </c>
      <c r="H69" t="s">
        <v>15</v>
      </c>
      <c r="I69" t="s">
        <v>78</v>
      </c>
      <c r="J69" t="s">
        <v>15</v>
      </c>
      <c r="K69" t="s">
        <v>16</v>
      </c>
      <c r="L69">
        <v>65</v>
      </c>
      <c r="M69" t="s">
        <v>16</v>
      </c>
      <c r="N69" t="s">
        <v>16</v>
      </c>
      <c r="O69" t="s">
        <v>17</v>
      </c>
      <c r="P69" t="s">
        <v>75</v>
      </c>
      <c r="Q69" t="s">
        <v>19</v>
      </c>
      <c r="R69" t="s">
        <v>16</v>
      </c>
      <c r="S69" t="s">
        <v>92</v>
      </c>
      <c r="T69" t="s">
        <v>19</v>
      </c>
      <c r="U69" t="s">
        <v>211</v>
      </c>
      <c r="V69" t="s">
        <v>93</v>
      </c>
      <c r="W69" t="s">
        <v>23</v>
      </c>
      <c r="X69" t="s">
        <v>87</v>
      </c>
      <c r="Y69">
        <v>6.1999998092651403</v>
      </c>
      <c r="Z69">
        <v>2.75</v>
      </c>
      <c r="AA69">
        <v>1.29999995231628</v>
      </c>
      <c r="AB69">
        <v>1.29999995231628</v>
      </c>
      <c r="AC69">
        <v>369.29580688476602</v>
      </c>
      <c r="AD69">
        <v>228</v>
      </c>
      <c r="AE69">
        <v>1</v>
      </c>
      <c r="AF69">
        <v>55</v>
      </c>
      <c r="AG69">
        <v>86.900001525878906</v>
      </c>
      <c r="AH69">
        <v>9.3400001525878906</v>
      </c>
      <c r="AI69">
        <v>5.78999996185303</v>
      </c>
      <c r="AJ69">
        <v>15.0100002288818</v>
      </c>
      <c r="AK69">
        <v>8.9799995422363299</v>
      </c>
      <c r="AL69">
        <v>7.75</v>
      </c>
      <c r="AM69">
        <v>11.210000038146999</v>
      </c>
      <c r="AN69" t="s">
        <v>212</v>
      </c>
      <c r="AO69">
        <v>61.7</v>
      </c>
      <c r="AP69" t="s">
        <v>16</v>
      </c>
      <c r="AQ69" s="1" t="s">
        <v>16</v>
      </c>
      <c r="AR69" s="1" t="s">
        <v>16</v>
      </c>
      <c r="AS69" s="1" t="s">
        <v>16</v>
      </c>
      <c r="AT69" s="1">
        <v>43284</v>
      </c>
      <c r="AU69" s="1">
        <v>41389</v>
      </c>
      <c r="AV69" s="1"/>
      <c r="AW69" s="1" t="s">
        <v>16</v>
      </c>
      <c r="AX69" s="1" t="s">
        <v>16</v>
      </c>
      <c r="AY69" t="s">
        <v>16</v>
      </c>
      <c r="AZ69">
        <v>161</v>
      </c>
      <c r="BA69">
        <v>75</v>
      </c>
      <c r="BB69">
        <v>3</v>
      </c>
      <c r="BC69">
        <f t="shared" si="3"/>
        <v>8.9660183322155333</v>
      </c>
      <c r="BD69">
        <v>132</v>
      </c>
      <c r="BE69">
        <v>4.7999999999999901</v>
      </c>
      <c r="BF69">
        <v>3.2999999999999901</v>
      </c>
      <c r="BH69">
        <v>166</v>
      </c>
      <c r="BI69">
        <v>4.96999999999999</v>
      </c>
      <c r="BJ69">
        <v>8.5999999999999908</v>
      </c>
      <c r="BK69">
        <v>5.32</v>
      </c>
      <c r="BL69">
        <v>6.5</v>
      </c>
      <c r="BM69">
        <v>1.5</v>
      </c>
      <c r="BN69">
        <v>4.5</v>
      </c>
    </row>
    <row r="70" spans="1:66" x14ac:dyDescent="0.3">
      <c r="A70">
        <v>69</v>
      </c>
      <c r="B70" t="s">
        <v>430</v>
      </c>
      <c r="C70" s="2" t="s">
        <v>448</v>
      </c>
      <c r="D70">
        <v>66</v>
      </c>
      <c r="E70" s="1">
        <v>42742</v>
      </c>
      <c r="F70" s="1">
        <v>42459</v>
      </c>
      <c r="G70" s="1">
        <v>42130.538819444446</v>
      </c>
      <c r="H70" t="s">
        <v>17</v>
      </c>
      <c r="I70" t="s">
        <v>16</v>
      </c>
      <c r="J70" t="s">
        <v>35</v>
      </c>
      <c r="K70" t="s">
        <v>77</v>
      </c>
      <c r="L70">
        <v>15</v>
      </c>
      <c r="M70" t="s">
        <v>15</v>
      </c>
      <c r="N70" t="s">
        <v>14</v>
      </c>
      <c r="O70" t="s">
        <v>17</v>
      </c>
      <c r="P70" t="s">
        <v>75</v>
      </c>
      <c r="Q70" t="s">
        <v>19</v>
      </c>
      <c r="R70" t="s">
        <v>16</v>
      </c>
      <c r="S70" t="s">
        <v>133</v>
      </c>
      <c r="T70" t="s">
        <v>23</v>
      </c>
      <c r="U70" t="s">
        <v>16</v>
      </c>
      <c r="V70" t="s">
        <v>16</v>
      </c>
      <c r="W70" t="s">
        <v>29</v>
      </c>
      <c r="X70" t="s">
        <v>90</v>
      </c>
      <c r="Y70">
        <v>5.5100002288818404</v>
      </c>
      <c r="Z70">
        <v>4.2300000190734899</v>
      </c>
      <c r="AA70">
        <v>1.3899999856948899</v>
      </c>
      <c r="AB70">
        <v>0.97000002861022905</v>
      </c>
      <c r="AC70">
        <v>266.97250366210898</v>
      </c>
      <c r="AD70">
        <v>125</v>
      </c>
      <c r="AE70">
        <v>2.8099999427795401</v>
      </c>
      <c r="AF70">
        <v>63</v>
      </c>
      <c r="AG70">
        <v>85.400001525878906</v>
      </c>
      <c r="AH70">
        <v>4.5199999809265101</v>
      </c>
      <c r="AI70">
        <v>3.4300000667571999</v>
      </c>
      <c r="AJ70">
        <v>24.899999618530298</v>
      </c>
      <c r="AK70">
        <v>4.5999999046325701</v>
      </c>
      <c r="AL70">
        <v>6</v>
      </c>
      <c r="AM70">
        <v>14.2299995422363</v>
      </c>
      <c r="AN70" t="s">
        <v>213</v>
      </c>
      <c r="AO70">
        <v>96.5</v>
      </c>
      <c r="AP70">
        <v>31.5102040816327</v>
      </c>
      <c r="AQ70" s="1" t="s">
        <v>16</v>
      </c>
      <c r="AR70" s="1" t="s">
        <v>16</v>
      </c>
      <c r="AS70" s="1">
        <v>42395</v>
      </c>
      <c r="AT70" s="1">
        <v>42058</v>
      </c>
      <c r="AU70" s="1">
        <v>41999</v>
      </c>
      <c r="AV70" s="1">
        <v>41199.686029745368</v>
      </c>
      <c r="AW70" s="1">
        <v>41999</v>
      </c>
      <c r="AX70" s="1" t="s">
        <v>16</v>
      </c>
      <c r="AY70" t="s">
        <v>16</v>
      </c>
      <c r="AZ70">
        <v>113</v>
      </c>
      <c r="BA70">
        <v>74</v>
      </c>
      <c r="BB70">
        <v>1</v>
      </c>
      <c r="BC70">
        <f t="shared" si="3"/>
        <v>31.993727598566306</v>
      </c>
      <c r="BD70">
        <v>134</v>
      </c>
      <c r="BE70">
        <v>3.7999999999999901</v>
      </c>
      <c r="BF70">
        <v>3.1</v>
      </c>
      <c r="BG70">
        <v>9.5</v>
      </c>
      <c r="BH70">
        <v>242</v>
      </c>
      <c r="BI70">
        <v>3.1</v>
      </c>
      <c r="BJ70">
        <v>8.6999999999999904</v>
      </c>
      <c r="BK70">
        <v>4.2999999999999901</v>
      </c>
      <c r="BL70">
        <v>10.4</v>
      </c>
      <c r="BM70">
        <v>18.8</v>
      </c>
      <c r="BN70">
        <v>8.5</v>
      </c>
    </row>
    <row r="71" spans="1:66" x14ac:dyDescent="0.3">
      <c r="A71">
        <v>70</v>
      </c>
      <c r="B71" t="s">
        <v>430</v>
      </c>
      <c r="C71" s="2" t="s">
        <v>449</v>
      </c>
      <c r="D71">
        <v>62</v>
      </c>
      <c r="E71" s="1">
        <v>44896</v>
      </c>
      <c r="F71" s="1">
        <v>41200</v>
      </c>
      <c r="G71" s="1">
        <v>41214.540648148148</v>
      </c>
      <c r="H71" t="s">
        <v>15</v>
      </c>
      <c r="I71" t="s">
        <v>16</v>
      </c>
      <c r="J71" t="s">
        <v>15</v>
      </c>
      <c r="K71" t="s">
        <v>16</v>
      </c>
      <c r="L71">
        <v>60</v>
      </c>
      <c r="M71" t="s">
        <v>16</v>
      </c>
      <c r="N71" t="s">
        <v>16</v>
      </c>
      <c r="O71" t="s">
        <v>17</v>
      </c>
      <c r="P71" t="s">
        <v>16</v>
      </c>
      <c r="Q71" t="s">
        <v>16</v>
      </c>
      <c r="R71" t="s">
        <v>16</v>
      </c>
      <c r="S71" t="s">
        <v>16</v>
      </c>
      <c r="T71" t="s">
        <v>19</v>
      </c>
      <c r="U71" t="s">
        <v>16</v>
      </c>
      <c r="V71" t="s">
        <v>16</v>
      </c>
      <c r="W71" t="s">
        <v>29</v>
      </c>
      <c r="X71" t="s">
        <v>87</v>
      </c>
      <c r="Y71">
        <v>4.8000001907348597</v>
      </c>
      <c r="Z71">
        <v>2.7999999523162802</v>
      </c>
      <c r="AA71">
        <v>0.89999997615814198</v>
      </c>
      <c r="AB71">
        <v>0.89999997615814198</v>
      </c>
      <c r="AC71">
        <v>147.78413391113301</v>
      </c>
      <c r="AD71">
        <v>75</v>
      </c>
      <c r="AE71">
        <v>1</v>
      </c>
      <c r="AF71">
        <v>50</v>
      </c>
      <c r="AG71">
        <v>136</v>
      </c>
      <c r="AH71">
        <v>7.1999998092651403</v>
      </c>
      <c r="AI71">
        <v>6.5999999046325701</v>
      </c>
      <c r="AJ71">
        <v>20.610000610351602</v>
      </c>
      <c r="AK71">
        <v>7.5</v>
      </c>
      <c r="AL71">
        <v>11.6000003814697</v>
      </c>
      <c r="AM71">
        <v>11.7200002670288</v>
      </c>
      <c r="AN71" t="s">
        <v>214</v>
      </c>
      <c r="AO71">
        <v>91</v>
      </c>
      <c r="AP71">
        <v>35.546875</v>
      </c>
      <c r="AQ71" s="1" t="s">
        <v>16</v>
      </c>
      <c r="AR71" s="1" t="s">
        <v>16</v>
      </c>
      <c r="AS71" s="1">
        <v>44684</v>
      </c>
      <c r="AT71" s="1">
        <v>41204</v>
      </c>
      <c r="AU71" s="1">
        <v>41199</v>
      </c>
      <c r="AV71" s="1"/>
      <c r="AW71" s="1">
        <v>41267</v>
      </c>
      <c r="AX71" s="1" t="s">
        <v>16</v>
      </c>
      <c r="AY71" t="s">
        <v>16</v>
      </c>
      <c r="AZ71">
        <v>153</v>
      </c>
      <c r="BA71">
        <v>72</v>
      </c>
      <c r="BB71">
        <v>2</v>
      </c>
      <c r="BC71">
        <f t="shared" si="3"/>
        <v>15.9005376344086</v>
      </c>
      <c r="BD71">
        <v>136</v>
      </c>
      <c r="BE71">
        <v>4.2999999999999901</v>
      </c>
      <c r="BF71">
        <v>3.5</v>
      </c>
      <c r="BG71">
        <v>8.8000000000000007</v>
      </c>
      <c r="BH71">
        <v>267</v>
      </c>
      <c r="BI71">
        <v>6.2</v>
      </c>
      <c r="BJ71">
        <v>6.7</v>
      </c>
      <c r="BK71">
        <v>7.2</v>
      </c>
      <c r="BL71">
        <v>10.9</v>
      </c>
      <c r="BM71">
        <v>36.950000000000003</v>
      </c>
      <c r="BN71">
        <v>7.7</v>
      </c>
    </row>
    <row r="72" spans="1:66" ht="15" customHeight="1" x14ac:dyDescent="0.3">
      <c r="A72">
        <v>71</v>
      </c>
      <c r="B72" t="s">
        <v>430</v>
      </c>
      <c r="C72" s="2" t="s">
        <v>449</v>
      </c>
      <c r="D72">
        <v>77</v>
      </c>
      <c r="E72" s="1">
        <v>42369</v>
      </c>
      <c r="F72" s="1">
        <v>41739</v>
      </c>
      <c r="G72" s="1">
        <v>41730.488495370373</v>
      </c>
      <c r="H72" t="s">
        <v>15</v>
      </c>
      <c r="I72" t="s">
        <v>78</v>
      </c>
      <c r="J72" t="s">
        <v>15</v>
      </c>
      <c r="K72" t="s">
        <v>16</v>
      </c>
      <c r="L72">
        <v>65</v>
      </c>
      <c r="M72" t="s">
        <v>16</v>
      </c>
      <c r="N72" t="s">
        <v>16</v>
      </c>
      <c r="O72" t="s">
        <v>15</v>
      </c>
      <c r="P72" t="s">
        <v>75</v>
      </c>
      <c r="Q72" t="s">
        <v>16</v>
      </c>
      <c r="R72" t="s">
        <v>16</v>
      </c>
      <c r="S72" t="s">
        <v>75</v>
      </c>
      <c r="T72" t="s">
        <v>23</v>
      </c>
      <c r="U72" t="s">
        <v>16</v>
      </c>
      <c r="V72" t="s">
        <v>16</v>
      </c>
      <c r="W72" t="s">
        <v>19</v>
      </c>
      <c r="X72" t="s">
        <v>15</v>
      </c>
      <c r="Y72">
        <v>4.2600002288818404</v>
      </c>
      <c r="Z72">
        <v>2.3099999427795401</v>
      </c>
      <c r="AA72">
        <v>1.16999995708466</v>
      </c>
      <c r="AB72">
        <v>0.97000002861022905</v>
      </c>
      <c r="AC72">
        <v>154.38290405273401</v>
      </c>
      <c r="AD72">
        <v>95</v>
      </c>
      <c r="AE72">
        <v>1</v>
      </c>
      <c r="AF72">
        <v>28</v>
      </c>
      <c r="AG72">
        <v>85.900001525878906</v>
      </c>
      <c r="AH72">
        <v>10.3999996185303</v>
      </c>
      <c r="AI72">
        <v>4.7800002098083496</v>
      </c>
      <c r="AJ72">
        <v>17.969999313354499</v>
      </c>
      <c r="AK72">
        <v>13.199999809265099</v>
      </c>
      <c r="AL72">
        <v>11.5</v>
      </c>
      <c r="AM72">
        <v>7.4699997901916504</v>
      </c>
      <c r="AN72" t="s">
        <v>215</v>
      </c>
      <c r="AO72">
        <v>60</v>
      </c>
      <c r="AP72">
        <v>22.582709172343701</v>
      </c>
      <c r="AQ72" s="1">
        <v>42101</v>
      </c>
      <c r="AR72" s="1" t="s">
        <v>16</v>
      </c>
      <c r="AS72" s="1">
        <v>42358</v>
      </c>
      <c r="AT72" s="1">
        <v>42354</v>
      </c>
      <c r="AU72" s="1">
        <v>39838</v>
      </c>
      <c r="AV72" s="1">
        <v>39799.405412187501</v>
      </c>
      <c r="AW72" s="1">
        <v>41739</v>
      </c>
      <c r="AX72" s="1" t="s">
        <v>16</v>
      </c>
      <c r="AY72" t="s">
        <v>16</v>
      </c>
      <c r="AZ72">
        <v>174</v>
      </c>
      <c r="BA72">
        <v>75</v>
      </c>
      <c r="BB72">
        <v>3</v>
      </c>
      <c r="BC72">
        <f t="shared" si="3"/>
        <v>6.800518134715035</v>
      </c>
      <c r="BD72">
        <v>136</v>
      </c>
      <c r="BE72">
        <v>5.5999999999999899</v>
      </c>
      <c r="BF72">
        <v>3.5</v>
      </c>
      <c r="BH72">
        <v>233</v>
      </c>
      <c r="BI72">
        <v>7.71999999999999</v>
      </c>
      <c r="BJ72">
        <v>7.7999999999999901</v>
      </c>
      <c r="BK72">
        <v>6.0999999999999899</v>
      </c>
      <c r="BL72">
        <v>7.9</v>
      </c>
      <c r="BM72">
        <v>5.6699999999999902</v>
      </c>
      <c r="BN72">
        <v>6.2</v>
      </c>
    </row>
    <row r="73" spans="1:66" x14ac:dyDescent="0.3">
      <c r="A73">
        <v>72</v>
      </c>
      <c r="B73" t="s">
        <v>430</v>
      </c>
      <c r="C73" s="2" t="s">
        <v>449</v>
      </c>
      <c r="D73">
        <v>53</v>
      </c>
      <c r="E73" s="1">
        <v>42032</v>
      </c>
      <c r="F73" s="1">
        <v>41983</v>
      </c>
      <c r="G73" s="1">
        <v>41998.385439814818</v>
      </c>
      <c r="H73" t="s">
        <v>17</v>
      </c>
      <c r="I73" t="s">
        <v>16</v>
      </c>
      <c r="J73" t="s">
        <v>35</v>
      </c>
      <c r="K73" t="s">
        <v>16</v>
      </c>
      <c r="L73">
        <v>25</v>
      </c>
      <c r="M73" t="s">
        <v>15</v>
      </c>
      <c r="N73" t="s">
        <v>15</v>
      </c>
      <c r="O73" t="s">
        <v>17</v>
      </c>
      <c r="P73" t="s">
        <v>75</v>
      </c>
      <c r="Q73" t="s">
        <v>16</v>
      </c>
      <c r="R73" t="s">
        <v>16</v>
      </c>
      <c r="S73" t="s">
        <v>16</v>
      </c>
      <c r="T73" t="s">
        <v>19</v>
      </c>
      <c r="U73" t="s">
        <v>121</v>
      </c>
      <c r="V73" t="s">
        <v>16</v>
      </c>
      <c r="W73" t="s">
        <v>18</v>
      </c>
      <c r="X73" t="s">
        <v>87</v>
      </c>
      <c r="Y73">
        <v>5.3899998664856001</v>
      </c>
      <c r="Z73">
        <v>3.9900000095367401</v>
      </c>
      <c r="AA73">
        <v>1.0700000524520901</v>
      </c>
      <c r="AB73">
        <v>0.94999998807907104</v>
      </c>
      <c r="AC73">
        <v>208.831466674805</v>
      </c>
      <c r="AD73">
        <v>104</v>
      </c>
      <c r="AE73">
        <v>2.5599999427795401</v>
      </c>
      <c r="AF73">
        <v>47</v>
      </c>
      <c r="AG73">
        <v>89.069999694824205</v>
      </c>
      <c r="AH73">
        <v>4</v>
      </c>
      <c r="AI73">
        <v>3</v>
      </c>
      <c r="AJ73">
        <v>29.690000534057599</v>
      </c>
      <c r="AK73">
        <v>4</v>
      </c>
      <c r="AL73">
        <v>3</v>
      </c>
      <c r="AM73">
        <v>29.690000534057599</v>
      </c>
      <c r="AN73" t="s">
        <v>216</v>
      </c>
      <c r="AO73">
        <v>80</v>
      </c>
      <c r="AP73">
        <v>28.344671201814101</v>
      </c>
      <c r="AQ73" s="1" t="s">
        <v>16</v>
      </c>
      <c r="AR73" s="1" t="s">
        <v>16</v>
      </c>
      <c r="AS73" s="1">
        <v>41198</v>
      </c>
      <c r="AT73" s="1" t="s">
        <v>16</v>
      </c>
      <c r="AU73" s="1">
        <v>41998</v>
      </c>
      <c r="AV73" s="1">
        <v>41198.561129131936</v>
      </c>
      <c r="AW73" s="1">
        <v>41998</v>
      </c>
      <c r="AX73" s="1" t="s">
        <v>16</v>
      </c>
      <c r="AY73" t="s">
        <v>16</v>
      </c>
      <c r="AZ73">
        <v>135</v>
      </c>
      <c r="BA73">
        <v>66</v>
      </c>
      <c r="BB73">
        <v>0</v>
      </c>
      <c r="BC73">
        <f t="shared" si="3"/>
        <v>21.433850702143431</v>
      </c>
      <c r="BD73">
        <v>139</v>
      </c>
      <c r="BE73">
        <v>4.5999999999999899</v>
      </c>
      <c r="BF73">
        <v>3.8999999999999901</v>
      </c>
      <c r="BH73">
        <v>89</v>
      </c>
      <c r="BI73">
        <v>4.50999999999999</v>
      </c>
      <c r="BJ73">
        <v>8.6999999999999904</v>
      </c>
      <c r="BK73">
        <v>7.4</v>
      </c>
      <c r="BL73">
        <v>4.7999999999999901</v>
      </c>
      <c r="BN73">
        <v>6.7</v>
      </c>
    </row>
    <row r="74" spans="1:66" x14ac:dyDescent="0.3">
      <c r="A74">
        <v>73</v>
      </c>
      <c r="B74" t="s">
        <v>430</v>
      </c>
      <c r="C74" s="2" t="s">
        <v>448</v>
      </c>
      <c r="D74">
        <v>52</v>
      </c>
      <c r="E74" s="1">
        <v>44232</v>
      </c>
      <c r="F74" s="1">
        <v>42878</v>
      </c>
      <c r="G74" s="1">
        <v>42894.548506944448</v>
      </c>
      <c r="H74" t="s">
        <v>17</v>
      </c>
      <c r="I74" t="s">
        <v>78</v>
      </c>
      <c r="J74" t="s">
        <v>30</v>
      </c>
      <c r="K74" t="s">
        <v>16</v>
      </c>
      <c r="L74">
        <v>30</v>
      </c>
      <c r="M74" t="s">
        <v>79</v>
      </c>
      <c r="N74" t="s">
        <v>28</v>
      </c>
      <c r="O74" t="s">
        <v>17</v>
      </c>
      <c r="P74" t="s">
        <v>16</v>
      </c>
      <c r="Q74" t="s">
        <v>16</v>
      </c>
      <c r="R74" t="s">
        <v>16</v>
      </c>
      <c r="S74" t="s">
        <v>16</v>
      </c>
      <c r="T74" t="s">
        <v>19</v>
      </c>
      <c r="U74" t="s">
        <v>132</v>
      </c>
      <c r="V74" t="s">
        <v>16</v>
      </c>
      <c r="W74" t="s">
        <v>29</v>
      </c>
      <c r="X74" t="s">
        <v>87</v>
      </c>
      <c r="Y74">
        <v>6.2600002288818404</v>
      </c>
      <c r="Z74">
        <v>5.1700000762939498</v>
      </c>
      <c r="AA74">
        <v>1.45000004768372</v>
      </c>
      <c r="AB74">
        <v>1.2300000190734901</v>
      </c>
      <c r="AC74">
        <v>390.9765625</v>
      </c>
      <c r="AD74">
        <v>201</v>
      </c>
      <c r="AE74">
        <v>2.25</v>
      </c>
      <c r="AF74">
        <v>51</v>
      </c>
      <c r="AG74">
        <v>99.199996948242202</v>
      </c>
      <c r="AH74">
        <v>5.5999999046325701</v>
      </c>
      <c r="AI74">
        <v>5.5999999046325701</v>
      </c>
      <c r="AJ74">
        <v>17.709999084472699</v>
      </c>
      <c r="AK74">
        <v>4.3000001907348597</v>
      </c>
      <c r="AL74">
        <v>5.9000000953674299</v>
      </c>
      <c r="AM74">
        <v>16.809999465942401</v>
      </c>
      <c r="AN74" t="s">
        <v>217</v>
      </c>
      <c r="AO74">
        <v>84.4</v>
      </c>
      <c r="AP74">
        <v>27.559183673469398</v>
      </c>
      <c r="AQ74" s="1">
        <v>40111</v>
      </c>
      <c r="AR74" s="1" t="s">
        <v>16</v>
      </c>
      <c r="AS74" s="1">
        <v>42891</v>
      </c>
      <c r="AT74" s="1" t="s">
        <v>16</v>
      </c>
      <c r="AU74" s="1">
        <v>42891</v>
      </c>
      <c r="AV74" s="1">
        <v>40111.836399305546</v>
      </c>
      <c r="AW74" s="1">
        <v>42891</v>
      </c>
      <c r="AX74" s="1" t="s">
        <v>16</v>
      </c>
      <c r="AY74" t="s">
        <v>16</v>
      </c>
      <c r="AZ74">
        <v>151</v>
      </c>
      <c r="BA74">
        <v>76</v>
      </c>
      <c r="BB74">
        <v>1</v>
      </c>
      <c r="BC74">
        <f t="shared" si="3"/>
        <v>19.723815593796473</v>
      </c>
      <c r="BD74">
        <v>136</v>
      </c>
      <c r="BE74">
        <v>5.4</v>
      </c>
      <c r="BF74">
        <v>3</v>
      </c>
      <c r="BH74">
        <v>262</v>
      </c>
      <c r="BI74">
        <v>5.23</v>
      </c>
      <c r="BJ74">
        <v>6.5999999999999899</v>
      </c>
      <c r="BK74">
        <v>6.7999999999999901</v>
      </c>
      <c r="BL74">
        <v>10.3</v>
      </c>
      <c r="BM74">
        <v>29.75</v>
      </c>
      <c r="BN74">
        <v>7.7999999999999901</v>
      </c>
    </row>
    <row r="75" spans="1:66" x14ac:dyDescent="0.3">
      <c r="A75">
        <v>74</v>
      </c>
      <c r="B75" t="s">
        <v>430</v>
      </c>
      <c r="C75" s="2" t="s">
        <v>449</v>
      </c>
      <c r="D75">
        <v>69</v>
      </c>
      <c r="E75" s="1">
        <v>45214</v>
      </c>
      <c r="F75" s="1">
        <v>42809</v>
      </c>
      <c r="G75" s="1">
        <v>42452.628738425927</v>
      </c>
      <c r="H75" t="s">
        <v>15</v>
      </c>
      <c r="I75" t="s">
        <v>16</v>
      </c>
      <c r="J75" t="s">
        <v>15</v>
      </c>
      <c r="K75" t="s">
        <v>16</v>
      </c>
      <c r="L75">
        <v>60</v>
      </c>
      <c r="M75" t="s">
        <v>15</v>
      </c>
      <c r="N75" t="s">
        <v>15</v>
      </c>
      <c r="O75" t="s">
        <v>17</v>
      </c>
      <c r="P75" t="s">
        <v>85</v>
      </c>
      <c r="Q75" t="s">
        <v>19</v>
      </c>
      <c r="R75" t="s">
        <v>16</v>
      </c>
      <c r="S75" t="s">
        <v>16</v>
      </c>
      <c r="T75" t="s">
        <v>19</v>
      </c>
      <c r="U75" t="s">
        <v>16</v>
      </c>
      <c r="V75" t="s">
        <v>16</v>
      </c>
      <c r="W75" t="s">
        <v>18</v>
      </c>
      <c r="X75" t="s">
        <v>16</v>
      </c>
      <c r="Y75">
        <v>4.1599998474121103</v>
      </c>
      <c r="Z75">
        <v>2.5999999046325701</v>
      </c>
      <c r="AA75">
        <v>1</v>
      </c>
      <c r="AB75">
        <v>1.0099999904632599</v>
      </c>
      <c r="AC75">
        <v>136.12765502929699</v>
      </c>
      <c r="AD75">
        <v>77</v>
      </c>
      <c r="AE75">
        <v>1</v>
      </c>
      <c r="AF75" t="s">
        <v>16</v>
      </c>
      <c r="AG75">
        <v>74.099998474121094</v>
      </c>
      <c r="AH75">
        <v>6.1999998092651403</v>
      </c>
      <c r="AI75">
        <v>5.8000001907348597</v>
      </c>
      <c r="AJ75">
        <v>12.7799997329712</v>
      </c>
      <c r="AK75">
        <v>5.5999999046325701</v>
      </c>
      <c r="AL75">
        <v>7.9000000953674299</v>
      </c>
      <c r="AM75">
        <v>9.3800001144409197</v>
      </c>
      <c r="AN75" t="s">
        <v>218</v>
      </c>
      <c r="AO75">
        <v>74</v>
      </c>
      <c r="AP75">
        <v>27.852007979223899</v>
      </c>
      <c r="AQ75" s="1">
        <v>42498</v>
      </c>
      <c r="AR75" s="1" t="s">
        <v>16</v>
      </c>
      <c r="AS75" s="1">
        <v>43159</v>
      </c>
      <c r="AT75" s="1">
        <v>43726</v>
      </c>
      <c r="AU75" s="1">
        <v>42498</v>
      </c>
      <c r="AV75" s="1"/>
      <c r="AW75" s="1">
        <v>42498</v>
      </c>
      <c r="AX75" s="1" t="s">
        <v>16</v>
      </c>
      <c r="AY75" t="s">
        <v>16</v>
      </c>
      <c r="AZ75">
        <v>170</v>
      </c>
      <c r="BA75">
        <v>91</v>
      </c>
      <c r="BB75">
        <v>0</v>
      </c>
      <c r="BC75">
        <f t="shared" si="3"/>
        <v>15.898087630113809</v>
      </c>
      <c r="BD75">
        <v>140</v>
      </c>
      <c r="BE75">
        <v>4.2</v>
      </c>
      <c r="BF75">
        <v>2.6</v>
      </c>
      <c r="BG75">
        <v>11.6</v>
      </c>
      <c r="BH75">
        <v>121</v>
      </c>
      <c r="BI75">
        <v>4.5899999999999901</v>
      </c>
      <c r="BJ75">
        <v>7.2</v>
      </c>
      <c r="BK75">
        <v>6.4</v>
      </c>
      <c r="BL75">
        <v>7.4</v>
      </c>
      <c r="BM75">
        <v>1.27</v>
      </c>
      <c r="BN75">
        <v>5.5</v>
      </c>
    </row>
    <row r="76" spans="1:66" x14ac:dyDescent="0.3">
      <c r="A76">
        <v>75</v>
      </c>
      <c r="B76" t="s">
        <v>430</v>
      </c>
      <c r="C76" s="2" t="s">
        <v>449</v>
      </c>
      <c r="D76">
        <v>76</v>
      </c>
      <c r="E76" s="1">
        <v>41767</v>
      </c>
      <c r="F76" s="1">
        <v>40612</v>
      </c>
      <c r="G76" s="1">
        <v>40611.379293981481</v>
      </c>
      <c r="H76" t="s">
        <v>15</v>
      </c>
      <c r="I76" t="s">
        <v>78</v>
      </c>
      <c r="J76" t="s">
        <v>15</v>
      </c>
      <c r="K76" t="s">
        <v>219</v>
      </c>
      <c r="L76">
        <v>60</v>
      </c>
      <c r="M76" t="s">
        <v>16</v>
      </c>
      <c r="N76" t="s">
        <v>16</v>
      </c>
      <c r="O76" t="s">
        <v>17</v>
      </c>
      <c r="P76" t="s">
        <v>16</v>
      </c>
      <c r="Q76" t="s">
        <v>16</v>
      </c>
      <c r="R76" t="s">
        <v>16</v>
      </c>
      <c r="S76" t="s">
        <v>16</v>
      </c>
      <c r="T76" t="s">
        <v>19</v>
      </c>
      <c r="U76" t="s">
        <v>16</v>
      </c>
      <c r="V76" t="s">
        <v>16</v>
      </c>
      <c r="W76" t="s">
        <v>18</v>
      </c>
      <c r="X76" t="s">
        <v>15</v>
      </c>
      <c r="Y76">
        <v>4.4000000953674299</v>
      </c>
      <c r="Z76">
        <v>2.5999999046325701</v>
      </c>
      <c r="AA76">
        <v>1.1000000238418599</v>
      </c>
      <c r="AB76">
        <v>1.1000000238418599</v>
      </c>
      <c r="AC76">
        <v>168.923583984375</v>
      </c>
      <c r="AD76">
        <v>104</v>
      </c>
      <c r="AE76">
        <v>1</v>
      </c>
      <c r="AF76">
        <v>30</v>
      </c>
      <c r="AG76">
        <v>51</v>
      </c>
      <c r="AH76">
        <v>5</v>
      </c>
      <c r="AI76">
        <v>3</v>
      </c>
      <c r="AJ76">
        <v>17</v>
      </c>
      <c r="AK76">
        <v>5</v>
      </c>
      <c r="AL76">
        <v>5</v>
      </c>
      <c r="AM76">
        <v>10.199999809265099</v>
      </c>
      <c r="AN76" t="s">
        <v>220</v>
      </c>
      <c r="AO76">
        <v>59</v>
      </c>
      <c r="AP76">
        <v>23.046875</v>
      </c>
      <c r="AQ76" s="1" t="s">
        <v>16</v>
      </c>
      <c r="AR76" s="1" t="s">
        <v>16</v>
      </c>
      <c r="AS76" s="1">
        <v>40498</v>
      </c>
      <c r="AT76" s="1">
        <v>41492</v>
      </c>
      <c r="AU76" s="1">
        <v>40498</v>
      </c>
      <c r="AV76" s="1">
        <v>40498.243833912027</v>
      </c>
      <c r="AW76" s="1" t="s">
        <v>16</v>
      </c>
      <c r="AX76" s="1" t="s">
        <v>16</v>
      </c>
      <c r="AY76" t="s">
        <v>16</v>
      </c>
      <c r="AZ76">
        <v>142</v>
      </c>
      <c r="BA76">
        <v>56</v>
      </c>
      <c r="BB76">
        <v>1</v>
      </c>
      <c r="BC76">
        <f t="shared" si="3"/>
        <v>13.621933621933623</v>
      </c>
      <c r="BD76">
        <v>130</v>
      </c>
      <c r="BE76">
        <v>5.2</v>
      </c>
      <c r="BF76">
        <v>3.2999999999999901</v>
      </c>
      <c r="BG76">
        <v>7.7999999999999901</v>
      </c>
      <c r="BH76">
        <v>213</v>
      </c>
      <c r="BI76">
        <v>3.85</v>
      </c>
      <c r="BJ76">
        <v>8.5</v>
      </c>
      <c r="BK76">
        <v>6.5</v>
      </c>
      <c r="BL76">
        <v>9.5</v>
      </c>
      <c r="BM76">
        <v>1.74</v>
      </c>
      <c r="BN76">
        <v>4.7999999999999901</v>
      </c>
    </row>
    <row r="77" spans="1:66" x14ac:dyDescent="0.3">
      <c r="A77">
        <v>76</v>
      </c>
      <c r="B77" t="s">
        <v>430</v>
      </c>
      <c r="C77" s="2" t="s">
        <v>449</v>
      </c>
      <c r="D77">
        <v>69</v>
      </c>
      <c r="E77" s="1">
        <v>41891</v>
      </c>
      <c r="F77" s="1">
        <v>41861</v>
      </c>
      <c r="G77" s="1">
        <v>41890.361493055556</v>
      </c>
      <c r="H77" t="s">
        <v>15</v>
      </c>
      <c r="I77" t="s">
        <v>78</v>
      </c>
      <c r="J77" t="s">
        <v>15</v>
      </c>
      <c r="K77" t="s">
        <v>16</v>
      </c>
      <c r="L77">
        <v>60</v>
      </c>
      <c r="M77" t="s">
        <v>16</v>
      </c>
      <c r="N77" t="s">
        <v>16</v>
      </c>
      <c r="O77" t="s">
        <v>17</v>
      </c>
      <c r="P77" t="s">
        <v>85</v>
      </c>
      <c r="Q77" t="s">
        <v>33</v>
      </c>
      <c r="R77" t="s">
        <v>16</v>
      </c>
      <c r="S77" t="s">
        <v>16</v>
      </c>
      <c r="T77" t="s">
        <v>18</v>
      </c>
      <c r="U77" t="s">
        <v>16</v>
      </c>
      <c r="V77" t="s">
        <v>16</v>
      </c>
      <c r="W77" t="s">
        <v>18</v>
      </c>
      <c r="X77" t="s">
        <v>16</v>
      </c>
      <c r="Y77">
        <v>4.5</v>
      </c>
      <c r="Z77">
        <v>2.7000000476837198</v>
      </c>
      <c r="AA77">
        <v>1.3999999761581401</v>
      </c>
      <c r="AB77">
        <v>1.20000004768372</v>
      </c>
      <c r="AC77">
        <v>222.56594848632801</v>
      </c>
      <c r="AD77">
        <v>107</v>
      </c>
      <c r="AE77">
        <v>1</v>
      </c>
      <c r="AF77" t="s">
        <v>16</v>
      </c>
      <c r="AG77">
        <v>48.900001525878899</v>
      </c>
      <c r="AH77">
        <v>8.6999998092651403</v>
      </c>
      <c r="AI77">
        <v>3.2000000476837198</v>
      </c>
      <c r="AJ77">
        <v>15.2799997329712</v>
      </c>
      <c r="AK77">
        <v>7.3000001907348597</v>
      </c>
      <c r="AL77">
        <v>4.1999998092651403</v>
      </c>
      <c r="AM77">
        <v>11.6400003433228</v>
      </c>
      <c r="AN77" t="s">
        <v>221</v>
      </c>
      <c r="AO77" t="s">
        <v>16</v>
      </c>
      <c r="AP77" t="s">
        <v>16</v>
      </c>
      <c r="AQ77" s="1" t="s">
        <v>16</v>
      </c>
      <c r="AR77" s="1" t="s">
        <v>16</v>
      </c>
      <c r="AS77" s="1" t="s">
        <v>16</v>
      </c>
      <c r="AT77" s="1" t="s">
        <v>16</v>
      </c>
      <c r="AU77" s="1">
        <v>41806</v>
      </c>
      <c r="AV77" s="1">
        <v>41806.440949571763</v>
      </c>
      <c r="AW77" s="1" t="s">
        <v>16</v>
      </c>
      <c r="AX77" s="1" t="s">
        <v>16</v>
      </c>
      <c r="AY77" t="s">
        <v>16</v>
      </c>
      <c r="AZ77">
        <v>149</v>
      </c>
      <c r="BA77">
        <v>70</v>
      </c>
      <c r="BB77">
        <v>1</v>
      </c>
      <c r="BC77">
        <v>6.6</v>
      </c>
      <c r="BD77">
        <v>122</v>
      </c>
      <c r="BE77">
        <v>4</v>
      </c>
      <c r="BF77">
        <v>4.7999999999999901</v>
      </c>
      <c r="BH77">
        <v>165</v>
      </c>
      <c r="BI77">
        <v>6.29</v>
      </c>
      <c r="BJ77">
        <v>8.5999999999999908</v>
      </c>
      <c r="BK77">
        <v>7.2999999999999901</v>
      </c>
      <c r="BL77">
        <v>8.3000000000000007</v>
      </c>
      <c r="BM77">
        <v>11.69</v>
      </c>
      <c r="BN77">
        <v>6.7</v>
      </c>
    </row>
    <row r="78" spans="1:66" x14ac:dyDescent="0.3">
      <c r="A78">
        <v>77</v>
      </c>
      <c r="B78" t="s">
        <v>430</v>
      </c>
      <c r="C78" s="2" t="s">
        <v>449</v>
      </c>
      <c r="D78">
        <v>73</v>
      </c>
      <c r="E78" s="1" t="s">
        <v>16</v>
      </c>
      <c r="F78" s="1">
        <v>44898</v>
      </c>
      <c r="G78" s="1">
        <v>44860.416550925926</v>
      </c>
      <c r="H78" t="s">
        <v>15</v>
      </c>
      <c r="I78" t="s">
        <v>78</v>
      </c>
      <c r="J78" t="s">
        <v>15</v>
      </c>
      <c r="K78" t="s">
        <v>16</v>
      </c>
      <c r="L78">
        <v>65</v>
      </c>
      <c r="M78" t="s">
        <v>16</v>
      </c>
      <c r="N78" t="s">
        <v>16</v>
      </c>
      <c r="O78" t="s">
        <v>17</v>
      </c>
      <c r="P78" t="s">
        <v>75</v>
      </c>
      <c r="Q78" t="s">
        <v>16</v>
      </c>
      <c r="R78" t="s">
        <v>98</v>
      </c>
      <c r="S78" t="s">
        <v>75</v>
      </c>
      <c r="T78" t="s">
        <v>18</v>
      </c>
      <c r="U78" t="s">
        <v>16</v>
      </c>
      <c r="V78" t="s">
        <v>16</v>
      </c>
      <c r="W78" t="s">
        <v>18</v>
      </c>
      <c r="X78" t="s">
        <v>16</v>
      </c>
      <c r="Y78">
        <v>4.8899998664856001</v>
      </c>
      <c r="Z78">
        <v>2.9300000667571999</v>
      </c>
      <c r="AA78">
        <v>1.3500000238418599</v>
      </c>
      <c r="AB78">
        <v>0.980000019073486</v>
      </c>
      <c r="AC78">
        <v>216.45147705078099</v>
      </c>
      <c r="AD78" t="s">
        <v>16</v>
      </c>
      <c r="AE78">
        <v>1</v>
      </c>
      <c r="AF78" t="s">
        <v>16</v>
      </c>
      <c r="AG78">
        <v>68.599998474121094</v>
      </c>
      <c r="AH78">
        <v>6.6300001144409197</v>
      </c>
      <c r="AI78">
        <v>4.4800000190734899</v>
      </c>
      <c r="AJ78">
        <v>15.310000419616699</v>
      </c>
      <c r="AK78">
        <v>7.3099999427795401</v>
      </c>
      <c r="AL78">
        <v>3.7999999523162802</v>
      </c>
      <c r="AM78">
        <v>18.049999237060501</v>
      </c>
      <c r="AN78" t="s">
        <v>222</v>
      </c>
      <c r="AO78">
        <v>80</v>
      </c>
      <c r="AP78">
        <v>26.122448979591798</v>
      </c>
      <c r="AQ78" s="1" t="s">
        <v>16</v>
      </c>
      <c r="AR78" s="1" t="s">
        <v>16</v>
      </c>
      <c r="AS78" s="1" t="s">
        <v>16</v>
      </c>
      <c r="AT78" s="1">
        <v>44998</v>
      </c>
      <c r="AU78" s="1">
        <v>44888</v>
      </c>
      <c r="AV78" s="1">
        <v>44888.980402928239</v>
      </c>
      <c r="AW78" s="1" t="s">
        <v>16</v>
      </c>
      <c r="AX78" s="1">
        <v>44888</v>
      </c>
      <c r="AY78" t="s">
        <v>16</v>
      </c>
      <c r="AZ78">
        <v>79</v>
      </c>
      <c r="BA78">
        <v>55</v>
      </c>
      <c r="BB78">
        <v>4</v>
      </c>
      <c r="BC78">
        <f>(140-D78)*AO78/(72*BI78)</f>
        <v>21.453730387447965</v>
      </c>
      <c r="BD78">
        <v>140</v>
      </c>
      <c r="BE78">
        <v>5.2</v>
      </c>
      <c r="BF78">
        <v>3</v>
      </c>
      <c r="BG78">
        <v>10.3</v>
      </c>
      <c r="BH78">
        <v>129</v>
      </c>
      <c r="BI78">
        <v>3.47</v>
      </c>
      <c r="BJ78">
        <v>8.0999999999999908</v>
      </c>
      <c r="BK78">
        <v>5.2999999999999901</v>
      </c>
      <c r="BL78">
        <v>5.9</v>
      </c>
      <c r="BM78">
        <v>8.3399999999999892</v>
      </c>
      <c r="BN78">
        <v>7.7</v>
      </c>
    </row>
    <row r="79" spans="1:66" x14ac:dyDescent="0.3">
      <c r="A79">
        <v>78</v>
      </c>
      <c r="B79" t="s">
        <v>434</v>
      </c>
      <c r="C79" s="2" t="s">
        <v>448</v>
      </c>
      <c r="D79">
        <v>80</v>
      </c>
      <c r="E79" s="1">
        <v>44163</v>
      </c>
      <c r="F79" s="1">
        <v>42411</v>
      </c>
      <c r="G79" s="1">
        <v>42283.348564814813</v>
      </c>
      <c r="H79" t="s">
        <v>15</v>
      </c>
      <c r="I79" t="s">
        <v>78</v>
      </c>
      <c r="J79" t="s">
        <v>15</v>
      </c>
      <c r="K79" t="s">
        <v>16</v>
      </c>
      <c r="L79">
        <v>65</v>
      </c>
      <c r="M79" t="s">
        <v>15</v>
      </c>
      <c r="N79" t="s">
        <v>15</v>
      </c>
      <c r="O79" t="s">
        <v>17</v>
      </c>
      <c r="P79" t="s">
        <v>112</v>
      </c>
      <c r="Q79" t="s">
        <v>16</v>
      </c>
      <c r="R79" t="s">
        <v>16</v>
      </c>
      <c r="S79" t="s">
        <v>16</v>
      </c>
      <c r="T79" t="s">
        <v>18</v>
      </c>
      <c r="U79" t="s">
        <v>118</v>
      </c>
      <c r="V79" t="s">
        <v>16</v>
      </c>
      <c r="W79" t="s">
        <v>19</v>
      </c>
      <c r="X79" t="s">
        <v>15</v>
      </c>
      <c r="Y79">
        <v>5.3000001907348597</v>
      </c>
      <c r="Z79">
        <v>3</v>
      </c>
      <c r="AA79">
        <v>1.1000000238418599</v>
      </c>
      <c r="AB79">
        <v>1.20000004768372</v>
      </c>
      <c r="AC79">
        <v>241.96237182617199</v>
      </c>
      <c r="AD79">
        <v>125</v>
      </c>
      <c r="AE79">
        <v>1</v>
      </c>
      <c r="AF79">
        <v>32</v>
      </c>
      <c r="AG79">
        <v>76.300003051757798</v>
      </c>
      <c r="AH79">
        <v>7</v>
      </c>
      <c r="AI79">
        <v>7</v>
      </c>
      <c r="AJ79">
        <v>10.8999996185303</v>
      </c>
      <c r="AK79">
        <v>9</v>
      </c>
      <c r="AL79">
        <v>8</v>
      </c>
      <c r="AM79">
        <v>9.5399999618530291</v>
      </c>
      <c r="AN79" t="s">
        <v>223</v>
      </c>
      <c r="AO79" t="s">
        <v>16</v>
      </c>
      <c r="AP79" t="s">
        <v>16</v>
      </c>
      <c r="AQ79" s="1" t="s">
        <v>16</v>
      </c>
      <c r="AR79" s="1" t="s">
        <v>16</v>
      </c>
      <c r="AS79" s="1">
        <v>42284</v>
      </c>
      <c r="AT79" s="1">
        <v>44131</v>
      </c>
      <c r="AU79" s="1">
        <v>40101</v>
      </c>
      <c r="AV79" s="1">
        <v>40101.774973958331</v>
      </c>
      <c r="AW79" s="1">
        <v>40101</v>
      </c>
      <c r="AX79" s="1" t="s">
        <v>16</v>
      </c>
      <c r="AY79" t="s">
        <v>16</v>
      </c>
      <c r="AZ79">
        <v>183</v>
      </c>
      <c r="BA79">
        <v>81</v>
      </c>
      <c r="BB79">
        <v>2</v>
      </c>
      <c r="BC79">
        <v>11</v>
      </c>
      <c r="BD79">
        <v>138</v>
      </c>
      <c r="BE79">
        <v>5</v>
      </c>
      <c r="BF79">
        <v>3.7</v>
      </c>
      <c r="BG79">
        <v>11.3</v>
      </c>
      <c r="BH79">
        <v>106</v>
      </c>
      <c r="BI79">
        <v>5.07</v>
      </c>
      <c r="BJ79">
        <v>8</v>
      </c>
      <c r="BK79">
        <v>4.7999999999999901</v>
      </c>
      <c r="BL79">
        <v>6.5999999999999899</v>
      </c>
      <c r="BM79">
        <v>28.66</v>
      </c>
      <c r="BN79">
        <v>6.7999999999999901</v>
      </c>
    </row>
    <row r="80" spans="1:66" x14ac:dyDescent="0.3">
      <c r="A80">
        <v>79</v>
      </c>
      <c r="B80" t="s">
        <v>430</v>
      </c>
      <c r="C80" s="2" t="s">
        <v>449</v>
      </c>
      <c r="D80">
        <v>71</v>
      </c>
      <c r="E80" s="1">
        <v>41409</v>
      </c>
      <c r="F80" s="1">
        <v>41252</v>
      </c>
      <c r="G80" s="1">
        <v>40982.392592592594</v>
      </c>
      <c r="H80" t="s">
        <v>15</v>
      </c>
      <c r="I80" t="s">
        <v>15</v>
      </c>
      <c r="J80" t="s">
        <v>15</v>
      </c>
      <c r="K80" t="s">
        <v>16</v>
      </c>
      <c r="L80">
        <v>60</v>
      </c>
      <c r="M80" t="s">
        <v>16</v>
      </c>
      <c r="N80" t="s">
        <v>16</v>
      </c>
      <c r="O80" t="s">
        <v>15</v>
      </c>
      <c r="P80" t="s">
        <v>16</v>
      </c>
      <c r="Q80" t="s">
        <v>16</v>
      </c>
      <c r="R80" t="s">
        <v>16</v>
      </c>
      <c r="S80" t="s">
        <v>16</v>
      </c>
      <c r="T80" t="s">
        <v>16</v>
      </c>
      <c r="U80" t="s">
        <v>16</v>
      </c>
      <c r="V80" t="s">
        <v>16</v>
      </c>
      <c r="W80" t="s">
        <v>18</v>
      </c>
      <c r="X80" t="s">
        <v>15</v>
      </c>
      <c r="Y80">
        <v>4.8000001907348597</v>
      </c>
      <c r="Z80">
        <v>2.7000000476837198</v>
      </c>
      <c r="AA80">
        <v>0.80000001192092896</v>
      </c>
      <c r="AB80">
        <v>0.80000001192092896</v>
      </c>
      <c r="AC80">
        <v>126.69126129150401</v>
      </c>
      <c r="AD80">
        <v>78</v>
      </c>
      <c r="AE80">
        <v>1</v>
      </c>
      <c r="AF80">
        <v>27</v>
      </c>
      <c r="AG80">
        <v>38</v>
      </c>
      <c r="AH80">
        <v>7</v>
      </c>
      <c r="AI80">
        <v>5</v>
      </c>
      <c r="AJ80">
        <v>7.5999999046325701</v>
      </c>
      <c r="AK80">
        <v>9</v>
      </c>
      <c r="AL80">
        <v>5</v>
      </c>
      <c r="AM80">
        <v>7.5999999046325701</v>
      </c>
      <c r="AN80" t="s">
        <v>224</v>
      </c>
      <c r="AO80" t="s">
        <v>16</v>
      </c>
      <c r="AP80" t="s">
        <v>16</v>
      </c>
      <c r="AQ80" s="1" t="s">
        <v>16</v>
      </c>
      <c r="AR80" s="1" t="s">
        <v>16</v>
      </c>
      <c r="AS80" s="1" t="s">
        <v>16</v>
      </c>
      <c r="AT80" s="1" t="s">
        <v>16</v>
      </c>
      <c r="AU80" s="1">
        <v>41043</v>
      </c>
      <c r="AV80" s="1"/>
      <c r="AW80" s="1">
        <v>41043</v>
      </c>
      <c r="AX80" s="1" t="s">
        <v>16</v>
      </c>
      <c r="AY80" t="s">
        <v>16</v>
      </c>
      <c r="AZ80">
        <v>190</v>
      </c>
      <c r="BA80">
        <v>81</v>
      </c>
      <c r="BB80">
        <v>2</v>
      </c>
      <c r="BC80">
        <v>7.1</v>
      </c>
      <c r="BD80">
        <v>125</v>
      </c>
      <c r="BE80">
        <v>3.7</v>
      </c>
      <c r="BF80">
        <v>3.7</v>
      </c>
      <c r="BH80">
        <v>135</v>
      </c>
      <c r="BI80">
        <v>5.8399999999999901</v>
      </c>
      <c r="BJ80">
        <v>8.9</v>
      </c>
      <c r="BK80">
        <v>5.7999999999999901</v>
      </c>
      <c r="BL80">
        <v>10.9</v>
      </c>
      <c r="BM80">
        <v>8.39</v>
      </c>
      <c r="BN80">
        <v>5.2999999999999901</v>
      </c>
    </row>
    <row r="81" spans="1:66" x14ac:dyDescent="0.3">
      <c r="A81">
        <v>80</v>
      </c>
      <c r="B81" t="s">
        <v>430</v>
      </c>
      <c r="C81" s="2" t="s">
        <v>449</v>
      </c>
      <c r="D81">
        <v>84</v>
      </c>
      <c r="E81" s="1">
        <v>44666</v>
      </c>
      <c r="F81" s="1">
        <v>44657</v>
      </c>
      <c r="G81" s="1">
        <v>44655.443749999999</v>
      </c>
      <c r="H81" t="s">
        <v>15</v>
      </c>
      <c r="I81" t="s">
        <v>15</v>
      </c>
      <c r="J81" t="s">
        <v>22</v>
      </c>
      <c r="K81" t="s">
        <v>16</v>
      </c>
      <c r="L81">
        <v>40</v>
      </c>
      <c r="M81" t="s">
        <v>16</v>
      </c>
      <c r="N81" t="s">
        <v>16</v>
      </c>
      <c r="O81" t="s">
        <v>17</v>
      </c>
      <c r="P81" t="s">
        <v>75</v>
      </c>
      <c r="Q81" t="s">
        <v>19</v>
      </c>
      <c r="R81" t="s">
        <v>16</v>
      </c>
      <c r="S81" t="s">
        <v>16</v>
      </c>
      <c r="T81" t="s">
        <v>26</v>
      </c>
      <c r="U81" t="s">
        <v>16</v>
      </c>
      <c r="V81" t="s">
        <v>16</v>
      </c>
      <c r="W81" t="s">
        <v>26</v>
      </c>
      <c r="X81" t="s">
        <v>87</v>
      </c>
      <c r="Y81">
        <v>4.5</v>
      </c>
      <c r="Z81">
        <v>3.2000000476837198</v>
      </c>
      <c r="AA81">
        <v>1.1000000238418599</v>
      </c>
      <c r="AB81">
        <v>0.89999997615814198</v>
      </c>
      <c r="AC81">
        <v>153.27200317382801</v>
      </c>
      <c r="AD81" t="s">
        <v>16</v>
      </c>
      <c r="AE81">
        <v>2.3099999427795401</v>
      </c>
      <c r="AF81">
        <v>52</v>
      </c>
      <c r="AG81" t="s">
        <v>16</v>
      </c>
      <c r="AH81" t="s">
        <v>16</v>
      </c>
      <c r="AI81" t="s">
        <v>16</v>
      </c>
      <c r="AJ81" t="s">
        <v>16</v>
      </c>
      <c r="AK81" t="s">
        <v>16</v>
      </c>
      <c r="AL81" t="s">
        <v>16</v>
      </c>
      <c r="AM81" t="s">
        <v>16</v>
      </c>
      <c r="AN81" t="s">
        <v>225</v>
      </c>
      <c r="AO81">
        <v>59</v>
      </c>
      <c r="AP81">
        <v>21.6712580348944</v>
      </c>
      <c r="AQ81" s="1" t="s">
        <v>16</v>
      </c>
      <c r="AR81" s="1" t="s">
        <v>16</v>
      </c>
      <c r="AS81" s="1" t="s">
        <v>16</v>
      </c>
      <c r="AT81" s="1">
        <v>44363</v>
      </c>
      <c r="AU81" s="1">
        <v>44363</v>
      </c>
      <c r="AV81" s="1"/>
      <c r="AW81" s="1" t="s">
        <v>16</v>
      </c>
      <c r="AX81" s="1" t="s">
        <v>16</v>
      </c>
      <c r="AY81" t="s">
        <v>16</v>
      </c>
      <c r="AZ81">
        <v>160</v>
      </c>
      <c r="BA81">
        <v>114</v>
      </c>
      <c r="BB81">
        <v>1</v>
      </c>
      <c r="BC81">
        <f t="shared" ref="BC81:BC100" si="4">(140-D81)*AO81/(72*BI81)</f>
        <v>9.5801438181396428</v>
      </c>
      <c r="BD81">
        <v>136</v>
      </c>
      <c r="BE81">
        <v>5.7</v>
      </c>
      <c r="BF81">
        <v>2.7</v>
      </c>
      <c r="BG81">
        <v>9.0999999999999908</v>
      </c>
      <c r="BI81">
        <v>4.79</v>
      </c>
      <c r="BJ81">
        <v>8.5</v>
      </c>
      <c r="BK81">
        <v>9.4</v>
      </c>
      <c r="BL81">
        <v>16.100000000000001</v>
      </c>
      <c r="BM81">
        <v>33.840000000000003</v>
      </c>
    </row>
    <row r="82" spans="1:66" x14ac:dyDescent="0.3">
      <c r="A82">
        <v>81</v>
      </c>
      <c r="B82" t="s">
        <v>430</v>
      </c>
      <c r="C82" s="2" t="s">
        <v>448</v>
      </c>
      <c r="D82">
        <v>72</v>
      </c>
      <c r="E82" s="1">
        <v>42775</v>
      </c>
      <c r="F82" s="1">
        <v>42732</v>
      </c>
      <c r="G82" s="1">
        <v>42731.531018518515</v>
      </c>
      <c r="H82" t="s">
        <v>17</v>
      </c>
      <c r="I82" t="s">
        <v>15</v>
      </c>
      <c r="J82" t="s">
        <v>28</v>
      </c>
      <c r="K82" t="s">
        <v>157</v>
      </c>
      <c r="L82">
        <v>35</v>
      </c>
      <c r="M82" t="s">
        <v>79</v>
      </c>
      <c r="N82" t="s">
        <v>14</v>
      </c>
      <c r="O82" t="s">
        <v>25</v>
      </c>
      <c r="P82" t="s">
        <v>16</v>
      </c>
      <c r="Q82" t="s">
        <v>18</v>
      </c>
      <c r="R82" t="s">
        <v>16</v>
      </c>
      <c r="S82" t="s">
        <v>16</v>
      </c>
      <c r="T82" t="s">
        <v>34</v>
      </c>
      <c r="U82" t="s">
        <v>16</v>
      </c>
      <c r="V82" t="s">
        <v>16</v>
      </c>
      <c r="W82" t="s">
        <v>26</v>
      </c>
      <c r="X82" t="s">
        <v>90</v>
      </c>
      <c r="Y82">
        <v>5.8000001907348597</v>
      </c>
      <c r="Z82">
        <v>4.4899997711181596</v>
      </c>
      <c r="AA82">
        <v>0.81000000238418601</v>
      </c>
      <c r="AB82">
        <v>0.83999997377395597</v>
      </c>
      <c r="AC82">
        <v>182.29351806640599</v>
      </c>
      <c r="AD82">
        <v>94</v>
      </c>
      <c r="AE82">
        <v>2.0599999427795401</v>
      </c>
      <c r="AF82">
        <v>64</v>
      </c>
      <c r="AG82">
        <v>143</v>
      </c>
      <c r="AH82" t="s">
        <v>16</v>
      </c>
      <c r="AI82" t="s">
        <v>16</v>
      </c>
      <c r="AJ82" t="s">
        <v>16</v>
      </c>
      <c r="AK82" t="s">
        <v>16</v>
      </c>
      <c r="AL82" t="s">
        <v>16</v>
      </c>
      <c r="AM82" t="s">
        <v>16</v>
      </c>
      <c r="AN82" t="s">
        <v>226</v>
      </c>
      <c r="AO82">
        <v>84.9</v>
      </c>
      <c r="AP82">
        <v>30.080782312925201</v>
      </c>
      <c r="AQ82" s="1" t="s">
        <v>16</v>
      </c>
      <c r="AR82" s="1" t="s">
        <v>16</v>
      </c>
      <c r="AS82" s="1">
        <v>42731</v>
      </c>
      <c r="AT82" s="1">
        <v>42731</v>
      </c>
      <c r="AU82" s="1" t="s">
        <v>16</v>
      </c>
      <c r="AV82" s="1"/>
      <c r="AW82" s="1" t="s">
        <v>16</v>
      </c>
      <c r="AX82" s="1" t="s">
        <v>16</v>
      </c>
      <c r="AY82" t="s">
        <v>16</v>
      </c>
      <c r="AZ82">
        <v>121</v>
      </c>
      <c r="BA82">
        <v>47</v>
      </c>
      <c r="BB82">
        <v>0</v>
      </c>
      <c r="BC82">
        <f t="shared" si="4"/>
        <v>16.198653198653201</v>
      </c>
      <c r="BD82">
        <v>134</v>
      </c>
      <c r="BE82">
        <v>4.5</v>
      </c>
      <c r="BF82">
        <v>3.2</v>
      </c>
      <c r="BG82">
        <v>11.9</v>
      </c>
      <c r="BH82">
        <v>261</v>
      </c>
      <c r="BI82">
        <v>4.95</v>
      </c>
      <c r="BJ82">
        <v>7.7</v>
      </c>
      <c r="BK82">
        <v>7.2999999999999901</v>
      </c>
      <c r="BL82">
        <v>12</v>
      </c>
      <c r="BM82">
        <v>68</v>
      </c>
      <c r="BN82">
        <v>7.2</v>
      </c>
    </row>
    <row r="83" spans="1:66" x14ac:dyDescent="0.3">
      <c r="A83">
        <v>82</v>
      </c>
      <c r="B83" t="s">
        <v>430</v>
      </c>
      <c r="C83" s="2" t="s">
        <v>448</v>
      </c>
      <c r="D83">
        <v>68</v>
      </c>
      <c r="E83" s="1">
        <v>42951</v>
      </c>
      <c r="F83" s="1">
        <v>42026</v>
      </c>
      <c r="G83" s="1">
        <v>42019.582094907404</v>
      </c>
      <c r="H83" t="s">
        <v>15</v>
      </c>
      <c r="I83" t="s">
        <v>87</v>
      </c>
      <c r="J83" t="s">
        <v>28</v>
      </c>
      <c r="K83" t="s">
        <v>16</v>
      </c>
      <c r="L83">
        <v>40</v>
      </c>
      <c r="M83" t="s">
        <v>16</v>
      </c>
      <c r="N83" t="s">
        <v>16</v>
      </c>
      <c r="O83" t="s">
        <v>25</v>
      </c>
      <c r="P83" t="s">
        <v>75</v>
      </c>
      <c r="Q83" t="s">
        <v>19</v>
      </c>
      <c r="R83" t="s">
        <v>16</v>
      </c>
      <c r="S83" t="s">
        <v>16</v>
      </c>
      <c r="T83" t="s">
        <v>19</v>
      </c>
      <c r="U83" t="s">
        <v>121</v>
      </c>
      <c r="V83" t="s">
        <v>16</v>
      </c>
      <c r="W83" t="s">
        <v>19</v>
      </c>
      <c r="X83" t="s">
        <v>87</v>
      </c>
      <c r="Y83">
        <v>6.0300002098083496</v>
      </c>
      <c r="Z83">
        <v>4.8000001907348597</v>
      </c>
      <c r="AA83">
        <v>1.5</v>
      </c>
      <c r="AB83">
        <v>1.29999995231628</v>
      </c>
      <c r="AC83">
        <v>390.98202514648398</v>
      </c>
      <c r="AD83">
        <v>170</v>
      </c>
      <c r="AE83">
        <v>1.75</v>
      </c>
      <c r="AF83">
        <v>50</v>
      </c>
      <c r="AG83">
        <v>147</v>
      </c>
      <c r="AH83">
        <v>5</v>
      </c>
      <c r="AI83">
        <v>5</v>
      </c>
      <c r="AJ83">
        <v>29.399999618530298</v>
      </c>
      <c r="AK83">
        <v>5</v>
      </c>
      <c r="AL83">
        <v>6</v>
      </c>
      <c r="AM83">
        <v>24.5</v>
      </c>
      <c r="AN83" t="s">
        <v>227</v>
      </c>
      <c r="AO83">
        <v>114</v>
      </c>
      <c r="AP83">
        <v>35.980305516980202</v>
      </c>
      <c r="AQ83" s="1" t="s">
        <v>16</v>
      </c>
      <c r="AR83" s="1">
        <v>40066</v>
      </c>
      <c r="AS83" s="1">
        <v>40065</v>
      </c>
      <c r="AT83" s="1" t="s">
        <v>16</v>
      </c>
      <c r="AU83" s="1">
        <v>40065</v>
      </c>
      <c r="AV83" s="1">
        <v>40065.691791203702</v>
      </c>
      <c r="AW83" s="1">
        <v>40065</v>
      </c>
      <c r="AX83" s="1" t="s">
        <v>16</v>
      </c>
      <c r="AY83" t="s">
        <v>16</v>
      </c>
      <c r="AZ83">
        <v>163</v>
      </c>
      <c r="BA83">
        <v>83</v>
      </c>
      <c r="BB83">
        <v>1</v>
      </c>
      <c r="BC83">
        <f t="shared" si="4"/>
        <v>18.476499189627258</v>
      </c>
      <c r="BD83">
        <v>137</v>
      </c>
      <c r="BE83">
        <v>4.7</v>
      </c>
      <c r="BF83">
        <v>2.8999999999999901</v>
      </c>
      <c r="BG83">
        <v>7.2</v>
      </c>
      <c r="BH83">
        <v>199</v>
      </c>
      <c r="BI83">
        <v>6.1699999999999902</v>
      </c>
      <c r="BJ83">
        <v>8.1999999999999904</v>
      </c>
      <c r="BK83">
        <v>6.5999999999999899</v>
      </c>
      <c r="BL83">
        <v>9</v>
      </c>
      <c r="BM83">
        <v>147.94</v>
      </c>
      <c r="BN83">
        <v>7.5</v>
      </c>
    </row>
    <row r="84" spans="1:66" x14ac:dyDescent="0.3">
      <c r="A84">
        <v>83</v>
      </c>
      <c r="B84" t="s">
        <v>430</v>
      </c>
      <c r="C84" s="2" t="s">
        <v>449</v>
      </c>
      <c r="D84">
        <v>78</v>
      </c>
      <c r="E84" s="1">
        <v>44396</v>
      </c>
      <c r="F84" s="1">
        <v>43392</v>
      </c>
      <c r="G84" s="1">
        <v>43412.371249999997</v>
      </c>
      <c r="H84" t="s">
        <v>16</v>
      </c>
      <c r="I84" t="s">
        <v>16</v>
      </c>
      <c r="J84" t="s">
        <v>16</v>
      </c>
      <c r="K84" t="s">
        <v>16</v>
      </c>
      <c r="L84">
        <v>60</v>
      </c>
      <c r="M84" t="s">
        <v>16</v>
      </c>
      <c r="N84" t="s">
        <v>16</v>
      </c>
      <c r="O84" t="s">
        <v>16</v>
      </c>
      <c r="P84" t="s">
        <v>16</v>
      </c>
      <c r="Q84" t="s">
        <v>16</v>
      </c>
      <c r="R84" t="s">
        <v>16</v>
      </c>
      <c r="S84" t="s">
        <v>16</v>
      </c>
      <c r="T84" t="s">
        <v>18</v>
      </c>
      <c r="U84" t="s">
        <v>228</v>
      </c>
      <c r="V84" t="s">
        <v>16</v>
      </c>
      <c r="W84" t="s">
        <v>23</v>
      </c>
      <c r="X84" t="s">
        <v>78</v>
      </c>
      <c r="Y84">
        <v>5.1399998664856001</v>
      </c>
      <c r="Z84">
        <v>3.6400001049041699</v>
      </c>
      <c r="AA84">
        <v>1.0199999809265099</v>
      </c>
      <c r="AB84">
        <v>1.1399999856948899</v>
      </c>
      <c r="AC84">
        <v>211.27925109863301</v>
      </c>
      <c r="AD84">
        <v>128</v>
      </c>
      <c r="AE84">
        <v>1</v>
      </c>
      <c r="AF84">
        <v>42</v>
      </c>
      <c r="AG84" t="s">
        <v>16</v>
      </c>
      <c r="AH84" t="s">
        <v>16</v>
      </c>
      <c r="AI84" t="s">
        <v>16</v>
      </c>
      <c r="AJ84" t="s">
        <v>16</v>
      </c>
      <c r="AK84" t="s">
        <v>16</v>
      </c>
      <c r="AL84" t="s">
        <v>16</v>
      </c>
      <c r="AM84" t="s">
        <v>16</v>
      </c>
      <c r="AN84" t="s">
        <v>229</v>
      </c>
      <c r="AO84">
        <v>80</v>
      </c>
      <c r="AP84">
        <v>35.5555555555556</v>
      </c>
      <c r="AQ84" s="1" t="s">
        <v>16</v>
      </c>
      <c r="AR84" s="1" t="s">
        <v>16</v>
      </c>
      <c r="AS84" s="1">
        <v>43411</v>
      </c>
      <c r="AT84" s="1" t="s">
        <v>16</v>
      </c>
      <c r="AU84" s="1">
        <v>43411</v>
      </c>
      <c r="AV84" s="1"/>
      <c r="AW84" s="1">
        <v>43411</v>
      </c>
      <c r="AX84" s="1" t="s">
        <v>16</v>
      </c>
      <c r="AY84" t="s">
        <v>16</v>
      </c>
      <c r="AZ84">
        <v>120</v>
      </c>
      <c r="BA84">
        <v>65</v>
      </c>
      <c r="BB84">
        <v>0</v>
      </c>
      <c r="BC84">
        <f t="shared" si="4"/>
        <v>18.977655341291758</v>
      </c>
      <c r="BD84">
        <v>136.099999999999</v>
      </c>
      <c r="BE84">
        <v>4.25</v>
      </c>
      <c r="BF84">
        <v>1.8</v>
      </c>
      <c r="BG84">
        <v>10.6</v>
      </c>
      <c r="BH84">
        <v>116</v>
      </c>
      <c r="BI84">
        <v>3.6299999999999901</v>
      </c>
      <c r="BJ84">
        <v>8.3000000000000007</v>
      </c>
      <c r="BK84">
        <v>3.5</v>
      </c>
      <c r="BL84">
        <v>7.4</v>
      </c>
      <c r="BM84">
        <v>119.319999999999</v>
      </c>
      <c r="BN84">
        <v>5.9</v>
      </c>
    </row>
    <row r="85" spans="1:66" ht="13.9" customHeight="1" x14ac:dyDescent="0.3">
      <c r="A85">
        <v>84</v>
      </c>
      <c r="B85" t="s">
        <v>430</v>
      </c>
      <c r="C85" s="2" t="s">
        <v>449</v>
      </c>
      <c r="D85">
        <v>51</v>
      </c>
      <c r="E85" s="1">
        <v>44143</v>
      </c>
      <c r="F85" s="1">
        <v>43342</v>
      </c>
      <c r="G85" s="1">
        <v>43236.430208333331</v>
      </c>
      <c r="H85" t="s">
        <v>15</v>
      </c>
      <c r="I85" t="s">
        <v>78</v>
      </c>
      <c r="J85" t="s">
        <v>15</v>
      </c>
      <c r="K85" t="s">
        <v>16</v>
      </c>
      <c r="L85">
        <v>60</v>
      </c>
      <c r="M85" t="s">
        <v>16</v>
      </c>
      <c r="N85" t="s">
        <v>16</v>
      </c>
      <c r="O85" t="s">
        <v>16</v>
      </c>
      <c r="P85" t="s">
        <v>16</v>
      </c>
      <c r="Q85" t="s">
        <v>16</v>
      </c>
      <c r="R85" t="s">
        <v>16</v>
      </c>
      <c r="S85" t="s">
        <v>16</v>
      </c>
      <c r="T85" t="s">
        <v>18</v>
      </c>
      <c r="U85" t="s">
        <v>111</v>
      </c>
      <c r="V85" t="s">
        <v>16</v>
      </c>
      <c r="W85" t="s">
        <v>18</v>
      </c>
      <c r="X85" t="s">
        <v>15</v>
      </c>
      <c r="Y85">
        <v>4.1999998092651403</v>
      </c>
      <c r="Z85">
        <v>2.7999999523162802</v>
      </c>
      <c r="AA85">
        <v>1.20000004768372</v>
      </c>
      <c r="AB85">
        <v>1.20000004768372</v>
      </c>
      <c r="AC85">
        <v>178.15545654296901</v>
      </c>
      <c r="AD85" t="s">
        <v>16</v>
      </c>
      <c r="AE85">
        <v>1</v>
      </c>
      <c r="AF85">
        <v>24</v>
      </c>
      <c r="AG85">
        <v>91</v>
      </c>
      <c r="AH85">
        <v>8</v>
      </c>
      <c r="AI85">
        <v>8</v>
      </c>
      <c r="AJ85">
        <v>11.3800001144409</v>
      </c>
      <c r="AK85">
        <v>7</v>
      </c>
      <c r="AL85">
        <v>15</v>
      </c>
      <c r="AM85">
        <v>6.0700001716613796</v>
      </c>
      <c r="AN85" t="s">
        <v>230</v>
      </c>
      <c r="AO85">
        <v>74</v>
      </c>
      <c r="AP85">
        <v>25.605536332179899</v>
      </c>
      <c r="AQ85" s="1" t="s">
        <v>16</v>
      </c>
      <c r="AR85" s="1" t="s">
        <v>16</v>
      </c>
      <c r="AS85" s="1" t="s">
        <v>16</v>
      </c>
      <c r="AT85" s="1" t="s">
        <v>16</v>
      </c>
      <c r="AU85" s="1">
        <v>43230</v>
      </c>
      <c r="AV85" s="1">
        <v>43230.049614432872</v>
      </c>
      <c r="AW85" s="1" t="s">
        <v>16</v>
      </c>
      <c r="AX85" s="1" t="s">
        <v>16</v>
      </c>
      <c r="AY85" t="s">
        <v>16</v>
      </c>
      <c r="AZ85">
        <v>145</v>
      </c>
      <c r="BA85">
        <v>77</v>
      </c>
      <c r="BB85">
        <v>4</v>
      </c>
      <c r="BC85">
        <f t="shared" si="4"/>
        <v>22.419662309368192</v>
      </c>
      <c r="BD85">
        <v>135</v>
      </c>
      <c r="BE85">
        <v>4.5</v>
      </c>
      <c r="BF85">
        <v>3.1</v>
      </c>
      <c r="BG85">
        <v>8.5999999999999908</v>
      </c>
      <c r="BH85">
        <v>236</v>
      </c>
      <c r="BI85">
        <v>4.08</v>
      </c>
      <c r="BJ85">
        <v>9.3000000000000007</v>
      </c>
      <c r="BK85">
        <v>4.78</v>
      </c>
      <c r="BL85">
        <v>5.0999999999999899</v>
      </c>
      <c r="BM85">
        <v>5.7699999999999898</v>
      </c>
      <c r="BN85">
        <v>6.2</v>
      </c>
    </row>
    <row r="86" spans="1:66" x14ac:dyDescent="0.3">
      <c r="A86">
        <v>85</v>
      </c>
      <c r="B86" t="s">
        <v>430</v>
      </c>
      <c r="C86" s="2" t="s">
        <v>448</v>
      </c>
      <c r="D86">
        <v>53</v>
      </c>
      <c r="E86" s="1">
        <v>43790</v>
      </c>
      <c r="F86" s="1">
        <v>43762</v>
      </c>
      <c r="G86" s="1">
        <v>43762.444560185184</v>
      </c>
      <c r="H86" t="s">
        <v>15</v>
      </c>
      <c r="I86" t="s">
        <v>78</v>
      </c>
      <c r="J86" t="s">
        <v>35</v>
      </c>
      <c r="K86" t="s">
        <v>145</v>
      </c>
      <c r="L86">
        <v>15</v>
      </c>
      <c r="M86" t="s">
        <v>79</v>
      </c>
      <c r="N86" t="s">
        <v>14</v>
      </c>
      <c r="O86" t="s">
        <v>17</v>
      </c>
      <c r="P86" t="s">
        <v>16</v>
      </c>
      <c r="Q86" t="s">
        <v>18</v>
      </c>
      <c r="R86" t="s">
        <v>16</v>
      </c>
      <c r="S86" t="s">
        <v>16</v>
      </c>
      <c r="T86" t="s">
        <v>18</v>
      </c>
      <c r="U86" t="s">
        <v>16</v>
      </c>
      <c r="V86" t="s">
        <v>16</v>
      </c>
      <c r="W86" t="s">
        <v>23</v>
      </c>
      <c r="X86" t="s">
        <v>78</v>
      </c>
      <c r="Y86">
        <v>5.5</v>
      </c>
      <c r="Z86">
        <v>4.3000001907348597</v>
      </c>
      <c r="AA86">
        <v>1.3999999761581401</v>
      </c>
      <c r="AB86">
        <v>1.1000000238418599</v>
      </c>
      <c r="AC86">
        <v>288.16000366210898</v>
      </c>
      <c r="AD86">
        <v>158</v>
      </c>
      <c r="AE86">
        <v>2.8099999427795401</v>
      </c>
      <c r="AF86">
        <v>42</v>
      </c>
      <c r="AG86">
        <v>103</v>
      </c>
      <c r="AH86">
        <v>6</v>
      </c>
      <c r="AI86">
        <v>4</v>
      </c>
      <c r="AJ86">
        <v>25.75</v>
      </c>
      <c r="AK86">
        <v>7</v>
      </c>
      <c r="AL86">
        <v>9</v>
      </c>
      <c r="AM86">
        <v>11.439999580383301</v>
      </c>
      <c r="AN86" t="s">
        <v>231</v>
      </c>
      <c r="AO86">
        <v>77</v>
      </c>
      <c r="AP86">
        <v>27.943097691972699</v>
      </c>
      <c r="AQ86" s="1">
        <v>41813</v>
      </c>
      <c r="AR86" s="1">
        <v>41782</v>
      </c>
      <c r="AS86" s="1">
        <v>43761</v>
      </c>
      <c r="AT86" s="1" t="s">
        <v>16</v>
      </c>
      <c r="AU86" s="1">
        <v>41813</v>
      </c>
      <c r="AV86" s="1">
        <v>41813.604921608799</v>
      </c>
      <c r="AW86" s="1" t="s">
        <v>16</v>
      </c>
      <c r="AX86" s="1" t="s">
        <v>16</v>
      </c>
      <c r="AY86" t="s">
        <v>16</v>
      </c>
      <c r="AZ86">
        <v>114</v>
      </c>
      <c r="BA86">
        <v>42</v>
      </c>
      <c r="BB86">
        <v>0</v>
      </c>
      <c r="BC86">
        <f t="shared" si="4"/>
        <v>21.290999237223495</v>
      </c>
      <c r="BD86">
        <v>139</v>
      </c>
      <c r="BE86">
        <v>3.7999999999999901</v>
      </c>
      <c r="BF86">
        <v>2.1</v>
      </c>
      <c r="BH86">
        <v>119</v>
      </c>
      <c r="BI86">
        <v>4.37</v>
      </c>
      <c r="BJ86">
        <v>8.3000000000000007</v>
      </c>
      <c r="BK86">
        <v>5.7</v>
      </c>
      <c r="BL86">
        <v>4.2999999999999901</v>
      </c>
      <c r="BM86">
        <v>76.709999999999894</v>
      </c>
      <c r="BN86">
        <v>6.7999999999999901</v>
      </c>
    </row>
    <row r="87" spans="1:66" x14ac:dyDescent="0.3">
      <c r="A87">
        <v>86</v>
      </c>
      <c r="B87" t="s">
        <v>430</v>
      </c>
      <c r="C87" s="2" t="s">
        <v>448</v>
      </c>
      <c r="D87">
        <v>52</v>
      </c>
      <c r="E87" s="1" t="s">
        <v>16</v>
      </c>
      <c r="F87" s="1">
        <v>42570</v>
      </c>
      <c r="G87" s="1">
        <v>42596.398958333331</v>
      </c>
      <c r="H87" t="s">
        <v>17</v>
      </c>
      <c r="I87" t="s">
        <v>87</v>
      </c>
      <c r="J87" t="s">
        <v>14</v>
      </c>
      <c r="K87" t="s">
        <v>16</v>
      </c>
      <c r="L87">
        <v>45</v>
      </c>
      <c r="M87" t="s">
        <v>15</v>
      </c>
      <c r="N87" t="s">
        <v>15</v>
      </c>
      <c r="O87" t="s">
        <v>25</v>
      </c>
      <c r="P87" t="s">
        <v>16</v>
      </c>
      <c r="Q87" t="s">
        <v>16</v>
      </c>
      <c r="R87" t="s">
        <v>16</v>
      </c>
      <c r="S87" t="s">
        <v>16</v>
      </c>
      <c r="T87" t="s">
        <v>23</v>
      </c>
      <c r="U87" t="s">
        <v>16</v>
      </c>
      <c r="V87" t="s">
        <v>16</v>
      </c>
      <c r="W87" t="s">
        <v>19</v>
      </c>
      <c r="X87" t="s">
        <v>87</v>
      </c>
      <c r="Y87">
        <v>5.5599999427795401</v>
      </c>
      <c r="Z87">
        <v>4.2600002288818404</v>
      </c>
      <c r="AA87">
        <v>1.37000000476837</v>
      </c>
      <c r="AB87">
        <v>1.3999999761581401</v>
      </c>
      <c r="AC87">
        <v>338.50009155273398</v>
      </c>
      <c r="AD87">
        <v>155</v>
      </c>
      <c r="AE87">
        <v>1.12000000476837</v>
      </c>
      <c r="AF87">
        <v>62</v>
      </c>
      <c r="AG87">
        <v>111.919998168945</v>
      </c>
      <c r="AH87">
        <v>6</v>
      </c>
      <c r="AI87">
        <v>7</v>
      </c>
      <c r="AJ87">
        <v>15.9899997711182</v>
      </c>
      <c r="AK87">
        <v>9</v>
      </c>
      <c r="AL87">
        <v>11</v>
      </c>
      <c r="AM87">
        <v>10.170000076293899</v>
      </c>
      <c r="AN87" t="s">
        <v>232</v>
      </c>
      <c r="AO87">
        <v>110</v>
      </c>
      <c r="AP87">
        <v>35.511363636363598</v>
      </c>
      <c r="AQ87" s="1" t="s">
        <v>16</v>
      </c>
      <c r="AR87" s="1" t="s">
        <v>16</v>
      </c>
      <c r="AS87" s="1">
        <v>45005</v>
      </c>
      <c r="AT87" s="1" t="s">
        <v>16</v>
      </c>
      <c r="AU87" s="1">
        <v>42595</v>
      </c>
      <c r="AV87" s="1"/>
      <c r="AW87" s="1">
        <v>42612</v>
      </c>
      <c r="AX87" s="1" t="s">
        <v>16</v>
      </c>
      <c r="AY87" t="s">
        <v>16</v>
      </c>
      <c r="AZ87">
        <v>146</v>
      </c>
      <c r="BA87">
        <v>91</v>
      </c>
      <c r="BB87">
        <v>3</v>
      </c>
      <c r="BC87">
        <f t="shared" si="4"/>
        <v>21.105878248735394</v>
      </c>
      <c r="BD87">
        <v>127.3</v>
      </c>
      <c r="BE87">
        <v>3.2</v>
      </c>
      <c r="BF87">
        <v>3.7</v>
      </c>
      <c r="BG87">
        <v>11.6</v>
      </c>
      <c r="BH87">
        <v>168</v>
      </c>
      <c r="BI87">
        <v>6.37</v>
      </c>
      <c r="BJ87">
        <v>8.8000000000000007</v>
      </c>
      <c r="BK87">
        <v>6.5999999999999899</v>
      </c>
      <c r="BL87">
        <v>10.1999999999999</v>
      </c>
      <c r="BM87">
        <v>218.62</v>
      </c>
      <c r="BN87">
        <v>4.5</v>
      </c>
    </row>
    <row r="88" spans="1:66" x14ac:dyDescent="0.3">
      <c r="A88">
        <v>87</v>
      </c>
      <c r="B88" t="s">
        <v>430</v>
      </c>
      <c r="C88" s="2" t="s">
        <v>448</v>
      </c>
      <c r="D88">
        <v>52</v>
      </c>
      <c r="E88" s="1">
        <v>45018</v>
      </c>
      <c r="F88" s="1">
        <v>44936</v>
      </c>
      <c r="G88" s="1">
        <v>44881.514687499999</v>
      </c>
      <c r="H88" t="s">
        <v>17</v>
      </c>
      <c r="I88" t="s">
        <v>16</v>
      </c>
      <c r="J88" t="s">
        <v>35</v>
      </c>
      <c r="K88" t="s">
        <v>16</v>
      </c>
      <c r="L88">
        <v>25</v>
      </c>
      <c r="M88" t="s">
        <v>16</v>
      </c>
      <c r="N88" t="s">
        <v>16</v>
      </c>
      <c r="O88" t="s">
        <v>17</v>
      </c>
      <c r="P88" t="s">
        <v>16</v>
      </c>
      <c r="Q88" t="s">
        <v>16</v>
      </c>
      <c r="R88" t="s">
        <v>16</v>
      </c>
      <c r="S88" t="s">
        <v>16</v>
      </c>
      <c r="T88" t="s">
        <v>18</v>
      </c>
      <c r="U88" t="s">
        <v>16</v>
      </c>
      <c r="V88" t="s">
        <v>16</v>
      </c>
      <c r="W88" t="s">
        <v>18</v>
      </c>
      <c r="X88" t="s">
        <v>16</v>
      </c>
      <c r="Y88">
        <v>6.1999998092651403</v>
      </c>
      <c r="Z88">
        <v>5.5999999046325701</v>
      </c>
      <c r="AA88">
        <v>0.80000001192092896</v>
      </c>
      <c r="AB88">
        <v>1</v>
      </c>
      <c r="AC88">
        <v>228.29510498046901</v>
      </c>
      <c r="AD88" t="s">
        <v>16</v>
      </c>
      <c r="AE88">
        <v>1</v>
      </c>
      <c r="AF88" t="s">
        <v>16</v>
      </c>
      <c r="AG88">
        <v>81.900001525878906</v>
      </c>
      <c r="AH88" t="s">
        <v>16</v>
      </c>
      <c r="AI88">
        <v>5.4400000572204599</v>
      </c>
      <c r="AJ88">
        <v>15.060000419616699</v>
      </c>
      <c r="AK88" t="s">
        <v>16</v>
      </c>
      <c r="AL88">
        <v>10.300000190734901</v>
      </c>
      <c r="AM88">
        <v>7.9499998092651403</v>
      </c>
      <c r="AN88" t="s">
        <v>233</v>
      </c>
      <c r="AO88">
        <v>90</v>
      </c>
      <c r="AP88">
        <v>31.887755102040799</v>
      </c>
      <c r="AQ88" s="1" t="s">
        <v>16</v>
      </c>
      <c r="AR88" s="1" t="s">
        <v>16</v>
      </c>
      <c r="AS88" s="1">
        <v>44500</v>
      </c>
      <c r="AT88" s="1" t="s">
        <v>16</v>
      </c>
      <c r="AU88" s="1">
        <v>44500</v>
      </c>
      <c r="AV88" s="1">
        <v>44500.754897141203</v>
      </c>
      <c r="AW88" s="1">
        <v>44500</v>
      </c>
      <c r="AX88" s="1" t="s">
        <v>16</v>
      </c>
      <c r="AY88" t="s">
        <v>16</v>
      </c>
      <c r="AZ88">
        <v>89</v>
      </c>
      <c r="BA88">
        <v>64</v>
      </c>
      <c r="BB88">
        <v>0</v>
      </c>
      <c r="BC88">
        <f t="shared" si="4"/>
        <v>114.58333333333347</v>
      </c>
      <c r="BD88">
        <v>141</v>
      </c>
      <c r="BE88">
        <v>5.2</v>
      </c>
      <c r="BF88">
        <v>3</v>
      </c>
      <c r="BG88">
        <v>8.5</v>
      </c>
      <c r="BH88">
        <v>68</v>
      </c>
      <c r="BI88">
        <v>0.95999999999999897</v>
      </c>
      <c r="BJ88">
        <v>8.5999999999999908</v>
      </c>
      <c r="BK88">
        <v>3.7</v>
      </c>
      <c r="BL88">
        <v>10.3</v>
      </c>
      <c r="BM88">
        <v>21.28</v>
      </c>
      <c r="BN88">
        <v>9.4</v>
      </c>
    </row>
    <row r="89" spans="1:66" x14ac:dyDescent="0.3">
      <c r="A89">
        <v>88</v>
      </c>
      <c r="B89" t="s">
        <v>430</v>
      </c>
      <c r="C89" s="2" t="s">
        <v>448</v>
      </c>
      <c r="D89">
        <v>51</v>
      </c>
      <c r="E89" s="1">
        <v>44864</v>
      </c>
      <c r="F89" s="1">
        <v>43382</v>
      </c>
      <c r="G89" s="1">
        <v>43411.422430555554</v>
      </c>
      <c r="H89" t="s">
        <v>15</v>
      </c>
      <c r="I89" t="s">
        <v>15</v>
      </c>
      <c r="J89" t="s">
        <v>15</v>
      </c>
      <c r="K89" t="s">
        <v>16</v>
      </c>
      <c r="L89">
        <v>60</v>
      </c>
      <c r="M89" t="s">
        <v>16</v>
      </c>
      <c r="N89" t="s">
        <v>16</v>
      </c>
      <c r="O89" t="s">
        <v>15</v>
      </c>
      <c r="P89" t="s">
        <v>15</v>
      </c>
      <c r="Q89" t="s">
        <v>33</v>
      </c>
      <c r="R89" t="s">
        <v>16</v>
      </c>
      <c r="S89" t="s">
        <v>15</v>
      </c>
      <c r="T89" t="s">
        <v>33</v>
      </c>
      <c r="U89" t="s">
        <v>16</v>
      </c>
      <c r="V89" t="s">
        <v>93</v>
      </c>
      <c r="W89" t="s">
        <v>18</v>
      </c>
      <c r="X89" t="s">
        <v>16</v>
      </c>
      <c r="Y89">
        <v>4.1500000953674299</v>
      </c>
      <c r="Z89">
        <v>2.3499999046325701</v>
      </c>
      <c r="AA89">
        <v>0.99000000953674305</v>
      </c>
      <c r="AB89">
        <v>1.0900000333786</v>
      </c>
      <c r="AC89">
        <v>142.31538391113301</v>
      </c>
      <c r="AD89">
        <v>73</v>
      </c>
      <c r="AE89">
        <v>1</v>
      </c>
      <c r="AF89" t="s">
        <v>16</v>
      </c>
      <c r="AG89">
        <v>95.940002441406307</v>
      </c>
      <c r="AH89">
        <v>7</v>
      </c>
      <c r="AI89">
        <v>7</v>
      </c>
      <c r="AJ89">
        <v>13.710000038146999</v>
      </c>
      <c r="AK89">
        <v>14</v>
      </c>
      <c r="AL89">
        <v>8</v>
      </c>
      <c r="AM89">
        <v>11.9899997711182</v>
      </c>
      <c r="AN89" t="s">
        <v>234</v>
      </c>
      <c r="AO89">
        <v>76</v>
      </c>
      <c r="AP89">
        <v>24.816326530612201</v>
      </c>
      <c r="AQ89" s="1" t="s">
        <v>16</v>
      </c>
      <c r="AR89" s="1" t="s">
        <v>16</v>
      </c>
      <c r="AS89" s="1" t="s">
        <v>16</v>
      </c>
      <c r="AT89" s="1" t="s">
        <v>16</v>
      </c>
      <c r="AU89" s="1">
        <v>43268</v>
      </c>
      <c r="AV89" s="1">
        <v>43268.490509918978</v>
      </c>
      <c r="AW89" s="1" t="s">
        <v>16</v>
      </c>
      <c r="AX89" s="1" t="s">
        <v>16</v>
      </c>
      <c r="AY89" t="s">
        <v>16</v>
      </c>
      <c r="AZ89">
        <v>124</v>
      </c>
      <c r="BA89">
        <v>70</v>
      </c>
      <c r="BB89">
        <v>1</v>
      </c>
      <c r="BC89">
        <f t="shared" si="4"/>
        <v>11.612415876939997</v>
      </c>
      <c r="BD89">
        <v>137</v>
      </c>
      <c r="BE89">
        <v>4.2999999999999901</v>
      </c>
      <c r="BF89">
        <v>3.8999999999999901</v>
      </c>
      <c r="BG89">
        <v>6.9</v>
      </c>
      <c r="BH89">
        <v>110</v>
      </c>
      <c r="BI89">
        <v>8.0899999999999892</v>
      </c>
      <c r="BJ89">
        <v>9.5</v>
      </c>
      <c r="BK89">
        <v>5.9</v>
      </c>
      <c r="BL89">
        <v>6</v>
      </c>
      <c r="BM89">
        <v>124.59</v>
      </c>
    </row>
    <row r="90" spans="1:66" x14ac:dyDescent="0.3">
      <c r="A90">
        <v>89</v>
      </c>
      <c r="B90" t="s">
        <v>430</v>
      </c>
      <c r="C90" s="2" t="s">
        <v>449</v>
      </c>
      <c r="D90">
        <v>46</v>
      </c>
      <c r="E90" s="1">
        <v>43789</v>
      </c>
      <c r="F90" s="1">
        <v>41258</v>
      </c>
      <c r="G90" s="1">
        <v>41112.441354166665</v>
      </c>
      <c r="H90" t="s">
        <v>15</v>
      </c>
      <c r="I90" t="s">
        <v>15</v>
      </c>
      <c r="J90" t="s">
        <v>15</v>
      </c>
      <c r="K90" t="s">
        <v>16</v>
      </c>
      <c r="L90">
        <v>55</v>
      </c>
      <c r="M90" t="s">
        <v>15</v>
      </c>
      <c r="N90" t="s">
        <v>15</v>
      </c>
      <c r="O90" t="s">
        <v>15</v>
      </c>
      <c r="P90" t="s">
        <v>16</v>
      </c>
      <c r="Q90" t="s">
        <v>16</v>
      </c>
      <c r="R90" t="s">
        <v>16</v>
      </c>
      <c r="S90" t="s">
        <v>16</v>
      </c>
      <c r="T90" t="s">
        <v>16</v>
      </c>
      <c r="U90" t="s">
        <v>16</v>
      </c>
      <c r="V90" t="s">
        <v>16</v>
      </c>
      <c r="W90" t="s">
        <v>18</v>
      </c>
      <c r="X90" t="s">
        <v>87</v>
      </c>
      <c r="Y90">
        <v>4.4099998474121103</v>
      </c>
      <c r="Z90">
        <v>2.5199999809265101</v>
      </c>
      <c r="AA90">
        <v>0.83999997377395597</v>
      </c>
      <c r="AB90">
        <v>0.87999999523162797</v>
      </c>
      <c r="AC90">
        <v>120.89079284668</v>
      </c>
      <c r="AD90" t="s">
        <v>16</v>
      </c>
      <c r="AE90">
        <v>1</v>
      </c>
      <c r="AF90">
        <v>47.369998931884801</v>
      </c>
      <c r="AG90">
        <v>72.040000915527301</v>
      </c>
      <c r="AH90" t="s">
        <v>16</v>
      </c>
      <c r="AI90" t="s">
        <v>16</v>
      </c>
      <c r="AJ90" t="s">
        <v>16</v>
      </c>
      <c r="AK90" t="s">
        <v>16</v>
      </c>
      <c r="AL90" t="s">
        <v>16</v>
      </c>
      <c r="AM90" t="s">
        <v>16</v>
      </c>
      <c r="AN90" t="s">
        <v>235</v>
      </c>
      <c r="AO90">
        <v>50</v>
      </c>
      <c r="AP90">
        <v>20.028841531805799</v>
      </c>
      <c r="AQ90" s="1">
        <v>42367</v>
      </c>
      <c r="AR90" s="1" t="s">
        <v>16</v>
      </c>
      <c r="AS90" s="1" t="s">
        <v>16</v>
      </c>
      <c r="AT90" s="1" t="s">
        <v>16</v>
      </c>
      <c r="AU90" s="1">
        <v>41331</v>
      </c>
      <c r="AV90" s="1"/>
      <c r="AW90" s="1" t="s">
        <v>16</v>
      </c>
      <c r="AX90" s="1" t="s">
        <v>16</v>
      </c>
      <c r="AY90" t="s">
        <v>21</v>
      </c>
      <c r="AZ90">
        <v>158</v>
      </c>
      <c r="BA90">
        <v>88</v>
      </c>
      <c r="BB90">
        <v>6</v>
      </c>
      <c r="BC90">
        <f t="shared" si="4"/>
        <v>24.915182357930448</v>
      </c>
      <c r="BD90">
        <v>129.599999999999</v>
      </c>
      <c r="BE90">
        <v>4.21</v>
      </c>
      <c r="BF90">
        <v>2.7</v>
      </c>
      <c r="BG90">
        <v>8.5</v>
      </c>
      <c r="BH90">
        <v>238</v>
      </c>
      <c r="BI90">
        <v>2.62</v>
      </c>
      <c r="BJ90">
        <v>8</v>
      </c>
      <c r="BK90">
        <v>4</v>
      </c>
      <c r="BL90">
        <v>7.0999999999999899</v>
      </c>
      <c r="BM90">
        <v>47.38</v>
      </c>
      <c r="BN90">
        <v>4.4000000000000004</v>
      </c>
    </row>
    <row r="91" spans="1:66" x14ac:dyDescent="0.3">
      <c r="A91">
        <v>90</v>
      </c>
      <c r="B91" t="s">
        <v>430</v>
      </c>
      <c r="C91" s="2" t="s">
        <v>448</v>
      </c>
      <c r="D91">
        <v>39</v>
      </c>
      <c r="E91" s="1" t="s">
        <v>16</v>
      </c>
      <c r="F91" s="1">
        <v>39974</v>
      </c>
      <c r="G91" s="1">
        <v>39987.743125000001</v>
      </c>
      <c r="H91" t="s">
        <v>15</v>
      </c>
      <c r="I91" t="s">
        <v>78</v>
      </c>
      <c r="J91" t="s">
        <v>15</v>
      </c>
      <c r="K91" t="s">
        <v>16</v>
      </c>
      <c r="L91">
        <v>65</v>
      </c>
      <c r="M91" t="s">
        <v>16</v>
      </c>
      <c r="N91" t="s">
        <v>16</v>
      </c>
      <c r="O91" t="s">
        <v>15</v>
      </c>
      <c r="P91" t="s">
        <v>16</v>
      </c>
      <c r="Q91" t="s">
        <v>19</v>
      </c>
      <c r="R91" t="s">
        <v>16</v>
      </c>
      <c r="S91" t="s">
        <v>16</v>
      </c>
      <c r="T91" t="s">
        <v>27</v>
      </c>
      <c r="U91" t="s">
        <v>16</v>
      </c>
      <c r="V91" t="s">
        <v>16</v>
      </c>
      <c r="W91" t="s">
        <v>18</v>
      </c>
      <c r="X91" t="s">
        <v>15</v>
      </c>
      <c r="Y91">
        <v>4.3000001907348597</v>
      </c>
      <c r="Z91">
        <v>2.4000000953674299</v>
      </c>
      <c r="AA91">
        <v>1.20000004768372</v>
      </c>
      <c r="AB91">
        <v>1.20000004768372</v>
      </c>
      <c r="AC91">
        <v>185</v>
      </c>
      <c r="AD91">
        <v>132</v>
      </c>
      <c r="AE91">
        <v>1</v>
      </c>
      <c r="AF91">
        <v>32</v>
      </c>
      <c r="AG91">
        <v>55</v>
      </c>
      <c r="AH91" t="s">
        <v>16</v>
      </c>
      <c r="AI91">
        <v>4</v>
      </c>
      <c r="AJ91">
        <v>13.75</v>
      </c>
      <c r="AK91" t="s">
        <v>16</v>
      </c>
      <c r="AL91">
        <v>10</v>
      </c>
      <c r="AM91">
        <v>5.5</v>
      </c>
      <c r="AN91" t="s">
        <v>237</v>
      </c>
      <c r="AO91">
        <v>44.5</v>
      </c>
      <c r="AP91">
        <v>18.522372528616</v>
      </c>
      <c r="AQ91" s="1" t="s">
        <v>16</v>
      </c>
      <c r="AR91" s="1" t="s">
        <v>16</v>
      </c>
      <c r="AS91" s="1">
        <v>40903</v>
      </c>
      <c r="AT91" s="1" t="s">
        <v>16</v>
      </c>
      <c r="AU91" s="1">
        <v>39969</v>
      </c>
      <c r="AV91" s="1"/>
      <c r="AW91" s="1" t="s">
        <v>16</v>
      </c>
      <c r="AX91" s="1" t="s">
        <v>16</v>
      </c>
      <c r="AY91" t="s">
        <v>21</v>
      </c>
      <c r="BB91">
        <v>0</v>
      </c>
      <c r="BC91">
        <f t="shared" si="4"/>
        <v>13.281619385342788</v>
      </c>
      <c r="BD91">
        <v>136</v>
      </c>
      <c r="BE91">
        <v>4</v>
      </c>
      <c r="BF91">
        <v>3</v>
      </c>
      <c r="BG91">
        <v>11</v>
      </c>
      <c r="BH91">
        <v>266</v>
      </c>
      <c r="BI91">
        <v>4.7</v>
      </c>
      <c r="BJ91">
        <v>8.3000000000000007</v>
      </c>
      <c r="BK91">
        <v>6.8499999999999899</v>
      </c>
      <c r="BL91">
        <v>10.4</v>
      </c>
      <c r="BM91">
        <v>6.2</v>
      </c>
      <c r="BN91">
        <v>5.7999999999999901</v>
      </c>
    </row>
    <row r="92" spans="1:66" x14ac:dyDescent="0.3">
      <c r="A92">
        <v>91</v>
      </c>
      <c r="B92" t="s">
        <v>434</v>
      </c>
      <c r="C92" s="2" t="s">
        <v>448</v>
      </c>
      <c r="D92">
        <v>53</v>
      </c>
      <c r="E92" s="1" t="s">
        <v>16</v>
      </c>
      <c r="F92" s="1">
        <v>45141</v>
      </c>
      <c r="G92" s="1">
        <v>45035.426168981481</v>
      </c>
      <c r="H92" t="s">
        <v>17</v>
      </c>
      <c r="I92" t="s">
        <v>87</v>
      </c>
      <c r="J92" t="s">
        <v>24</v>
      </c>
      <c r="K92" t="s">
        <v>16</v>
      </c>
      <c r="L92">
        <v>50</v>
      </c>
      <c r="M92" t="s">
        <v>16</v>
      </c>
      <c r="N92" t="s">
        <v>16</v>
      </c>
      <c r="O92" t="s">
        <v>25</v>
      </c>
      <c r="P92" t="s">
        <v>16</v>
      </c>
      <c r="Q92" t="s">
        <v>16</v>
      </c>
      <c r="R92" t="s">
        <v>153</v>
      </c>
      <c r="S92" t="s">
        <v>16</v>
      </c>
      <c r="T92" t="s">
        <v>19</v>
      </c>
      <c r="U92" t="s">
        <v>16</v>
      </c>
      <c r="V92" t="s">
        <v>16</v>
      </c>
      <c r="W92" t="s">
        <v>18</v>
      </c>
      <c r="X92" t="s">
        <v>15</v>
      </c>
      <c r="Y92">
        <v>5.71000003814697</v>
      </c>
      <c r="Z92">
        <v>4.8499999046325701</v>
      </c>
      <c r="AA92">
        <v>1.4299999475479099</v>
      </c>
      <c r="AB92">
        <v>1.33000004291534</v>
      </c>
      <c r="AC92">
        <v>351.26803588867199</v>
      </c>
      <c r="AD92">
        <v>164</v>
      </c>
      <c r="AE92">
        <v>1</v>
      </c>
      <c r="AF92">
        <v>33</v>
      </c>
      <c r="AG92">
        <v>101</v>
      </c>
      <c r="AH92" t="s">
        <v>16</v>
      </c>
      <c r="AI92">
        <v>6.6399998664856001</v>
      </c>
      <c r="AJ92">
        <v>15.210000038146999</v>
      </c>
      <c r="AK92">
        <v>7.5100002288818404</v>
      </c>
      <c r="AL92">
        <v>6.4200000762939498</v>
      </c>
      <c r="AM92">
        <v>15.7299995422363</v>
      </c>
      <c r="AN92" t="s">
        <v>238</v>
      </c>
      <c r="AO92">
        <v>98</v>
      </c>
      <c r="AP92">
        <v>32.368873034746997</v>
      </c>
      <c r="AQ92" s="1" t="s">
        <v>16</v>
      </c>
      <c r="AR92" s="1" t="s">
        <v>16</v>
      </c>
      <c r="AS92" s="1" t="s">
        <v>16</v>
      </c>
      <c r="AT92" s="1" t="s">
        <v>16</v>
      </c>
      <c r="AU92" s="1">
        <v>44087</v>
      </c>
      <c r="AV92" s="1">
        <v>44087.221628090279</v>
      </c>
      <c r="AW92" s="1">
        <v>44097</v>
      </c>
      <c r="AX92" s="1" t="s">
        <v>16</v>
      </c>
      <c r="AY92" t="s">
        <v>16</v>
      </c>
      <c r="AZ92">
        <v>160</v>
      </c>
      <c r="BA92">
        <v>93</v>
      </c>
      <c r="BB92">
        <v>0</v>
      </c>
      <c r="BC92">
        <f t="shared" si="4"/>
        <v>19.380796508456083</v>
      </c>
      <c r="BD92">
        <v>140</v>
      </c>
      <c r="BE92">
        <v>4.4000000000000004</v>
      </c>
      <c r="BF92">
        <v>3.7</v>
      </c>
      <c r="BG92">
        <v>9.9</v>
      </c>
      <c r="BH92">
        <v>176</v>
      </c>
      <c r="BI92">
        <v>6.11</v>
      </c>
      <c r="BJ92">
        <v>7.7</v>
      </c>
      <c r="BK92">
        <v>5.4</v>
      </c>
      <c r="BL92">
        <v>8.9</v>
      </c>
      <c r="BM92">
        <v>3.3799999999999901</v>
      </c>
      <c r="BN92">
        <v>5.7999999999999901</v>
      </c>
    </row>
    <row r="93" spans="1:66" x14ac:dyDescent="0.3">
      <c r="A93">
        <v>92</v>
      </c>
      <c r="B93" t="s">
        <v>430</v>
      </c>
      <c r="C93" s="2" t="s">
        <v>448</v>
      </c>
      <c r="D93">
        <v>44</v>
      </c>
      <c r="E93" s="1" t="s">
        <v>16</v>
      </c>
      <c r="F93" s="1">
        <v>41885</v>
      </c>
      <c r="G93" s="1">
        <v>41919.341249999998</v>
      </c>
      <c r="H93" t="s">
        <v>17</v>
      </c>
      <c r="I93" t="s">
        <v>78</v>
      </c>
      <c r="J93" t="s">
        <v>15</v>
      </c>
      <c r="K93" t="s">
        <v>16</v>
      </c>
      <c r="L93">
        <v>60</v>
      </c>
      <c r="M93" t="s">
        <v>16</v>
      </c>
      <c r="N93" t="s">
        <v>16</v>
      </c>
      <c r="O93" t="s">
        <v>17</v>
      </c>
      <c r="P93" t="s">
        <v>15</v>
      </c>
      <c r="Q93" t="s">
        <v>33</v>
      </c>
      <c r="R93" t="s">
        <v>16</v>
      </c>
      <c r="S93" t="s">
        <v>16</v>
      </c>
      <c r="T93" t="s">
        <v>19</v>
      </c>
      <c r="U93" t="s">
        <v>16</v>
      </c>
      <c r="V93" t="s">
        <v>16</v>
      </c>
      <c r="W93" t="s">
        <v>19</v>
      </c>
      <c r="X93" t="s">
        <v>87</v>
      </c>
      <c r="Y93">
        <v>5.8000001907348597</v>
      </c>
      <c r="Z93">
        <v>3.2999999523162802</v>
      </c>
      <c r="AA93">
        <v>1.29999995231628</v>
      </c>
      <c r="AB93">
        <v>1.1000000238418599</v>
      </c>
      <c r="AC93">
        <v>297.00500488281301</v>
      </c>
      <c r="AD93">
        <v>115</v>
      </c>
      <c r="AE93">
        <v>1</v>
      </c>
      <c r="AF93">
        <v>52</v>
      </c>
      <c r="AG93">
        <v>84</v>
      </c>
      <c r="AH93">
        <v>13</v>
      </c>
      <c r="AI93">
        <v>8</v>
      </c>
      <c r="AJ93">
        <v>10.5</v>
      </c>
      <c r="AK93">
        <v>11</v>
      </c>
      <c r="AL93">
        <v>11</v>
      </c>
      <c r="AM93">
        <v>7.6399998664856001</v>
      </c>
      <c r="AN93" t="s">
        <v>239</v>
      </c>
      <c r="AO93">
        <v>127</v>
      </c>
      <c r="AP93">
        <v>35.180055401662102</v>
      </c>
      <c r="AQ93" s="1" t="s">
        <v>16</v>
      </c>
      <c r="AR93" s="1" t="s">
        <v>16</v>
      </c>
      <c r="AS93" s="1" t="s">
        <v>16</v>
      </c>
      <c r="AT93" s="1" t="s">
        <v>16</v>
      </c>
      <c r="AU93" s="1">
        <v>41557</v>
      </c>
      <c r="AV93" s="1">
        <v>41527.642204432872</v>
      </c>
      <c r="AW93" s="1" t="s">
        <v>16</v>
      </c>
      <c r="AX93" s="1" t="s">
        <v>16</v>
      </c>
      <c r="AY93" t="s">
        <v>21</v>
      </c>
      <c r="AZ93">
        <v>140</v>
      </c>
      <c r="BA93">
        <v>91</v>
      </c>
      <c r="BB93">
        <v>1</v>
      </c>
      <c r="BC93">
        <f t="shared" si="4"/>
        <v>31.592039800995025</v>
      </c>
      <c r="BD93">
        <v>136</v>
      </c>
      <c r="BE93">
        <v>5.0999999999999899</v>
      </c>
      <c r="BF93">
        <v>4</v>
      </c>
      <c r="BG93">
        <v>10.1999999999999</v>
      </c>
      <c r="BH93">
        <v>218</v>
      </c>
      <c r="BI93">
        <v>5.36</v>
      </c>
      <c r="BJ93">
        <v>9.0999999999999908</v>
      </c>
      <c r="BK93">
        <v>6.5</v>
      </c>
      <c r="BL93">
        <v>10.8</v>
      </c>
      <c r="BN93">
        <v>5.7</v>
      </c>
    </row>
    <row r="94" spans="1:66" ht="12.65" customHeight="1" x14ac:dyDescent="0.3">
      <c r="A94">
        <v>93</v>
      </c>
      <c r="B94" t="s">
        <v>430</v>
      </c>
      <c r="C94" s="2" t="s">
        <v>449</v>
      </c>
      <c r="D94">
        <v>70</v>
      </c>
      <c r="E94" s="1">
        <v>44674</v>
      </c>
      <c r="F94" s="1">
        <v>44041</v>
      </c>
      <c r="G94" s="1">
        <v>44041.523263888892</v>
      </c>
      <c r="H94" t="s">
        <v>15</v>
      </c>
      <c r="I94" t="s">
        <v>16</v>
      </c>
      <c r="J94" t="s">
        <v>15</v>
      </c>
      <c r="K94" t="s">
        <v>16</v>
      </c>
      <c r="L94">
        <v>60</v>
      </c>
      <c r="M94" t="s">
        <v>16</v>
      </c>
      <c r="N94" t="s">
        <v>16</v>
      </c>
      <c r="O94" t="s">
        <v>17</v>
      </c>
      <c r="P94" t="s">
        <v>16</v>
      </c>
      <c r="Q94" t="s">
        <v>16</v>
      </c>
      <c r="R94" t="s">
        <v>16</v>
      </c>
      <c r="S94" t="s">
        <v>16</v>
      </c>
      <c r="T94" t="s">
        <v>19</v>
      </c>
      <c r="U94" t="s">
        <v>96</v>
      </c>
      <c r="V94" t="s">
        <v>16</v>
      </c>
      <c r="W94" t="s">
        <v>19</v>
      </c>
      <c r="X94" t="s">
        <v>87</v>
      </c>
      <c r="Y94">
        <v>4.4899997711181596</v>
      </c>
      <c r="Z94">
        <v>2.9300000667571999</v>
      </c>
      <c r="AA94">
        <v>1.83000004291534</v>
      </c>
      <c r="AB94">
        <v>1.3500000238418599</v>
      </c>
      <c r="AC94">
        <v>300.701416015625</v>
      </c>
      <c r="AD94" t="s">
        <v>16</v>
      </c>
      <c r="AE94">
        <v>1</v>
      </c>
      <c r="AF94">
        <v>59</v>
      </c>
      <c r="AG94">
        <v>173.97999572753901</v>
      </c>
      <c r="AH94">
        <v>5.1300001144409197</v>
      </c>
      <c r="AI94">
        <v>5.4400000572204599</v>
      </c>
      <c r="AJ94">
        <v>31.9799995422363</v>
      </c>
      <c r="AK94">
        <v>7.75</v>
      </c>
      <c r="AL94">
        <v>5.4400000572204599</v>
      </c>
      <c r="AM94">
        <v>31.9799995422363</v>
      </c>
      <c r="AN94" t="s">
        <v>240</v>
      </c>
      <c r="AO94">
        <v>105</v>
      </c>
      <c r="AP94">
        <v>36.332179930795803</v>
      </c>
      <c r="AQ94" s="1" t="s">
        <v>16</v>
      </c>
      <c r="AR94" s="1" t="s">
        <v>16</v>
      </c>
      <c r="AS94" s="1">
        <v>44041</v>
      </c>
      <c r="AT94" s="1">
        <v>44041</v>
      </c>
      <c r="AU94" s="1">
        <v>44041</v>
      </c>
      <c r="AV94" s="1"/>
      <c r="AW94" s="1">
        <v>44041</v>
      </c>
      <c r="AX94" s="1" t="s">
        <v>16</v>
      </c>
      <c r="AY94" t="s">
        <v>16</v>
      </c>
      <c r="AZ94">
        <v>144</v>
      </c>
      <c r="BA94">
        <v>58</v>
      </c>
      <c r="BB94">
        <v>4</v>
      </c>
      <c r="BC94">
        <f t="shared" si="4"/>
        <v>22.04823614110876</v>
      </c>
      <c r="BD94">
        <v>136</v>
      </c>
      <c r="BE94">
        <v>4.5</v>
      </c>
      <c r="BF94">
        <v>2.6</v>
      </c>
      <c r="BG94">
        <v>9.6999999999999904</v>
      </c>
      <c r="BH94">
        <v>138</v>
      </c>
      <c r="BI94">
        <v>4.6299999999999901</v>
      </c>
      <c r="BJ94">
        <v>8.1999999999999904</v>
      </c>
      <c r="BK94">
        <v>7.4</v>
      </c>
      <c r="BL94">
        <v>6.4</v>
      </c>
      <c r="BM94">
        <v>13.22</v>
      </c>
      <c r="BN94">
        <v>9.1999999999999904</v>
      </c>
    </row>
    <row r="95" spans="1:66" hidden="1" x14ac:dyDescent="0.3">
      <c r="A95">
        <v>94</v>
      </c>
      <c r="B95" t="s">
        <v>430</v>
      </c>
      <c r="D95">
        <v>72</v>
      </c>
      <c r="E95" s="1" t="s">
        <v>16</v>
      </c>
      <c r="F95" s="1">
        <v>44510</v>
      </c>
      <c r="G95" s="1">
        <v>44306.535162037035</v>
      </c>
      <c r="H95" t="s">
        <v>16</v>
      </c>
      <c r="I95" t="s">
        <v>16</v>
      </c>
      <c r="J95" t="s">
        <v>16</v>
      </c>
      <c r="K95" t="s">
        <v>74</v>
      </c>
      <c r="L95">
        <v>60</v>
      </c>
      <c r="M95" t="s">
        <v>16</v>
      </c>
      <c r="N95" t="s">
        <v>16</v>
      </c>
      <c r="O95" t="s">
        <v>17</v>
      </c>
      <c r="P95" t="s">
        <v>16</v>
      </c>
      <c r="Q95" t="s">
        <v>18</v>
      </c>
      <c r="R95" t="s">
        <v>153</v>
      </c>
      <c r="S95" t="s">
        <v>16</v>
      </c>
      <c r="T95" t="s">
        <v>18</v>
      </c>
      <c r="U95" t="s">
        <v>241</v>
      </c>
      <c r="V95" t="s">
        <v>16</v>
      </c>
      <c r="W95" t="s">
        <v>18</v>
      </c>
      <c r="X95" t="s">
        <v>15</v>
      </c>
      <c r="Y95">
        <v>5.4000000953674299</v>
      </c>
      <c r="Z95">
        <v>3.2999999523162802</v>
      </c>
      <c r="AA95">
        <v>1.12000000476837</v>
      </c>
      <c r="AB95">
        <v>0.89999997615814198</v>
      </c>
      <c r="AC95">
        <v>209.47734069824199</v>
      </c>
      <c r="AD95">
        <v>113</v>
      </c>
      <c r="AE95">
        <v>1</v>
      </c>
      <c r="AF95">
        <v>32</v>
      </c>
      <c r="AG95">
        <v>74.599998474121094</v>
      </c>
      <c r="AH95">
        <v>4.0300002098083496</v>
      </c>
      <c r="AI95">
        <v>3.4800000190734899</v>
      </c>
      <c r="AJ95">
        <v>21.440000534057599</v>
      </c>
      <c r="AK95">
        <v>5.2199997901916504</v>
      </c>
      <c r="AL95">
        <v>6.96000003814697</v>
      </c>
      <c r="AM95">
        <v>10.7200002670288</v>
      </c>
      <c r="AN95" t="s">
        <v>242</v>
      </c>
      <c r="AO95">
        <v>78</v>
      </c>
      <c r="AP95">
        <v>30.46875</v>
      </c>
      <c r="AQ95" s="1" t="s">
        <v>16</v>
      </c>
      <c r="AR95" s="1" t="s">
        <v>16</v>
      </c>
      <c r="AS95" s="1">
        <v>44311</v>
      </c>
      <c r="AT95" s="1" t="s">
        <v>16</v>
      </c>
      <c r="AU95" s="1" t="s">
        <v>16</v>
      </c>
      <c r="AV95" s="1"/>
      <c r="AW95" s="1" t="s">
        <v>16</v>
      </c>
      <c r="AX95" s="1" t="s">
        <v>16</v>
      </c>
      <c r="AY95" t="s">
        <v>16</v>
      </c>
      <c r="AZ95">
        <v>166</v>
      </c>
      <c r="BA95">
        <v>66</v>
      </c>
      <c r="BB95">
        <v>0</v>
      </c>
      <c r="BC95" t="e">
        <f t="shared" si="4"/>
        <v>#DIV/0!</v>
      </c>
    </row>
    <row r="96" spans="1:66" x14ac:dyDescent="0.3">
      <c r="A96">
        <v>95</v>
      </c>
      <c r="B96" t="s">
        <v>430</v>
      </c>
      <c r="C96" s="2" t="s">
        <v>448</v>
      </c>
      <c r="D96">
        <v>67</v>
      </c>
      <c r="E96" s="1">
        <v>43418</v>
      </c>
      <c r="F96" s="1">
        <v>42457</v>
      </c>
      <c r="G96" s="1">
        <v>42375.468287037038</v>
      </c>
      <c r="H96" t="s">
        <v>15</v>
      </c>
      <c r="I96" t="s">
        <v>87</v>
      </c>
      <c r="J96" t="s">
        <v>24</v>
      </c>
      <c r="K96" t="s">
        <v>16</v>
      </c>
      <c r="L96">
        <v>60</v>
      </c>
      <c r="M96" t="s">
        <v>15</v>
      </c>
      <c r="N96" t="s">
        <v>15</v>
      </c>
      <c r="O96" t="s">
        <v>25</v>
      </c>
      <c r="P96" t="s">
        <v>75</v>
      </c>
      <c r="Q96" t="s">
        <v>18</v>
      </c>
      <c r="R96" t="s">
        <v>16</v>
      </c>
      <c r="S96" t="s">
        <v>92</v>
      </c>
      <c r="T96" t="s">
        <v>29</v>
      </c>
      <c r="U96" t="s">
        <v>95</v>
      </c>
      <c r="V96" t="s">
        <v>16</v>
      </c>
      <c r="W96" t="s">
        <v>29</v>
      </c>
      <c r="X96" t="s">
        <v>90</v>
      </c>
      <c r="Y96">
        <v>4.6999998092651403</v>
      </c>
      <c r="Z96">
        <v>3.2999999523162802</v>
      </c>
      <c r="AA96">
        <v>1.5</v>
      </c>
      <c r="AB96">
        <v>1.29999995231628</v>
      </c>
      <c r="AC96">
        <v>265.21926879882801</v>
      </c>
      <c r="AD96">
        <v>131</v>
      </c>
      <c r="AE96">
        <v>1</v>
      </c>
      <c r="AF96">
        <v>64</v>
      </c>
      <c r="AG96">
        <v>132.91000366210901</v>
      </c>
      <c r="AH96">
        <v>5</v>
      </c>
      <c r="AI96">
        <v>6</v>
      </c>
      <c r="AJ96">
        <v>22.149999618530298</v>
      </c>
      <c r="AK96">
        <v>5</v>
      </c>
      <c r="AL96">
        <v>6</v>
      </c>
      <c r="AM96">
        <v>22.149999618530298</v>
      </c>
      <c r="AN96" t="s">
        <v>243</v>
      </c>
      <c r="AO96">
        <v>90</v>
      </c>
      <c r="AP96">
        <v>29.0547520661157</v>
      </c>
      <c r="AQ96" s="1" t="s">
        <v>16</v>
      </c>
      <c r="AR96" s="1" t="s">
        <v>16</v>
      </c>
      <c r="AS96" s="1" t="s">
        <v>16</v>
      </c>
      <c r="AT96" s="1">
        <v>42463</v>
      </c>
      <c r="AU96" s="1">
        <v>42305</v>
      </c>
      <c r="AV96" s="1">
        <v>42305.466178437498</v>
      </c>
      <c r="AW96" s="1" t="s">
        <v>16</v>
      </c>
      <c r="AX96" s="1" t="s">
        <v>16</v>
      </c>
      <c r="AY96" t="s">
        <v>16</v>
      </c>
      <c r="AZ96">
        <v>111</v>
      </c>
      <c r="BA96">
        <v>76</v>
      </c>
      <c r="BB96">
        <v>2</v>
      </c>
      <c r="BC96">
        <f t="shared" si="4"/>
        <v>11.594663278271918</v>
      </c>
      <c r="BD96">
        <v>134</v>
      </c>
      <c r="BE96">
        <v>5.2999999999999901</v>
      </c>
      <c r="BF96">
        <v>3.2999999999999901</v>
      </c>
      <c r="BG96">
        <v>11</v>
      </c>
      <c r="BH96">
        <v>393</v>
      </c>
      <c r="BI96">
        <v>7.87</v>
      </c>
      <c r="BJ96">
        <v>7.7</v>
      </c>
      <c r="BK96">
        <v>10.8</v>
      </c>
      <c r="BL96">
        <v>14.4</v>
      </c>
      <c r="BM96">
        <v>14.72</v>
      </c>
      <c r="BN96">
        <v>5.7</v>
      </c>
    </row>
    <row r="97" spans="1:66" x14ac:dyDescent="0.3">
      <c r="A97">
        <v>96</v>
      </c>
      <c r="B97" t="s">
        <v>430</v>
      </c>
      <c r="C97" s="2" t="s">
        <v>448</v>
      </c>
      <c r="D97">
        <v>60</v>
      </c>
      <c r="E97" s="1">
        <v>41490</v>
      </c>
      <c r="F97" s="1">
        <v>40406</v>
      </c>
      <c r="G97" s="1">
        <v>40142.350023148145</v>
      </c>
      <c r="H97" t="s">
        <v>15</v>
      </c>
      <c r="I97" t="s">
        <v>78</v>
      </c>
      <c r="J97" t="s">
        <v>15</v>
      </c>
      <c r="K97" t="s">
        <v>244</v>
      </c>
      <c r="L97">
        <v>60</v>
      </c>
      <c r="M97" t="s">
        <v>16</v>
      </c>
      <c r="N97" t="s">
        <v>16</v>
      </c>
      <c r="O97" t="s">
        <v>17</v>
      </c>
      <c r="P97" t="s">
        <v>75</v>
      </c>
      <c r="Q97" t="s">
        <v>16</v>
      </c>
      <c r="R97" t="s">
        <v>245</v>
      </c>
      <c r="S97" t="s">
        <v>16</v>
      </c>
      <c r="T97" t="s">
        <v>36</v>
      </c>
      <c r="U97" t="s">
        <v>107</v>
      </c>
      <c r="V97" t="s">
        <v>16</v>
      </c>
      <c r="W97" t="s">
        <v>18</v>
      </c>
      <c r="X97" t="s">
        <v>15</v>
      </c>
      <c r="Y97">
        <v>5.4000000953674299</v>
      </c>
      <c r="Z97">
        <v>3.2999999523162802</v>
      </c>
      <c r="AA97">
        <v>1.20000004768372</v>
      </c>
      <c r="AB97">
        <v>1.20000004768372</v>
      </c>
      <c r="AC97">
        <v>264</v>
      </c>
      <c r="AD97">
        <v>112</v>
      </c>
      <c r="AE97">
        <v>1</v>
      </c>
      <c r="AF97">
        <v>31</v>
      </c>
      <c r="AG97">
        <v>79</v>
      </c>
      <c r="AH97">
        <v>6</v>
      </c>
      <c r="AI97">
        <v>6</v>
      </c>
      <c r="AJ97">
        <v>13.170000076293899</v>
      </c>
      <c r="AK97">
        <v>5</v>
      </c>
      <c r="AL97">
        <v>10</v>
      </c>
      <c r="AM97">
        <v>7.9000000953674299</v>
      </c>
      <c r="AN97" t="s">
        <v>246</v>
      </c>
      <c r="AO97">
        <v>110</v>
      </c>
      <c r="AP97">
        <v>35.918367346938801</v>
      </c>
      <c r="AQ97" s="1" t="s">
        <v>16</v>
      </c>
      <c r="AR97" s="1" t="s">
        <v>16</v>
      </c>
      <c r="AS97" s="1" t="s">
        <v>16</v>
      </c>
      <c r="AT97" s="1" t="s">
        <v>16</v>
      </c>
      <c r="AU97" s="1">
        <v>40052</v>
      </c>
      <c r="AV97" s="1">
        <v>40052.357619641203</v>
      </c>
      <c r="AW97" s="1" t="s">
        <v>16</v>
      </c>
      <c r="AX97" s="1" t="s">
        <v>16</v>
      </c>
      <c r="AY97" t="s">
        <v>16</v>
      </c>
      <c r="AZ97">
        <v>131</v>
      </c>
      <c r="BA97">
        <v>76</v>
      </c>
      <c r="BB97">
        <v>2</v>
      </c>
      <c r="BC97">
        <f t="shared" si="4"/>
        <v>20.036429872495482</v>
      </c>
      <c r="BD97">
        <v>136</v>
      </c>
      <c r="BE97">
        <v>4.5</v>
      </c>
      <c r="BF97">
        <v>3.5</v>
      </c>
      <c r="BG97">
        <v>12.6999999999999</v>
      </c>
      <c r="BH97">
        <v>198</v>
      </c>
      <c r="BI97">
        <v>6.0999999999999899</v>
      </c>
      <c r="BJ97">
        <v>8.0999999999999908</v>
      </c>
      <c r="BK97">
        <v>6.5</v>
      </c>
      <c r="BL97">
        <v>5.7999999999999901</v>
      </c>
      <c r="BM97">
        <v>8.3399999999999892</v>
      </c>
      <c r="BN97">
        <v>6.5999999999999899</v>
      </c>
    </row>
    <row r="98" spans="1:66" x14ac:dyDescent="0.3">
      <c r="A98">
        <v>97</v>
      </c>
      <c r="B98" t="s">
        <v>430</v>
      </c>
      <c r="C98" s="2" t="s">
        <v>448</v>
      </c>
      <c r="D98">
        <v>82</v>
      </c>
      <c r="E98" s="1">
        <v>40993</v>
      </c>
      <c r="F98" s="1">
        <v>40928</v>
      </c>
      <c r="G98" s="1">
        <v>40877.51525462963</v>
      </c>
      <c r="H98" t="s">
        <v>15</v>
      </c>
      <c r="I98" t="s">
        <v>78</v>
      </c>
      <c r="J98" t="s">
        <v>15</v>
      </c>
      <c r="K98" t="s">
        <v>198</v>
      </c>
      <c r="L98">
        <v>60</v>
      </c>
      <c r="M98" t="s">
        <v>16</v>
      </c>
      <c r="N98" t="s">
        <v>16</v>
      </c>
      <c r="O98" t="s">
        <v>16</v>
      </c>
      <c r="P98" t="s">
        <v>75</v>
      </c>
      <c r="Q98" t="s">
        <v>18</v>
      </c>
      <c r="R98" t="s">
        <v>16</v>
      </c>
      <c r="S98" t="s">
        <v>16</v>
      </c>
      <c r="T98" t="s">
        <v>16</v>
      </c>
      <c r="U98" t="s">
        <v>134</v>
      </c>
      <c r="V98" t="s">
        <v>16</v>
      </c>
      <c r="W98" t="s">
        <v>18</v>
      </c>
      <c r="X98" t="s">
        <v>87</v>
      </c>
      <c r="Y98">
        <v>5.5</v>
      </c>
      <c r="Z98">
        <v>3.5299999713897701</v>
      </c>
      <c r="AA98">
        <v>1.3400000333786</v>
      </c>
      <c r="AB98">
        <v>1</v>
      </c>
      <c r="AC98">
        <v>263.10873413085898</v>
      </c>
      <c r="AD98">
        <v>133</v>
      </c>
      <c r="AE98">
        <v>1</v>
      </c>
      <c r="AF98">
        <v>50</v>
      </c>
      <c r="AG98">
        <v>117</v>
      </c>
      <c r="AH98">
        <v>9</v>
      </c>
      <c r="AI98">
        <v>5.6999998092651403</v>
      </c>
      <c r="AJ98">
        <v>20.530000686645501</v>
      </c>
      <c r="AK98">
        <v>8</v>
      </c>
      <c r="AL98">
        <v>8.6999998092651403</v>
      </c>
      <c r="AM98">
        <v>13.449999809265099</v>
      </c>
      <c r="AN98" t="s">
        <v>247</v>
      </c>
      <c r="AO98">
        <v>82</v>
      </c>
      <c r="AP98">
        <v>25.880570635020799</v>
      </c>
      <c r="AQ98" s="1" t="s">
        <v>16</v>
      </c>
      <c r="AR98" s="1" t="s">
        <v>16</v>
      </c>
      <c r="AS98" s="1" t="s">
        <v>16</v>
      </c>
      <c r="AT98" s="1" t="s">
        <v>16</v>
      </c>
      <c r="AU98" s="1">
        <v>40801</v>
      </c>
      <c r="AV98" s="1"/>
      <c r="AW98" s="1">
        <v>40801</v>
      </c>
      <c r="AX98" s="1" t="s">
        <v>16</v>
      </c>
      <c r="AY98" t="s">
        <v>21</v>
      </c>
      <c r="AZ98">
        <v>131</v>
      </c>
      <c r="BA98">
        <v>55</v>
      </c>
      <c r="BB98">
        <v>0</v>
      </c>
      <c r="BC98">
        <f t="shared" si="4"/>
        <v>39.318783068783304</v>
      </c>
      <c r="BD98">
        <v>131</v>
      </c>
      <c r="BE98">
        <v>3.8999999999999901</v>
      </c>
      <c r="BF98">
        <v>2.3999999999999901</v>
      </c>
      <c r="BG98">
        <v>8.6999999999999904</v>
      </c>
      <c r="BH98">
        <v>154</v>
      </c>
      <c r="BI98">
        <v>1.6799999999999899</v>
      </c>
      <c r="BJ98">
        <v>8.4</v>
      </c>
      <c r="BK98">
        <v>2.5</v>
      </c>
      <c r="BL98">
        <v>4.7</v>
      </c>
      <c r="BM98">
        <v>24.1999999999999</v>
      </c>
    </row>
    <row r="99" spans="1:66" x14ac:dyDescent="0.3">
      <c r="A99">
        <v>98</v>
      </c>
      <c r="B99" t="s">
        <v>430</v>
      </c>
      <c r="C99" s="2" t="s">
        <v>448</v>
      </c>
      <c r="D99">
        <v>40</v>
      </c>
      <c r="E99" s="1">
        <v>44240</v>
      </c>
      <c r="F99" s="1">
        <v>42351</v>
      </c>
      <c r="G99" s="1">
        <v>42349.363425925927</v>
      </c>
      <c r="H99" t="s">
        <v>15</v>
      </c>
      <c r="I99" t="s">
        <v>15</v>
      </c>
      <c r="J99" t="s">
        <v>35</v>
      </c>
      <c r="K99" t="s">
        <v>16</v>
      </c>
      <c r="L99">
        <v>25</v>
      </c>
      <c r="M99" t="s">
        <v>16</v>
      </c>
      <c r="N99" t="s">
        <v>16</v>
      </c>
      <c r="O99" t="s">
        <v>17</v>
      </c>
      <c r="P99" t="s">
        <v>15</v>
      </c>
      <c r="Q99" t="s">
        <v>33</v>
      </c>
      <c r="R99" t="s">
        <v>16</v>
      </c>
      <c r="S99" t="s">
        <v>15</v>
      </c>
      <c r="T99" t="s">
        <v>18</v>
      </c>
      <c r="U99" t="s">
        <v>16</v>
      </c>
      <c r="V99" t="s">
        <v>93</v>
      </c>
      <c r="W99" t="s">
        <v>18</v>
      </c>
      <c r="X99" t="s">
        <v>16</v>
      </c>
      <c r="Y99">
        <v>5.1999998092651403</v>
      </c>
      <c r="Z99">
        <v>4.8000001907348597</v>
      </c>
      <c r="AA99">
        <v>1.1000000238418599</v>
      </c>
      <c r="AB99">
        <v>1.20000004768372</v>
      </c>
      <c r="AC99">
        <v>234.61415100097699</v>
      </c>
      <c r="AD99">
        <v>107</v>
      </c>
      <c r="AE99">
        <v>2.1900000572204599</v>
      </c>
      <c r="AF99" t="s">
        <v>16</v>
      </c>
      <c r="AG99">
        <v>103</v>
      </c>
      <c r="AH99">
        <v>6.3000001907348597</v>
      </c>
      <c r="AI99">
        <v>7.8000001907348597</v>
      </c>
      <c r="AJ99">
        <v>13.210000038146999</v>
      </c>
      <c r="AK99">
        <v>7.8000001907348597</v>
      </c>
      <c r="AL99">
        <v>12.800000190734901</v>
      </c>
      <c r="AM99">
        <v>8.0500001907348597</v>
      </c>
      <c r="AN99" t="s">
        <v>248</v>
      </c>
      <c r="AO99">
        <v>96</v>
      </c>
      <c r="AP99">
        <v>28.666129176744601</v>
      </c>
      <c r="AQ99" s="1">
        <v>42348</v>
      </c>
      <c r="AR99" s="1">
        <v>42355</v>
      </c>
      <c r="AS99" s="1">
        <v>41029</v>
      </c>
      <c r="AT99" s="1" t="s">
        <v>16</v>
      </c>
      <c r="AU99" s="1">
        <v>40749</v>
      </c>
      <c r="AV99" s="1">
        <v>42081.557890127318</v>
      </c>
      <c r="AW99" s="1">
        <v>41031</v>
      </c>
      <c r="AX99" s="1" t="s">
        <v>16</v>
      </c>
      <c r="AY99" t="s">
        <v>16</v>
      </c>
      <c r="AZ99">
        <v>111</v>
      </c>
      <c r="BA99">
        <v>70</v>
      </c>
      <c r="BB99">
        <v>3</v>
      </c>
      <c r="BC99">
        <f t="shared" si="4"/>
        <v>17.636684303350993</v>
      </c>
      <c r="BF99">
        <v>3.2999999999999901</v>
      </c>
      <c r="BH99">
        <v>187</v>
      </c>
      <c r="BI99">
        <v>7.5599999999999898</v>
      </c>
      <c r="BJ99">
        <v>8.0999999999999908</v>
      </c>
      <c r="BK99">
        <v>6.2999999999999901</v>
      </c>
      <c r="BL99">
        <v>8.4</v>
      </c>
      <c r="BM99">
        <v>40.149999999999899</v>
      </c>
      <c r="BN99">
        <v>8</v>
      </c>
    </row>
    <row r="100" spans="1:66" x14ac:dyDescent="0.3">
      <c r="A100">
        <v>99</v>
      </c>
      <c r="B100" t="s">
        <v>430</v>
      </c>
      <c r="C100" s="2" t="s">
        <v>448</v>
      </c>
      <c r="D100">
        <v>42</v>
      </c>
      <c r="E100" s="1">
        <v>44467</v>
      </c>
      <c r="F100" s="1">
        <v>44344</v>
      </c>
      <c r="G100" s="1">
        <v>44372.378831018519</v>
      </c>
      <c r="H100" t="s">
        <v>15</v>
      </c>
      <c r="I100" t="s">
        <v>78</v>
      </c>
      <c r="J100" t="s">
        <v>15</v>
      </c>
      <c r="K100" t="s">
        <v>16</v>
      </c>
      <c r="L100">
        <v>60</v>
      </c>
      <c r="M100" t="s">
        <v>16</v>
      </c>
      <c r="N100" t="s">
        <v>16</v>
      </c>
      <c r="O100" t="s">
        <v>17</v>
      </c>
      <c r="P100" t="s">
        <v>85</v>
      </c>
      <c r="Q100" t="s">
        <v>33</v>
      </c>
      <c r="R100" t="s">
        <v>16</v>
      </c>
      <c r="S100" t="s">
        <v>15</v>
      </c>
      <c r="T100" t="s">
        <v>18</v>
      </c>
      <c r="U100" t="s">
        <v>16</v>
      </c>
      <c r="V100" t="s">
        <v>93</v>
      </c>
      <c r="W100" t="s">
        <v>18</v>
      </c>
      <c r="X100" t="s">
        <v>15</v>
      </c>
      <c r="Y100">
        <v>5.3400001525878897</v>
      </c>
      <c r="Z100">
        <v>3.1900000572204599</v>
      </c>
      <c r="AA100">
        <v>1.3600000143051101</v>
      </c>
      <c r="AB100">
        <v>1.1900000572204601</v>
      </c>
      <c r="AC100">
        <v>282.561279296875</v>
      </c>
      <c r="AD100" t="s">
        <v>16</v>
      </c>
      <c r="AE100">
        <v>1</v>
      </c>
      <c r="AF100">
        <v>30</v>
      </c>
      <c r="AG100">
        <v>97.5</v>
      </c>
      <c r="AH100">
        <v>13.5</v>
      </c>
      <c r="AI100">
        <v>6.28999996185303</v>
      </c>
      <c r="AJ100">
        <v>15.5</v>
      </c>
      <c r="AK100">
        <v>9.6700000762939506</v>
      </c>
      <c r="AL100">
        <v>8.1199998855590803</v>
      </c>
      <c r="AM100">
        <v>12.0100002288818</v>
      </c>
      <c r="AN100" t="s">
        <v>249</v>
      </c>
      <c r="AO100">
        <v>100</v>
      </c>
      <c r="AP100">
        <v>30.8641975308642</v>
      </c>
      <c r="AQ100" s="1" t="s">
        <v>16</v>
      </c>
      <c r="AR100" s="1" t="s">
        <v>16</v>
      </c>
      <c r="AS100" s="1" t="s">
        <v>16</v>
      </c>
      <c r="AT100" s="1" t="s">
        <v>16</v>
      </c>
      <c r="AU100" s="1">
        <v>44347</v>
      </c>
      <c r="AV100" s="1"/>
      <c r="AW100" s="1" t="s">
        <v>16</v>
      </c>
      <c r="AX100" s="1" t="s">
        <v>16</v>
      </c>
      <c r="AY100" t="s">
        <v>16</v>
      </c>
      <c r="AZ100">
        <v>101</v>
      </c>
      <c r="BA100">
        <v>72</v>
      </c>
      <c r="BB100">
        <v>1</v>
      </c>
      <c r="BC100">
        <f t="shared" si="4"/>
        <v>10.157545605306799</v>
      </c>
      <c r="BD100">
        <v>139</v>
      </c>
      <c r="BE100">
        <v>4.5999999999999899</v>
      </c>
      <c r="BF100">
        <v>3.8999999999999901</v>
      </c>
      <c r="BG100">
        <v>12.1</v>
      </c>
      <c r="BH100">
        <v>156</v>
      </c>
      <c r="BI100">
        <v>13.4</v>
      </c>
      <c r="BJ100">
        <v>9.0999999999999908</v>
      </c>
      <c r="BK100">
        <v>9.1999999999999904</v>
      </c>
      <c r="BL100">
        <v>10.1</v>
      </c>
      <c r="BM100">
        <v>28.1099999999999</v>
      </c>
      <c r="BN100">
        <v>7.5999999999999899</v>
      </c>
    </row>
    <row r="101" spans="1:66" x14ac:dyDescent="0.3">
      <c r="A101">
        <v>100</v>
      </c>
      <c r="B101" t="s">
        <v>430</v>
      </c>
      <c r="C101" s="2" t="s">
        <v>449</v>
      </c>
      <c r="D101">
        <v>45</v>
      </c>
      <c r="E101" s="1" t="s">
        <v>16</v>
      </c>
      <c r="F101" s="1">
        <v>44980</v>
      </c>
      <c r="G101" s="1">
        <v>44980.425069444442</v>
      </c>
      <c r="H101" t="s">
        <v>15</v>
      </c>
      <c r="I101" t="s">
        <v>78</v>
      </c>
      <c r="J101" t="s">
        <v>15</v>
      </c>
      <c r="K101" t="s">
        <v>16</v>
      </c>
      <c r="L101">
        <v>60</v>
      </c>
      <c r="M101" t="s">
        <v>79</v>
      </c>
      <c r="N101" t="s">
        <v>35</v>
      </c>
      <c r="O101" t="s">
        <v>17</v>
      </c>
      <c r="P101" t="s">
        <v>16</v>
      </c>
      <c r="Q101" t="s">
        <v>18</v>
      </c>
      <c r="R101" t="s">
        <v>16</v>
      </c>
      <c r="S101" t="s">
        <v>16</v>
      </c>
      <c r="T101" t="s">
        <v>19</v>
      </c>
      <c r="U101" t="s">
        <v>16</v>
      </c>
      <c r="V101" t="s">
        <v>16</v>
      </c>
      <c r="W101" t="s">
        <v>29</v>
      </c>
      <c r="X101" t="s">
        <v>90</v>
      </c>
      <c r="Y101">
        <v>4.4499998092651403</v>
      </c>
      <c r="Z101">
        <v>2.9100000858306898</v>
      </c>
      <c r="AA101">
        <v>1.5</v>
      </c>
      <c r="AB101">
        <v>1.3999999761581401</v>
      </c>
      <c r="AC101">
        <v>257.6416015625</v>
      </c>
      <c r="AD101">
        <v>111</v>
      </c>
      <c r="AE101">
        <v>1</v>
      </c>
      <c r="AF101">
        <v>60</v>
      </c>
      <c r="AG101">
        <v>86.099998474121094</v>
      </c>
      <c r="AH101" t="s">
        <v>16</v>
      </c>
      <c r="AI101">
        <v>3.75</v>
      </c>
      <c r="AJ101">
        <v>22.959999084472699</v>
      </c>
      <c r="AK101">
        <v>7.8800001144409197</v>
      </c>
      <c r="AL101">
        <v>4.8000001907348597</v>
      </c>
      <c r="AM101">
        <v>17.940000534057599</v>
      </c>
      <c r="AN101" t="s">
        <v>250</v>
      </c>
      <c r="AO101" t="s">
        <v>16</v>
      </c>
      <c r="AP101" t="s">
        <v>16</v>
      </c>
      <c r="AQ101" s="1" t="s">
        <v>16</v>
      </c>
      <c r="AR101" s="1" t="s">
        <v>16</v>
      </c>
      <c r="AS101" s="1" t="s">
        <v>16</v>
      </c>
      <c r="AT101" s="1" t="s">
        <v>16</v>
      </c>
      <c r="AU101" s="1" t="s">
        <v>16</v>
      </c>
      <c r="AV101" s="1"/>
      <c r="AW101" s="1" t="s">
        <v>16</v>
      </c>
      <c r="AX101" s="1" t="s">
        <v>16</v>
      </c>
      <c r="AY101" t="s">
        <v>16</v>
      </c>
      <c r="AZ101">
        <v>143</v>
      </c>
      <c r="BA101">
        <v>84</v>
      </c>
      <c r="BB101">
        <v>0</v>
      </c>
      <c r="BC101">
        <v>7.9</v>
      </c>
      <c r="BD101">
        <v>139</v>
      </c>
      <c r="BE101">
        <v>4.5</v>
      </c>
      <c r="BF101">
        <v>2.3999999999999901</v>
      </c>
      <c r="BG101">
        <v>10.6999999999999</v>
      </c>
      <c r="BH101">
        <v>125</v>
      </c>
      <c r="BI101">
        <v>5.78</v>
      </c>
      <c r="BJ101">
        <v>8</v>
      </c>
      <c r="BK101">
        <v>5.7999999999999901</v>
      </c>
      <c r="BL101">
        <v>8.5999999999999908</v>
      </c>
      <c r="BM101">
        <v>17.71</v>
      </c>
      <c r="BN101">
        <v>8.9</v>
      </c>
    </row>
    <row r="102" spans="1:66" x14ac:dyDescent="0.3">
      <c r="A102">
        <v>101</v>
      </c>
      <c r="B102" t="s">
        <v>430</v>
      </c>
      <c r="C102" s="2" t="s">
        <v>448</v>
      </c>
      <c r="D102">
        <v>70</v>
      </c>
      <c r="E102" s="1">
        <v>44429</v>
      </c>
      <c r="F102" s="1">
        <v>41547</v>
      </c>
      <c r="G102" s="1">
        <v>41399.392824074072</v>
      </c>
      <c r="H102" t="s">
        <v>16</v>
      </c>
      <c r="I102" t="s">
        <v>78</v>
      </c>
      <c r="J102" t="s">
        <v>16</v>
      </c>
      <c r="K102" t="s">
        <v>16</v>
      </c>
      <c r="L102">
        <v>60</v>
      </c>
      <c r="M102" t="s">
        <v>16</v>
      </c>
      <c r="N102" t="s">
        <v>16</v>
      </c>
      <c r="O102" t="s">
        <v>17</v>
      </c>
      <c r="P102" t="s">
        <v>85</v>
      </c>
      <c r="Q102" t="s">
        <v>16</v>
      </c>
      <c r="R102" t="s">
        <v>16</v>
      </c>
      <c r="S102" t="s">
        <v>16</v>
      </c>
      <c r="T102" t="s">
        <v>19</v>
      </c>
      <c r="U102" t="s">
        <v>16</v>
      </c>
      <c r="V102" t="s">
        <v>16</v>
      </c>
      <c r="W102" t="s">
        <v>19</v>
      </c>
      <c r="X102" t="s">
        <v>78</v>
      </c>
      <c r="Y102">
        <v>5</v>
      </c>
      <c r="Z102">
        <v>3.0999999046325701</v>
      </c>
      <c r="AA102">
        <v>1.3999999761581401</v>
      </c>
      <c r="AB102">
        <v>0.89999997615814198</v>
      </c>
      <c r="AC102">
        <v>220.26214599609401</v>
      </c>
      <c r="AD102">
        <v>111</v>
      </c>
      <c r="AE102">
        <v>1</v>
      </c>
      <c r="AF102">
        <v>39</v>
      </c>
      <c r="AG102">
        <v>92</v>
      </c>
      <c r="AH102">
        <v>5</v>
      </c>
      <c r="AI102">
        <v>5</v>
      </c>
      <c r="AJ102">
        <v>18.399999618530298</v>
      </c>
      <c r="AK102">
        <v>5</v>
      </c>
      <c r="AL102">
        <v>5</v>
      </c>
      <c r="AM102">
        <v>18.399999618530298</v>
      </c>
      <c r="AN102" t="s">
        <v>251</v>
      </c>
      <c r="AO102">
        <v>85.15</v>
      </c>
      <c r="AP102">
        <v>29.463667820069201</v>
      </c>
      <c r="AQ102" s="1">
        <v>41400</v>
      </c>
      <c r="AR102" s="1">
        <v>41540</v>
      </c>
      <c r="AS102" s="1">
        <v>41532</v>
      </c>
      <c r="AT102" s="1" t="s">
        <v>16</v>
      </c>
      <c r="AU102" s="1">
        <v>41549</v>
      </c>
      <c r="AV102" s="1">
        <v>41397.702084143522</v>
      </c>
      <c r="AW102" s="1">
        <v>41549</v>
      </c>
      <c r="AX102" s="1" t="s">
        <v>16</v>
      </c>
      <c r="AY102" t="s">
        <v>16</v>
      </c>
      <c r="AZ102">
        <v>128</v>
      </c>
      <c r="BA102">
        <v>80</v>
      </c>
      <c r="BB102">
        <v>0</v>
      </c>
      <c r="BC102">
        <f t="shared" ref="BC102:BC109" si="5">(140-D102)*AO102/(72*BI102)</f>
        <v>17.880069594432484</v>
      </c>
      <c r="BD102">
        <v>140</v>
      </c>
      <c r="BE102">
        <v>3.5</v>
      </c>
      <c r="BF102">
        <v>2.2000000000000002</v>
      </c>
      <c r="BH102">
        <v>141</v>
      </c>
      <c r="BI102">
        <v>4.6299999999999901</v>
      </c>
      <c r="BJ102">
        <v>6.9</v>
      </c>
      <c r="BK102">
        <v>5.2999999999999901</v>
      </c>
      <c r="BL102">
        <v>7.9</v>
      </c>
      <c r="BM102">
        <v>0.52</v>
      </c>
      <c r="BN102">
        <v>6.5999999999999899</v>
      </c>
    </row>
    <row r="103" spans="1:66" x14ac:dyDescent="0.3">
      <c r="A103">
        <v>102</v>
      </c>
      <c r="B103" t="s">
        <v>430</v>
      </c>
      <c r="C103" s="2" t="s">
        <v>449</v>
      </c>
      <c r="D103">
        <v>32</v>
      </c>
      <c r="E103" s="1">
        <v>45147</v>
      </c>
      <c r="F103" s="1">
        <v>42648</v>
      </c>
      <c r="G103" s="1">
        <v>42675.507141203707</v>
      </c>
      <c r="H103" t="s">
        <v>15</v>
      </c>
      <c r="I103" t="s">
        <v>78</v>
      </c>
      <c r="J103" t="s">
        <v>15</v>
      </c>
      <c r="K103" t="s">
        <v>16</v>
      </c>
      <c r="L103">
        <v>60</v>
      </c>
      <c r="M103" t="s">
        <v>16</v>
      </c>
      <c r="N103" t="s">
        <v>16</v>
      </c>
      <c r="O103" t="s">
        <v>17</v>
      </c>
      <c r="P103" t="s">
        <v>15</v>
      </c>
      <c r="Q103" t="s">
        <v>16</v>
      </c>
      <c r="R103" t="s">
        <v>16</v>
      </c>
      <c r="S103" t="s">
        <v>15</v>
      </c>
      <c r="T103" t="s">
        <v>18</v>
      </c>
      <c r="U103" t="s">
        <v>16</v>
      </c>
      <c r="V103" t="s">
        <v>93</v>
      </c>
      <c r="W103" t="s">
        <v>16</v>
      </c>
      <c r="X103" t="s">
        <v>16</v>
      </c>
      <c r="Y103">
        <v>4.8000001907348597</v>
      </c>
      <c r="Z103">
        <v>2.5</v>
      </c>
      <c r="AA103">
        <v>1.20000004768372</v>
      </c>
      <c r="AB103">
        <v>1.1000000238418599</v>
      </c>
      <c r="AC103">
        <v>206.36941528320301</v>
      </c>
      <c r="AD103">
        <v>105</v>
      </c>
      <c r="AE103">
        <v>1</v>
      </c>
      <c r="AF103" t="s">
        <v>16</v>
      </c>
      <c r="AG103">
        <v>103</v>
      </c>
      <c r="AH103">
        <v>8</v>
      </c>
      <c r="AI103">
        <v>7</v>
      </c>
      <c r="AJ103">
        <v>14.710000038146999</v>
      </c>
      <c r="AK103">
        <v>10</v>
      </c>
      <c r="AL103">
        <v>10</v>
      </c>
      <c r="AM103">
        <v>10.300000190734901</v>
      </c>
      <c r="AN103" t="s">
        <v>252</v>
      </c>
      <c r="AO103">
        <v>95</v>
      </c>
      <c r="AP103">
        <v>37.109375</v>
      </c>
      <c r="AQ103" s="1" t="s">
        <v>16</v>
      </c>
      <c r="AR103" s="1" t="s">
        <v>16</v>
      </c>
      <c r="AS103" s="1" t="s">
        <v>16</v>
      </c>
      <c r="AT103" s="1" t="s">
        <v>16</v>
      </c>
      <c r="AU103" s="1">
        <v>42682</v>
      </c>
      <c r="AV103" s="1"/>
      <c r="AW103" s="1" t="s">
        <v>16</v>
      </c>
      <c r="AX103" s="1" t="s">
        <v>16</v>
      </c>
      <c r="AY103" t="s">
        <v>16</v>
      </c>
      <c r="AZ103">
        <v>162</v>
      </c>
      <c r="BA103">
        <v>81</v>
      </c>
      <c r="BB103">
        <v>0</v>
      </c>
      <c r="BC103">
        <f t="shared" si="5"/>
        <v>19</v>
      </c>
      <c r="BD103">
        <v>140</v>
      </c>
      <c r="BE103">
        <v>5.9</v>
      </c>
      <c r="BF103">
        <v>3</v>
      </c>
      <c r="BG103">
        <v>10.6</v>
      </c>
      <c r="BH103">
        <v>214</v>
      </c>
      <c r="BI103">
        <v>7.5</v>
      </c>
      <c r="BJ103">
        <v>6.5</v>
      </c>
      <c r="BK103">
        <v>7.5999999999999899</v>
      </c>
      <c r="BL103">
        <v>7.5999999999999899</v>
      </c>
      <c r="BM103">
        <v>16.28</v>
      </c>
    </row>
    <row r="104" spans="1:66" x14ac:dyDescent="0.3">
      <c r="A104">
        <v>103</v>
      </c>
      <c r="B104" t="s">
        <v>430</v>
      </c>
      <c r="C104" s="2" t="s">
        <v>449</v>
      </c>
      <c r="D104">
        <v>66</v>
      </c>
      <c r="E104" s="1">
        <v>41880</v>
      </c>
      <c r="F104" s="1">
        <v>40770</v>
      </c>
      <c r="G104" s="1">
        <v>40486.463900462964</v>
      </c>
      <c r="H104" t="s">
        <v>15</v>
      </c>
      <c r="I104" t="s">
        <v>16</v>
      </c>
      <c r="J104" t="s">
        <v>15</v>
      </c>
      <c r="K104" t="s">
        <v>16</v>
      </c>
      <c r="L104">
        <v>60</v>
      </c>
      <c r="M104" t="s">
        <v>15</v>
      </c>
      <c r="N104" t="s">
        <v>15</v>
      </c>
      <c r="O104" t="s">
        <v>15</v>
      </c>
      <c r="P104" t="s">
        <v>16</v>
      </c>
      <c r="Q104" t="s">
        <v>16</v>
      </c>
      <c r="R104" t="s">
        <v>16</v>
      </c>
      <c r="S104" t="s">
        <v>16</v>
      </c>
      <c r="T104" t="s">
        <v>16</v>
      </c>
      <c r="U104" t="s">
        <v>184</v>
      </c>
      <c r="V104" t="s">
        <v>16</v>
      </c>
      <c r="W104" t="s">
        <v>16</v>
      </c>
      <c r="X104" t="s">
        <v>16</v>
      </c>
      <c r="Y104">
        <v>4.5999999046325701</v>
      </c>
      <c r="Z104">
        <v>2.7000000476837198</v>
      </c>
      <c r="AA104">
        <v>0.80000001192092896</v>
      </c>
      <c r="AB104">
        <v>0.80000001192092896</v>
      </c>
      <c r="AC104">
        <v>118</v>
      </c>
      <c r="AD104">
        <v>69</v>
      </c>
      <c r="AE104">
        <v>1</v>
      </c>
      <c r="AF104" t="s">
        <v>16</v>
      </c>
      <c r="AG104">
        <v>90</v>
      </c>
      <c r="AH104">
        <v>7</v>
      </c>
      <c r="AI104">
        <v>4</v>
      </c>
      <c r="AJ104">
        <v>22.5</v>
      </c>
      <c r="AK104">
        <v>7</v>
      </c>
      <c r="AL104">
        <v>9</v>
      </c>
      <c r="AM104">
        <v>10</v>
      </c>
      <c r="AN104" t="s">
        <v>253</v>
      </c>
      <c r="AO104">
        <v>65</v>
      </c>
      <c r="AP104">
        <v>28.8888888888889</v>
      </c>
      <c r="AQ104" s="1" t="s">
        <v>16</v>
      </c>
      <c r="AR104" s="1" t="s">
        <v>16</v>
      </c>
      <c r="AS104" s="1">
        <v>39915</v>
      </c>
      <c r="AT104" s="1" t="s">
        <v>16</v>
      </c>
      <c r="AU104" s="1">
        <v>39915</v>
      </c>
      <c r="AV104" s="1">
        <v>39915.519497650457</v>
      </c>
      <c r="AW104" s="1" t="s">
        <v>16</v>
      </c>
      <c r="AX104" s="1" t="s">
        <v>16</v>
      </c>
      <c r="AY104" t="s">
        <v>16</v>
      </c>
      <c r="AZ104">
        <v>98</v>
      </c>
      <c r="BA104">
        <v>42</v>
      </c>
      <c r="BB104">
        <v>0</v>
      </c>
      <c r="BC104">
        <f t="shared" si="5"/>
        <v>14.61828349136883</v>
      </c>
      <c r="BD104">
        <v>139</v>
      </c>
      <c r="BE104">
        <v>4.2999999999999901</v>
      </c>
      <c r="BF104">
        <v>3.8999999999999901</v>
      </c>
      <c r="BG104">
        <v>10.8</v>
      </c>
      <c r="BH104">
        <v>295</v>
      </c>
      <c r="BI104">
        <v>4.57</v>
      </c>
      <c r="BJ104">
        <v>8.3000000000000007</v>
      </c>
      <c r="BK104">
        <v>4.9000000000000004</v>
      </c>
      <c r="BL104">
        <v>12.6999999999999</v>
      </c>
      <c r="BM104">
        <v>4.4000000000000004</v>
      </c>
      <c r="BN104">
        <v>6.9</v>
      </c>
    </row>
    <row r="105" spans="1:66" x14ac:dyDescent="0.3">
      <c r="A105">
        <v>104</v>
      </c>
      <c r="B105" t="s">
        <v>430</v>
      </c>
      <c r="C105" s="2" t="s">
        <v>449</v>
      </c>
      <c r="D105">
        <v>77</v>
      </c>
      <c r="E105" s="1">
        <v>42471</v>
      </c>
      <c r="F105" s="1">
        <v>41746</v>
      </c>
      <c r="G105" s="1">
        <v>41767.572881944441</v>
      </c>
      <c r="H105" t="s">
        <v>15</v>
      </c>
      <c r="I105" t="s">
        <v>78</v>
      </c>
      <c r="J105" t="s">
        <v>24</v>
      </c>
      <c r="K105" t="s">
        <v>16</v>
      </c>
      <c r="L105">
        <v>50</v>
      </c>
      <c r="M105" t="s">
        <v>15</v>
      </c>
      <c r="N105" t="s">
        <v>15</v>
      </c>
      <c r="O105" t="s">
        <v>17</v>
      </c>
      <c r="P105" t="s">
        <v>15</v>
      </c>
      <c r="Q105" t="s">
        <v>33</v>
      </c>
      <c r="R105" t="s">
        <v>16</v>
      </c>
      <c r="S105" t="s">
        <v>92</v>
      </c>
      <c r="T105" t="s">
        <v>29</v>
      </c>
      <c r="U105" t="s">
        <v>16</v>
      </c>
      <c r="V105" t="s">
        <v>16</v>
      </c>
      <c r="W105" t="s">
        <v>18</v>
      </c>
      <c r="X105" t="s">
        <v>16</v>
      </c>
      <c r="Y105">
        <v>3.0999999046325701</v>
      </c>
      <c r="Z105">
        <v>5</v>
      </c>
      <c r="AA105">
        <v>1.20000004768372</v>
      </c>
      <c r="AB105">
        <v>1.20000004768372</v>
      </c>
      <c r="AC105">
        <v>114.23788452148401</v>
      </c>
      <c r="AD105">
        <v>74</v>
      </c>
      <c r="AE105">
        <v>1</v>
      </c>
      <c r="AF105" t="s">
        <v>16</v>
      </c>
      <c r="AG105" t="s">
        <v>16</v>
      </c>
      <c r="AH105" t="s">
        <v>16</v>
      </c>
      <c r="AI105" t="s">
        <v>16</v>
      </c>
      <c r="AJ105" t="s">
        <v>16</v>
      </c>
      <c r="AK105" t="s">
        <v>16</v>
      </c>
      <c r="AL105" t="s">
        <v>16</v>
      </c>
      <c r="AM105" t="s">
        <v>16</v>
      </c>
      <c r="AN105" t="s">
        <v>254</v>
      </c>
      <c r="AO105">
        <v>54</v>
      </c>
      <c r="AP105">
        <v>24</v>
      </c>
      <c r="AQ105" s="1" t="s">
        <v>16</v>
      </c>
      <c r="AR105" s="1" t="s">
        <v>16</v>
      </c>
      <c r="AS105" s="1">
        <v>41767</v>
      </c>
      <c r="AT105" s="1">
        <v>41767</v>
      </c>
      <c r="AU105" s="1">
        <v>41767</v>
      </c>
      <c r="AV105" s="1">
        <v>42071.530797418978</v>
      </c>
      <c r="AW105" s="1">
        <v>41767</v>
      </c>
      <c r="AX105" s="1">
        <v>41767</v>
      </c>
      <c r="AY105" t="s">
        <v>16</v>
      </c>
      <c r="AZ105">
        <v>160</v>
      </c>
      <c r="BA105">
        <v>68</v>
      </c>
      <c r="BB105">
        <v>0</v>
      </c>
      <c r="BC105">
        <f t="shared" si="5"/>
        <v>15.802675585284279</v>
      </c>
      <c r="BD105">
        <v>140</v>
      </c>
      <c r="BE105">
        <v>3.7</v>
      </c>
      <c r="BF105">
        <v>3.8999999999999901</v>
      </c>
      <c r="BH105">
        <v>103</v>
      </c>
      <c r="BI105">
        <v>2.99</v>
      </c>
      <c r="BJ105">
        <v>8.9</v>
      </c>
      <c r="BK105">
        <v>4.5</v>
      </c>
      <c r="BL105">
        <v>13.9</v>
      </c>
      <c r="BM105">
        <v>30.739999999999899</v>
      </c>
      <c r="BN105">
        <v>5.4</v>
      </c>
    </row>
    <row r="106" spans="1:66" x14ac:dyDescent="0.3">
      <c r="A106">
        <v>105</v>
      </c>
      <c r="B106" t="s">
        <v>430</v>
      </c>
      <c r="C106" s="2" t="s">
        <v>448</v>
      </c>
      <c r="D106">
        <v>80</v>
      </c>
      <c r="E106" s="1">
        <v>43178</v>
      </c>
      <c r="F106" s="1">
        <v>43157</v>
      </c>
      <c r="G106" s="1">
        <v>43081.337858796294</v>
      </c>
      <c r="H106" t="s">
        <v>15</v>
      </c>
      <c r="I106" t="s">
        <v>16</v>
      </c>
      <c r="J106" t="s">
        <v>15</v>
      </c>
      <c r="K106" t="s">
        <v>145</v>
      </c>
      <c r="L106">
        <v>55</v>
      </c>
      <c r="M106" t="s">
        <v>16</v>
      </c>
      <c r="N106" t="s">
        <v>16</v>
      </c>
      <c r="O106" t="s">
        <v>17</v>
      </c>
      <c r="P106" t="s">
        <v>124</v>
      </c>
      <c r="Q106" t="s">
        <v>16</v>
      </c>
      <c r="R106" t="s">
        <v>16</v>
      </c>
      <c r="S106" t="s">
        <v>16</v>
      </c>
      <c r="T106" t="s">
        <v>18</v>
      </c>
      <c r="U106" t="s">
        <v>132</v>
      </c>
      <c r="V106" t="s">
        <v>16</v>
      </c>
      <c r="W106" t="s">
        <v>18</v>
      </c>
      <c r="X106" t="s">
        <v>15</v>
      </c>
      <c r="Y106">
        <v>4.6700000762939498</v>
      </c>
      <c r="Z106">
        <v>2.7200000286102299</v>
      </c>
      <c r="AA106">
        <v>1.1599999666214</v>
      </c>
      <c r="AB106">
        <v>1.0599999427795399</v>
      </c>
      <c r="AC106">
        <v>187.99569702148401</v>
      </c>
      <c r="AD106">
        <v>90</v>
      </c>
      <c r="AE106">
        <v>1</v>
      </c>
      <c r="AF106">
        <v>30</v>
      </c>
      <c r="AG106">
        <v>56.799999237060497</v>
      </c>
      <c r="AH106">
        <v>5.4400000572204599</v>
      </c>
      <c r="AI106">
        <v>4.6799998283386204</v>
      </c>
      <c r="AJ106">
        <v>12.1400003433228</v>
      </c>
      <c r="AK106">
        <v>8.4899997711181605</v>
      </c>
      <c r="AL106">
        <v>7.6199998855590803</v>
      </c>
      <c r="AM106">
        <v>7.4499998092651403</v>
      </c>
      <c r="AN106" t="s">
        <v>255</v>
      </c>
      <c r="AO106">
        <v>93</v>
      </c>
      <c r="AP106">
        <v>30.717399920729299</v>
      </c>
      <c r="AQ106" s="1" t="s">
        <v>16</v>
      </c>
      <c r="AR106" s="1" t="s">
        <v>16</v>
      </c>
      <c r="AS106" s="1" t="s">
        <v>16</v>
      </c>
      <c r="AT106" s="1" t="s">
        <v>16</v>
      </c>
      <c r="AU106" s="1">
        <v>42853</v>
      </c>
      <c r="AV106" s="1">
        <v>42853.511944016202</v>
      </c>
      <c r="AW106" s="1">
        <v>42853</v>
      </c>
      <c r="AX106" s="1" t="s">
        <v>16</v>
      </c>
      <c r="AY106" t="s">
        <v>21</v>
      </c>
      <c r="AZ106">
        <v>180</v>
      </c>
      <c r="BA106">
        <v>70</v>
      </c>
      <c r="BB106">
        <v>0</v>
      </c>
      <c r="BC106">
        <f t="shared" si="5"/>
        <v>18.674698795180721</v>
      </c>
      <c r="BD106">
        <v>124</v>
      </c>
      <c r="BE106">
        <v>6.0999999999999899</v>
      </c>
      <c r="BF106">
        <v>2</v>
      </c>
      <c r="BG106">
        <v>11.9</v>
      </c>
      <c r="BH106">
        <v>233</v>
      </c>
      <c r="BI106">
        <v>4.1500000000000004</v>
      </c>
      <c r="BJ106">
        <v>8</v>
      </c>
      <c r="BK106">
        <v>4.2</v>
      </c>
      <c r="BL106">
        <v>10.3</v>
      </c>
      <c r="BM106">
        <v>77.260000000000005</v>
      </c>
      <c r="BN106">
        <v>7.9</v>
      </c>
    </row>
    <row r="107" spans="1:66" ht="15" customHeight="1" x14ac:dyDescent="0.3">
      <c r="A107">
        <v>106</v>
      </c>
      <c r="B107" t="s">
        <v>430</v>
      </c>
      <c r="C107" s="2" t="s">
        <v>449</v>
      </c>
      <c r="D107">
        <v>81</v>
      </c>
      <c r="E107" s="1">
        <v>43249</v>
      </c>
      <c r="F107" s="1">
        <v>43090</v>
      </c>
      <c r="G107" s="1">
        <v>42904.381469907406</v>
      </c>
      <c r="H107" t="s">
        <v>15</v>
      </c>
      <c r="I107" t="s">
        <v>78</v>
      </c>
      <c r="J107" t="s">
        <v>15</v>
      </c>
      <c r="K107" t="s">
        <v>16</v>
      </c>
      <c r="L107">
        <v>55</v>
      </c>
      <c r="M107" t="s">
        <v>17</v>
      </c>
      <c r="N107" t="s">
        <v>28</v>
      </c>
      <c r="O107" t="s">
        <v>25</v>
      </c>
      <c r="P107" t="s">
        <v>16</v>
      </c>
      <c r="Q107" t="s">
        <v>16</v>
      </c>
      <c r="R107" t="s">
        <v>16</v>
      </c>
      <c r="S107" t="s">
        <v>16</v>
      </c>
      <c r="T107" t="s">
        <v>23</v>
      </c>
      <c r="U107" t="s">
        <v>16</v>
      </c>
      <c r="V107" t="s">
        <v>16</v>
      </c>
      <c r="W107" t="s">
        <v>26</v>
      </c>
      <c r="X107" t="s">
        <v>90</v>
      </c>
      <c r="Y107">
        <v>5.1999998092651403</v>
      </c>
      <c r="Z107">
        <v>2.7000000476837198</v>
      </c>
      <c r="AA107">
        <v>1.20000004768372</v>
      </c>
      <c r="AB107">
        <v>1.20000004768372</v>
      </c>
      <c r="AC107">
        <v>248.84217834472699</v>
      </c>
      <c r="AD107">
        <v>120</v>
      </c>
      <c r="AE107">
        <v>1.1900000572204601</v>
      </c>
      <c r="AF107">
        <v>86</v>
      </c>
      <c r="AG107">
        <v>158</v>
      </c>
      <c r="AH107">
        <v>6</v>
      </c>
      <c r="AI107">
        <v>11</v>
      </c>
      <c r="AJ107">
        <v>14.3599996566772</v>
      </c>
      <c r="AK107">
        <v>9</v>
      </c>
      <c r="AL107">
        <v>14</v>
      </c>
      <c r="AM107">
        <v>11.289999961853001</v>
      </c>
      <c r="AN107" t="s">
        <v>256</v>
      </c>
      <c r="AO107">
        <v>102</v>
      </c>
      <c r="AP107">
        <v>39.84375</v>
      </c>
      <c r="AQ107" s="1">
        <v>31778</v>
      </c>
      <c r="AR107" s="1" t="s">
        <v>16</v>
      </c>
      <c r="AS107" s="1" t="s">
        <v>16</v>
      </c>
      <c r="AT107" s="1">
        <v>40800</v>
      </c>
      <c r="AU107" s="1">
        <v>40809</v>
      </c>
      <c r="AV107" s="1"/>
      <c r="AW107" s="1">
        <v>43004</v>
      </c>
      <c r="AX107" s="1" t="s">
        <v>16</v>
      </c>
      <c r="AY107" t="s">
        <v>16</v>
      </c>
      <c r="AZ107">
        <v>97</v>
      </c>
      <c r="BA107">
        <v>54</v>
      </c>
      <c r="BB107">
        <v>0</v>
      </c>
      <c r="BC107">
        <f t="shared" si="5"/>
        <v>20.948203842940682</v>
      </c>
      <c r="BD107">
        <v>133</v>
      </c>
      <c r="BE107">
        <v>5.4</v>
      </c>
      <c r="BF107">
        <v>2.7999999999999901</v>
      </c>
      <c r="BH107">
        <v>246</v>
      </c>
      <c r="BI107">
        <v>3.99</v>
      </c>
      <c r="BJ107">
        <v>8</v>
      </c>
      <c r="BK107">
        <v>5.2999999999999901</v>
      </c>
      <c r="BL107">
        <v>12.9</v>
      </c>
      <c r="BM107">
        <v>17.12</v>
      </c>
      <c r="BN107">
        <v>4.5</v>
      </c>
    </row>
    <row r="108" spans="1:66" x14ac:dyDescent="0.3">
      <c r="A108">
        <v>107</v>
      </c>
      <c r="B108" t="s">
        <v>430</v>
      </c>
      <c r="C108" s="2" t="s">
        <v>448</v>
      </c>
      <c r="D108">
        <v>92</v>
      </c>
      <c r="E108" s="1">
        <v>42541</v>
      </c>
      <c r="F108" s="1">
        <v>42408</v>
      </c>
      <c r="G108" s="1">
        <v>42395.460231481484</v>
      </c>
      <c r="H108" t="s">
        <v>15</v>
      </c>
      <c r="I108" t="s">
        <v>78</v>
      </c>
      <c r="J108" t="s">
        <v>15</v>
      </c>
      <c r="K108" t="s">
        <v>16</v>
      </c>
      <c r="L108">
        <v>65</v>
      </c>
      <c r="M108" t="s">
        <v>15</v>
      </c>
      <c r="N108" t="s">
        <v>15</v>
      </c>
      <c r="O108" t="s">
        <v>17</v>
      </c>
      <c r="P108" t="s">
        <v>16</v>
      </c>
      <c r="Q108" t="s">
        <v>16</v>
      </c>
      <c r="R108" t="s">
        <v>16</v>
      </c>
      <c r="S108" t="s">
        <v>92</v>
      </c>
      <c r="T108" t="s">
        <v>23</v>
      </c>
      <c r="U108" t="s">
        <v>118</v>
      </c>
      <c r="V108" t="s">
        <v>16</v>
      </c>
      <c r="W108" t="s">
        <v>29</v>
      </c>
      <c r="X108" t="s">
        <v>90</v>
      </c>
      <c r="Y108">
        <v>4.9000000953674299</v>
      </c>
      <c r="Z108">
        <v>3.0999999046325701</v>
      </c>
      <c r="AA108">
        <v>1.20000004768372</v>
      </c>
      <c r="AB108">
        <v>1.29999995231628</v>
      </c>
      <c r="AC108">
        <v>239.86239624023401</v>
      </c>
      <c r="AD108">
        <v>131</v>
      </c>
      <c r="AE108">
        <v>1</v>
      </c>
      <c r="AF108">
        <v>61</v>
      </c>
      <c r="AG108">
        <v>121</v>
      </c>
      <c r="AH108">
        <v>7</v>
      </c>
      <c r="AI108">
        <v>8</v>
      </c>
      <c r="AJ108">
        <v>15.1199998855591</v>
      </c>
      <c r="AK108">
        <v>7</v>
      </c>
      <c r="AL108">
        <v>9</v>
      </c>
      <c r="AM108">
        <v>13.439999580383301</v>
      </c>
      <c r="AN108" t="s">
        <v>257</v>
      </c>
      <c r="AO108">
        <v>81</v>
      </c>
      <c r="AP108" t="s">
        <v>16</v>
      </c>
      <c r="AQ108" s="1" t="s">
        <v>16</v>
      </c>
      <c r="AR108" s="1" t="s">
        <v>16</v>
      </c>
      <c r="AS108" s="1" t="s">
        <v>16</v>
      </c>
      <c r="AT108" s="1">
        <v>42381</v>
      </c>
      <c r="AU108" s="1">
        <v>39883</v>
      </c>
      <c r="AV108" s="1">
        <v>39883.55363052083</v>
      </c>
      <c r="AW108" s="1">
        <v>39897</v>
      </c>
      <c r="AX108" s="1" t="s">
        <v>16</v>
      </c>
      <c r="AY108" t="s">
        <v>16</v>
      </c>
      <c r="AZ108">
        <v>166</v>
      </c>
      <c r="BA108">
        <v>67</v>
      </c>
      <c r="BB108">
        <v>3</v>
      </c>
      <c r="BC108">
        <f t="shared" si="5"/>
        <v>10.227272727272727</v>
      </c>
      <c r="BD108">
        <v>139</v>
      </c>
      <c r="BE108">
        <v>4.0999999999999899</v>
      </c>
      <c r="BF108">
        <v>2.8999999999999901</v>
      </c>
      <c r="BG108">
        <v>7.2999999999999901</v>
      </c>
      <c r="BH108">
        <v>254</v>
      </c>
      <c r="BI108">
        <v>5.28</v>
      </c>
      <c r="BJ108">
        <v>7.0999999999999899</v>
      </c>
      <c r="BK108">
        <v>7.0999999999999899</v>
      </c>
      <c r="BL108">
        <v>10</v>
      </c>
      <c r="BM108">
        <v>130.59</v>
      </c>
      <c r="BN108">
        <v>6.5999999999999899</v>
      </c>
    </row>
    <row r="109" spans="1:66" x14ac:dyDescent="0.3">
      <c r="A109">
        <v>108</v>
      </c>
      <c r="B109" t="s">
        <v>430</v>
      </c>
      <c r="C109" s="2" t="s">
        <v>449</v>
      </c>
      <c r="D109">
        <v>67</v>
      </c>
      <c r="E109" s="1">
        <v>41789</v>
      </c>
      <c r="F109" s="1">
        <v>40153</v>
      </c>
      <c r="G109" s="1">
        <v>39945.311979166669</v>
      </c>
      <c r="H109" t="s">
        <v>15</v>
      </c>
      <c r="I109" t="s">
        <v>16</v>
      </c>
      <c r="J109" t="s">
        <v>15</v>
      </c>
      <c r="K109" t="s">
        <v>258</v>
      </c>
      <c r="L109">
        <v>60</v>
      </c>
      <c r="M109" t="s">
        <v>17</v>
      </c>
      <c r="N109" t="s">
        <v>15</v>
      </c>
      <c r="O109" t="s">
        <v>17</v>
      </c>
      <c r="P109" t="s">
        <v>85</v>
      </c>
      <c r="Q109" t="s">
        <v>18</v>
      </c>
      <c r="R109" t="s">
        <v>16</v>
      </c>
      <c r="S109" t="s">
        <v>16</v>
      </c>
      <c r="T109" t="s">
        <v>27</v>
      </c>
      <c r="U109" t="s">
        <v>117</v>
      </c>
      <c r="V109" t="s">
        <v>16</v>
      </c>
      <c r="W109" t="s">
        <v>29</v>
      </c>
      <c r="X109" t="s">
        <v>87</v>
      </c>
      <c r="Y109">
        <v>5.3000001907348597</v>
      </c>
      <c r="Z109">
        <v>2.9000000953674299</v>
      </c>
      <c r="AA109">
        <v>1.1000000238418599</v>
      </c>
      <c r="AB109">
        <v>1</v>
      </c>
      <c r="AC109">
        <v>214</v>
      </c>
      <c r="AD109">
        <v>120</v>
      </c>
      <c r="AE109">
        <v>1</v>
      </c>
      <c r="AF109">
        <v>51</v>
      </c>
      <c r="AG109">
        <v>138</v>
      </c>
      <c r="AH109">
        <v>6</v>
      </c>
      <c r="AI109">
        <v>6</v>
      </c>
      <c r="AJ109">
        <v>23</v>
      </c>
      <c r="AK109">
        <v>5</v>
      </c>
      <c r="AL109">
        <v>9</v>
      </c>
      <c r="AM109">
        <v>15.329999923706101</v>
      </c>
      <c r="AN109" t="s">
        <v>259</v>
      </c>
      <c r="AO109">
        <v>67</v>
      </c>
      <c r="AP109">
        <v>28.6214703746422</v>
      </c>
      <c r="AQ109" s="1" t="s">
        <v>16</v>
      </c>
      <c r="AR109" s="1" t="s">
        <v>16</v>
      </c>
      <c r="AS109" s="1" t="s">
        <v>16</v>
      </c>
      <c r="AT109" s="1">
        <v>40148</v>
      </c>
      <c r="AU109" s="1">
        <v>39968</v>
      </c>
      <c r="AV109" s="1">
        <v>39968.473983946758</v>
      </c>
      <c r="AW109" s="1">
        <v>40148</v>
      </c>
      <c r="AX109" s="1" t="s">
        <v>16</v>
      </c>
      <c r="AY109" t="s">
        <v>16</v>
      </c>
      <c r="AZ109">
        <v>167</v>
      </c>
      <c r="BA109">
        <v>78</v>
      </c>
      <c r="BB109">
        <v>4</v>
      </c>
      <c r="BC109">
        <f t="shared" si="5"/>
        <v>19.520274584929759</v>
      </c>
      <c r="BD109">
        <v>142</v>
      </c>
      <c r="BE109">
        <v>4.2</v>
      </c>
      <c r="BF109">
        <v>3.7999999999999901</v>
      </c>
      <c r="BG109">
        <v>13.1999999999999</v>
      </c>
      <c r="BH109">
        <v>152</v>
      </c>
      <c r="BI109">
        <v>3.48</v>
      </c>
      <c r="BJ109">
        <v>8.9</v>
      </c>
      <c r="BK109">
        <v>3.87</v>
      </c>
      <c r="BL109">
        <v>8.3000000000000007</v>
      </c>
      <c r="BM109">
        <v>4.7999999999999901</v>
      </c>
      <c r="BN109">
        <v>7.2999999999999901</v>
      </c>
    </row>
    <row r="110" spans="1:66" x14ac:dyDescent="0.3">
      <c r="A110">
        <v>109</v>
      </c>
      <c r="B110" t="s">
        <v>430</v>
      </c>
      <c r="C110" s="2" t="s">
        <v>448</v>
      </c>
      <c r="D110">
        <v>66</v>
      </c>
      <c r="E110" s="1">
        <v>42870</v>
      </c>
      <c r="F110" s="1">
        <v>40091</v>
      </c>
      <c r="G110" s="1">
        <v>40136.589085648149</v>
      </c>
      <c r="H110" t="s">
        <v>17</v>
      </c>
      <c r="I110" t="s">
        <v>16</v>
      </c>
      <c r="J110" t="s">
        <v>22</v>
      </c>
      <c r="K110" t="s">
        <v>106</v>
      </c>
      <c r="L110">
        <v>40</v>
      </c>
      <c r="M110" t="s">
        <v>15</v>
      </c>
      <c r="N110" t="s">
        <v>15</v>
      </c>
      <c r="O110" t="s">
        <v>17</v>
      </c>
      <c r="P110" t="s">
        <v>75</v>
      </c>
      <c r="Q110" t="s">
        <v>18</v>
      </c>
      <c r="R110" t="s">
        <v>16</v>
      </c>
      <c r="S110" t="s">
        <v>92</v>
      </c>
      <c r="T110" t="s">
        <v>36</v>
      </c>
      <c r="U110" t="s">
        <v>16</v>
      </c>
      <c r="V110" t="s">
        <v>16</v>
      </c>
      <c r="W110" t="s">
        <v>18</v>
      </c>
      <c r="X110" t="s">
        <v>16</v>
      </c>
      <c r="Y110">
        <v>5.6999998092651403</v>
      </c>
      <c r="Z110">
        <v>4</v>
      </c>
      <c r="AA110">
        <v>1.1000000238418599</v>
      </c>
      <c r="AB110">
        <v>0.69999998807907104</v>
      </c>
      <c r="AC110">
        <v>198</v>
      </c>
      <c r="AD110">
        <v>91</v>
      </c>
      <c r="AE110">
        <v>1.75</v>
      </c>
      <c r="AF110" t="s">
        <v>16</v>
      </c>
      <c r="AG110" t="s">
        <v>16</v>
      </c>
      <c r="AH110" t="s">
        <v>16</v>
      </c>
      <c r="AI110" t="s">
        <v>16</v>
      </c>
      <c r="AJ110" t="s">
        <v>16</v>
      </c>
      <c r="AK110" t="s">
        <v>16</v>
      </c>
      <c r="AL110" t="s">
        <v>16</v>
      </c>
      <c r="AM110" t="s">
        <v>16</v>
      </c>
      <c r="AN110" t="s">
        <v>260</v>
      </c>
      <c r="AO110" t="s">
        <v>16</v>
      </c>
      <c r="AP110" t="s">
        <v>16</v>
      </c>
      <c r="AQ110" s="1">
        <v>42186</v>
      </c>
      <c r="AR110" s="1" t="s">
        <v>16</v>
      </c>
      <c r="AS110" s="1">
        <v>40297</v>
      </c>
      <c r="AT110" s="1">
        <v>42199</v>
      </c>
      <c r="AU110" s="1">
        <v>39975</v>
      </c>
      <c r="AV110" s="1"/>
      <c r="AW110" s="1" t="s">
        <v>16</v>
      </c>
      <c r="AX110" s="1">
        <v>40905</v>
      </c>
      <c r="AY110" t="s">
        <v>16</v>
      </c>
      <c r="BB110">
        <v>1</v>
      </c>
      <c r="BC110">
        <v>5.6</v>
      </c>
      <c r="BD110">
        <v>139</v>
      </c>
      <c r="BE110">
        <v>4</v>
      </c>
      <c r="BF110">
        <v>4.0999999999999899</v>
      </c>
      <c r="BG110">
        <v>12.6</v>
      </c>
      <c r="BH110">
        <v>149</v>
      </c>
      <c r="BI110">
        <v>9.4399999999999906</v>
      </c>
      <c r="BJ110">
        <v>8.5</v>
      </c>
      <c r="BK110">
        <v>5.3799999999999901</v>
      </c>
      <c r="BL110">
        <v>7.4</v>
      </c>
      <c r="BM110">
        <v>131.849999999999</v>
      </c>
      <c r="BN110">
        <v>5.7999999999999901</v>
      </c>
    </row>
    <row r="111" spans="1:66" x14ac:dyDescent="0.3">
      <c r="A111">
        <v>110</v>
      </c>
      <c r="B111" t="s">
        <v>430</v>
      </c>
      <c r="C111" s="2" t="s">
        <v>448</v>
      </c>
      <c r="D111">
        <v>70</v>
      </c>
      <c r="E111" s="1">
        <v>43154</v>
      </c>
      <c r="F111" s="1">
        <v>41099</v>
      </c>
      <c r="G111" s="1">
        <v>41106.381701388891</v>
      </c>
      <c r="H111" t="s">
        <v>15</v>
      </c>
      <c r="I111" t="s">
        <v>16</v>
      </c>
      <c r="J111" t="s">
        <v>15</v>
      </c>
      <c r="K111" t="s">
        <v>129</v>
      </c>
      <c r="L111">
        <v>57</v>
      </c>
      <c r="M111" t="s">
        <v>16</v>
      </c>
      <c r="N111" t="s">
        <v>16</v>
      </c>
      <c r="O111" t="s">
        <v>17</v>
      </c>
      <c r="P111" t="s">
        <v>85</v>
      </c>
      <c r="Q111" t="s">
        <v>23</v>
      </c>
      <c r="R111" t="s">
        <v>16</v>
      </c>
      <c r="S111" t="s">
        <v>92</v>
      </c>
      <c r="T111" t="s">
        <v>29</v>
      </c>
      <c r="U111" t="s">
        <v>134</v>
      </c>
      <c r="V111" t="s">
        <v>16</v>
      </c>
      <c r="W111" t="s">
        <v>19</v>
      </c>
      <c r="X111" t="s">
        <v>15</v>
      </c>
      <c r="Y111">
        <v>4.5500001907348597</v>
      </c>
      <c r="Z111">
        <v>2.4500000476837198</v>
      </c>
      <c r="AA111">
        <v>1.28999996185303</v>
      </c>
      <c r="AB111">
        <v>1.0099999904632599</v>
      </c>
      <c r="AC111">
        <v>189.64932250976599</v>
      </c>
      <c r="AD111">
        <v>114</v>
      </c>
      <c r="AE111">
        <v>1.0599999427795399</v>
      </c>
      <c r="AF111">
        <v>32</v>
      </c>
      <c r="AG111">
        <v>75.5</v>
      </c>
      <c r="AH111">
        <v>6</v>
      </c>
      <c r="AI111">
        <v>4</v>
      </c>
      <c r="AJ111">
        <v>18.879999160766602</v>
      </c>
      <c r="AK111">
        <v>7</v>
      </c>
      <c r="AL111">
        <v>10</v>
      </c>
      <c r="AM111">
        <v>7.5500001907348597</v>
      </c>
      <c r="AN111" t="s">
        <v>261</v>
      </c>
      <c r="AO111">
        <v>57</v>
      </c>
      <c r="AP111">
        <v>19.723183391003499</v>
      </c>
      <c r="AQ111" s="1">
        <v>41103</v>
      </c>
      <c r="AR111" s="1">
        <v>42821</v>
      </c>
      <c r="AS111" s="1">
        <v>41103</v>
      </c>
      <c r="AT111" s="1">
        <v>42821</v>
      </c>
      <c r="AU111" s="1">
        <v>41103</v>
      </c>
      <c r="AV111" s="1"/>
      <c r="AW111" s="1">
        <v>41115</v>
      </c>
      <c r="AX111" s="1" t="s">
        <v>16</v>
      </c>
      <c r="AY111" t="s">
        <v>21</v>
      </c>
      <c r="AZ111">
        <v>120</v>
      </c>
      <c r="BA111">
        <v>57</v>
      </c>
      <c r="BB111">
        <v>1</v>
      </c>
      <c r="BC111">
        <f>(140-D111)*AO111/(72*BI111)</f>
        <v>11.740819209039573</v>
      </c>
      <c r="BD111">
        <v>136</v>
      </c>
      <c r="BE111">
        <v>4.4000000000000004</v>
      </c>
      <c r="BF111">
        <v>3.3999999999999901</v>
      </c>
      <c r="BG111">
        <v>12.4</v>
      </c>
      <c r="BH111">
        <v>167</v>
      </c>
      <c r="BI111">
        <v>4.71999999999999</v>
      </c>
      <c r="BJ111">
        <v>8.9</v>
      </c>
      <c r="BK111">
        <v>3.7999999999999901</v>
      </c>
      <c r="BL111">
        <v>6.5999999999999899</v>
      </c>
      <c r="BM111">
        <v>0.58999999999999897</v>
      </c>
      <c r="BN111">
        <v>5.0999999999999899</v>
      </c>
    </row>
    <row r="112" spans="1:66" x14ac:dyDescent="0.3">
      <c r="A112">
        <v>111</v>
      </c>
      <c r="B112" t="s">
        <v>430</v>
      </c>
      <c r="C112" s="2" t="s">
        <v>448</v>
      </c>
      <c r="D112">
        <v>80</v>
      </c>
      <c r="E112" s="1">
        <v>42786</v>
      </c>
      <c r="F112" s="1">
        <v>42751</v>
      </c>
      <c r="G112" s="1">
        <v>42738.369085648148</v>
      </c>
      <c r="H112" t="s">
        <v>15</v>
      </c>
      <c r="I112" t="s">
        <v>78</v>
      </c>
      <c r="J112" t="s">
        <v>28</v>
      </c>
      <c r="K112" t="s">
        <v>16</v>
      </c>
      <c r="L112">
        <v>38</v>
      </c>
      <c r="M112" t="s">
        <v>17</v>
      </c>
      <c r="N112" t="s">
        <v>35</v>
      </c>
      <c r="O112" t="s">
        <v>25</v>
      </c>
      <c r="P112" t="s">
        <v>75</v>
      </c>
      <c r="Q112" t="s">
        <v>16</v>
      </c>
      <c r="R112" t="s">
        <v>16</v>
      </c>
      <c r="S112" t="s">
        <v>16</v>
      </c>
      <c r="T112" t="s">
        <v>26</v>
      </c>
      <c r="U112" t="s">
        <v>16</v>
      </c>
      <c r="V112" t="s">
        <v>16</v>
      </c>
      <c r="W112" t="s">
        <v>34</v>
      </c>
      <c r="X112" t="s">
        <v>16</v>
      </c>
      <c r="Y112">
        <v>4.8299999237060502</v>
      </c>
      <c r="Z112">
        <v>3.1900000572204599</v>
      </c>
      <c r="AA112">
        <v>1.3200000524520901</v>
      </c>
      <c r="AB112">
        <v>1.29999995231628</v>
      </c>
      <c r="AC112">
        <v>250.87811279296901</v>
      </c>
      <c r="AD112" t="s">
        <v>16</v>
      </c>
      <c r="AE112">
        <v>2</v>
      </c>
      <c r="AF112" t="s">
        <v>16</v>
      </c>
      <c r="AG112">
        <v>60.299999237060497</v>
      </c>
      <c r="AH112">
        <v>3.5799999237060498</v>
      </c>
      <c r="AI112">
        <v>3.4300000667571999</v>
      </c>
      <c r="AJ112">
        <v>17.579999923706101</v>
      </c>
      <c r="AK112">
        <v>6.0900001525878897</v>
      </c>
      <c r="AL112">
        <v>5.2199997901916504</v>
      </c>
      <c r="AM112">
        <v>11.550000190734901</v>
      </c>
      <c r="AN112" t="s">
        <v>262</v>
      </c>
      <c r="AO112">
        <v>100</v>
      </c>
      <c r="AP112">
        <v>34.602076124567503</v>
      </c>
      <c r="AQ112" s="1">
        <v>42738</v>
      </c>
      <c r="AR112" s="1">
        <v>42738</v>
      </c>
      <c r="AS112" s="1">
        <v>41135</v>
      </c>
      <c r="AT112" s="1">
        <v>42738</v>
      </c>
      <c r="AU112" s="1">
        <v>39864</v>
      </c>
      <c r="AV112" s="1">
        <v>39864.541012881942</v>
      </c>
      <c r="AW112" s="1" t="s">
        <v>16</v>
      </c>
      <c r="AX112" s="1" t="s">
        <v>16</v>
      </c>
      <c r="AY112" t="s">
        <v>16</v>
      </c>
      <c r="AZ112">
        <v>93</v>
      </c>
      <c r="BA112">
        <v>57</v>
      </c>
      <c r="BB112">
        <v>0</v>
      </c>
      <c r="BC112">
        <f>(140-D112)*AO112/(72*BI112)</f>
        <v>15.124016938898999</v>
      </c>
      <c r="BD112">
        <v>134.5</v>
      </c>
      <c r="BE112">
        <v>4.6699999999999902</v>
      </c>
      <c r="BF112">
        <v>2</v>
      </c>
      <c r="BG112">
        <v>9</v>
      </c>
      <c r="BH112">
        <v>139</v>
      </c>
      <c r="BI112">
        <v>5.50999999999999</v>
      </c>
      <c r="BJ112">
        <v>7.7</v>
      </c>
      <c r="BK112">
        <v>3.3999999999999901</v>
      </c>
      <c r="BL112">
        <v>5.7999999999999901</v>
      </c>
      <c r="BM112">
        <v>129.44999999999899</v>
      </c>
      <c r="BN112">
        <v>6.7999999999999901</v>
      </c>
    </row>
    <row r="113" spans="1:66" x14ac:dyDescent="0.3">
      <c r="A113">
        <v>112</v>
      </c>
      <c r="B113" t="s">
        <v>434</v>
      </c>
      <c r="C113" s="2" t="s">
        <v>448</v>
      </c>
      <c r="D113">
        <v>69</v>
      </c>
      <c r="E113" s="1">
        <v>40956</v>
      </c>
      <c r="F113" s="1">
        <v>40391</v>
      </c>
      <c r="G113" s="1">
        <v>40375.569907407407</v>
      </c>
      <c r="H113" t="s">
        <v>17</v>
      </c>
      <c r="I113" t="s">
        <v>78</v>
      </c>
      <c r="J113" t="s">
        <v>35</v>
      </c>
      <c r="K113" t="s">
        <v>16</v>
      </c>
      <c r="L113">
        <v>15</v>
      </c>
      <c r="M113" t="s">
        <v>17</v>
      </c>
      <c r="N113" t="s">
        <v>35</v>
      </c>
      <c r="O113" t="s">
        <v>17</v>
      </c>
      <c r="P113" t="s">
        <v>75</v>
      </c>
      <c r="Q113" t="s">
        <v>18</v>
      </c>
      <c r="R113" t="s">
        <v>16</v>
      </c>
      <c r="S113" t="s">
        <v>16</v>
      </c>
      <c r="T113" t="s">
        <v>38</v>
      </c>
      <c r="U113" t="s">
        <v>186</v>
      </c>
      <c r="V113" t="s">
        <v>16</v>
      </c>
      <c r="W113" t="s">
        <v>34</v>
      </c>
      <c r="X113" t="s">
        <v>87</v>
      </c>
      <c r="Y113">
        <v>4.9000000953674299</v>
      </c>
      <c r="Z113">
        <v>4.1999998092651403</v>
      </c>
      <c r="AA113">
        <v>1.20000004768372</v>
      </c>
      <c r="AB113">
        <v>1.1000000238418599</v>
      </c>
      <c r="AC113">
        <v>213</v>
      </c>
      <c r="AD113">
        <v>114</v>
      </c>
      <c r="AE113">
        <v>2</v>
      </c>
      <c r="AF113">
        <v>48</v>
      </c>
      <c r="AG113">
        <v>65</v>
      </c>
      <c r="AH113">
        <v>4</v>
      </c>
      <c r="AI113">
        <v>3</v>
      </c>
      <c r="AJ113">
        <v>21.670000076293899</v>
      </c>
      <c r="AK113">
        <v>6</v>
      </c>
      <c r="AL113">
        <v>3</v>
      </c>
      <c r="AM113">
        <v>21.670000076293899</v>
      </c>
      <c r="AN113" t="s">
        <v>263</v>
      </c>
      <c r="AO113" t="s">
        <v>16</v>
      </c>
      <c r="AP113" t="s">
        <v>16</v>
      </c>
      <c r="AQ113" s="1" t="s">
        <v>16</v>
      </c>
      <c r="AR113" s="1" t="s">
        <v>16</v>
      </c>
      <c r="AS113" s="1" t="s">
        <v>16</v>
      </c>
      <c r="AT113" s="1" t="s">
        <v>16</v>
      </c>
      <c r="AU113" s="1" t="s">
        <v>16</v>
      </c>
      <c r="AV113" s="1"/>
      <c r="AW113" s="1" t="s">
        <v>16</v>
      </c>
      <c r="AX113" s="1" t="s">
        <v>16</v>
      </c>
      <c r="AY113" t="s">
        <v>16</v>
      </c>
      <c r="AZ113">
        <v>117</v>
      </c>
      <c r="BA113">
        <v>72</v>
      </c>
      <c r="BB113">
        <v>1</v>
      </c>
      <c r="BC113">
        <v>28.3</v>
      </c>
      <c r="BD113">
        <v>134</v>
      </c>
      <c r="BE113">
        <v>3.3999999999999901</v>
      </c>
      <c r="BF113">
        <v>3.5</v>
      </c>
      <c r="BG113">
        <v>14.9</v>
      </c>
      <c r="BH113">
        <v>165</v>
      </c>
      <c r="BI113">
        <v>2.2999999999999901</v>
      </c>
      <c r="BJ113">
        <v>9.0999999999999908</v>
      </c>
      <c r="BK113">
        <v>3.8999999999999901</v>
      </c>
      <c r="BL113">
        <v>14.6</v>
      </c>
      <c r="BM113">
        <v>5</v>
      </c>
    </row>
    <row r="114" spans="1:66" x14ac:dyDescent="0.3">
      <c r="A114">
        <v>113</v>
      </c>
      <c r="B114" t="s">
        <v>430</v>
      </c>
      <c r="C114" s="2" t="s">
        <v>448</v>
      </c>
      <c r="D114">
        <v>66</v>
      </c>
      <c r="E114" s="1">
        <v>43884</v>
      </c>
      <c r="F114" s="1">
        <v>41630</v>
      </c>
      <c r="G114" s="1">
        <v>41631.338784722226</v>
      </c>
      <c r="H114" t="s">
        <v>15</v>
      </c>
      <c r="I114" t="s">
        <v>15</v>
      </c>
      <c r="J114" t="s">
        <v>15</v>
      </c>
      <c r="K114" t="s">
        <v>16</v>
      </c>
      <c r="L114">
        <v>65</v>
      </c>
      <c r="M114" t="s">
        <v>16</v>
      </c>
      <c r="N114" t="s">
        <v>16</v>
      </c>
      <c r="O114" t="s">
        <v>17</v>
      </c>
      <c r="P114" t="s">
        <v>75</v>
      </c>
      <c r="Q114" t="s">
        <v>18</v>
      </c>
      <c r="R114" t="s">
        <v>146</v>
      </c>
      <c r="S114" t="s">
        <v>75</v>
      </c>
      <c r="T114" t="s">
        <v>19</v>
      </c>
      <c r="U114" t="s">
        <v>16</v>
      </c>
      <c r="V114" t="s">
        <v>16</v>
      </c>
      <c r="W114" t="s">
        <v>29</v>
      </c>
      <c r="X114" t="s">
        <v>90</v>
      </c>
      <c r="Y114">
        <v>5.3000001907348597</v>
      </c>
      <c r="Z114">
        <v>2.7000000476837198</v>
      </c>
      <c r="AA114">
        <v>1.1000000238418599</v>
      </c>
      <c r="AB114">
        <v>0.80000001192092896</v>
      </c>
      <c r="AC114">
        <v>187.27667236328099</v>
      </c>
      <c r="AD114">
        <v>98</v>
      </c>
      <c r="AE114">
        <v>1</v>
      </c>
      <c r="AF114">
        <v>65</v>
      </c>
      <c r="AG114">
        <v>124</v>
      </c>
      <c r="AH114">
        <v>6.7699999809265101</v>
      </c>
      <c r="AI114">
        <v>5.4299998283386204</v>
      </c>
      <c r="AJ114">
        <v>22.840000152587901</v>
      </c>
      <c r="AK114">
        <v>8.6899995803833008</v>
      </c>
      <c r="AL114">
        <v>5.7600002288818404</v>
      </c>
      <c r="AM114">
        <v>21.530000686645501</v>
      </c>
      <c r="AN114" t="s">
        <v>265</v>
      </c>
      <c r="AO114" t="s">
        <v>16</v>
      </c>
      <c r="AP114" t="s">
        <v>16</v>
      </c>
      <c r="AQ114" s="1">
        <v>42337</v>
      </c>
      <c r="AR114" s="1" t="s">
        <v>16</v>
      </c>
      <c r="AS114" s="1">
        <v>42337</v>
      </c>
      <c r="AT114" s="1">
        <v>42337</v>
      </c>
      <c r="AU114" s="1">
        <v>40934</v>
      </c>
      <c r="AV114" s="1"/>
      <c r="AW114" s="1">
        <v>41644</v>
      </c>
      <c r="AX114" s="1" t="s">
        <v>16</v>
      </c>
      <c r="AY114" t="s">
        <v>16</v>
      </c>
      <c r="AZ114">
        <v>160</v>
      </c>
      <c r="BA114">
        <v>77</v>
      </c>
      <c r="BB114">
        <v>0</v>
      </c>
      <c r="BC114">
        <v>8.5</v>
      </c>
      <c r="BD114">
        <v>143</v>
      </c>
      <c r="BE114">
        <v>4.2</v>
      </c>
      <c r="BF114">
        <v>3</v>
      </c>
      <c r="BG114">
        <v>7.5</v>
      </c>
      <c r="BH114">
        <v>194</v>
      </c>
      <c r="BI114">
        <v>6.5999999999999899</v>
      </c>
      <c r="BJ114">
        <v>7.5</v>
      </c>
      <c r="BK114">
        <v>7.4</v>
      </c>
      <c r="BL114">
        <v>10.1</v>
      </c>
      <c r="BM114">
        <v>39.68</v>
      </c>
      <c r="BN114">
        <v>4.9000000000000004</v>
      </c>
    </row>
    <row r="115" spans="1:66" x14ac:dyDescent="0.3">
      <c r="A115">
        <v>114</v>
      </c>
      <c r="B115" t="s">
        <v>430</v>
      </c>
      <c r="C115" s="2" t="s">
        <v>448</v>
      </c>
      <c r="D115">
        <v>79</v>
      </c>
      <c r="E115" s="1">
        <v>43764</v>
      </c>
      <c r="F115" s="1">
        <v>43287</v>
      </c>
      <c r="G115" s="1">
        <v>43331.6716087963</v>
      </c>
      <c r="H115" t="s">
        <v>16</v>
      </c>
      <c r="I115" t="s">
        <v>16</v>
      </c>
      <c r="J115" t="s">
        <v>16</v>
      </c>
      <c r="K115" t="s">
        <v>16</v>
      </c>
      <c r="L115" t="s">
        <v>16</v>
      </c>
      <c r="M115" t="s">
        <v>16</v>
      </c>
      <c r="N115" t="s">
        <v>16</v>
      </c>
      <c r="O115" t="s">
        <v>16</v>
      </c>
      <c r="P115" t="s">
        <v>16</v>
      </c>
      <c r="Q115" t="s">
        <v>16</v>
      </c>
      <c r="R115" t="s">
        <v>16</v>
      </c>
      <c r="S115" t="s">
        <v>16</v>
      </c>
      <c r="T115" t="s">
        <v>16</v>
      </c>
      <c r="U115" t="s">
        <v>16</v>
      </c>
      <c r="V115" t="s">
        <v>16</v>
      </c>
      <c r="W115" t="s">
        <v>16</v>
      </c>
      <c r="X115" t="s">
        <v>16</v>
      </c>
      <c r="Y115" t="s">
        <v>16</v>
      </c>
      <c r="Z115" t="s">
        <v>16</v>
      </c>
      <c r="AA115" t="s">
        <v>16</v>
      </c>
      <c r="AB115" t="s">
        <v>16</v>
      </c>
      <c r="AC115" t="s">
        <v>16</v>
      </c>
      <c r="AD115" t="s">
        <v>16</v>
      </c>
      <c r="AE115" t="s">
        <v>16</v>
      </c>
      <c r="AF115" t="s">
        <v>16</v>
      </c>
      <c r="AG115" t="s">
        <v>16</v>
      </c>
      <c r="AH115" t="s">
        <v>16</v>
      </c>
      <c r="AI115" t="s">
        <v>16</v>
      </c>
      <c r="AJ115" t="s">
        <v>16</v>
      </c>
      <c r="AK115" t="s">
        <v>16</v>
      </c>
      <c r="AL115" t="s">
        <v>16</v>
      </c>
      <c r="AM115" t="s">
        <v>16</v>
      </c>
      <c r="AN115" t="s">
        <v>267</v>
      </c>
      <c r="AO115">
        <v>85</v>
      </c>
      <c r="AP115">
        <v>36.310820624546103</v>
      </c>
      <c r="AQ115" s="1" t="s">
        <v>16</v>
      </c>
      <c r="AR115" s="1">
        <v>40790</v>
      </c>
      <c r="AS115" s="1" t="s">
        <v>16</v>
      </c>
      <c r="AT115" s="1">
        <v>43331</v>
      </c>
      <c r="AU115" s="1">
        <v>40974</v>
      </c>
      <c r="AV115" s="1"/>
      <c r="AW115" s="1">
        <v>40974</v>
      </c>
      <c r="AX115" s="1" t="s">
        <v>16</v>
      </c>
      <c r="AY115" t="s">
        <v>16</v>
      </c>
      <c r="AZ115">
        <v>150</v>
      </c>
      <c r="BA115">
        <v>65</v>
      </c>
      <c r="BB115">
        <v>0</v>
      </c>
      <c r="BC115">
        <f>(140-D115)*AO115/(72*BI115)</f>
        <v>33.651349948078916</v>
      </c>
      <c r="BD115">
        <v>134</v>
      </c>
      <c r="BE115">
        <v>4</v>
      </c>
      <c r="BF115">
        <v>3.3999999999999901</v>
      </c>
      <c r="BH115">
        <v>105</v>
      </c>
      <c r="BI115">
        <v>2.14</v>
      </c>
      <c r="BJ115">
        <v>8.9</v>
      </c>
      <c r="BK115">
        <v>5</v>
      </c>
      <c r="BL115">
        <v>4.4000000000000004</v>
      </c>
      <c r="BM115">
        <v>11.02</v>
      </c>
      <c r="BN115">
        <v>5.2</v>
      </c>
    </row>
    <row r="116" spans="1:66" s="2" customFormat="1" x14ac:dyDescent="0.3">
      <c r="A116">
        <v>115</v>
      </c>
      <c r="B116" s="2" t="s">
        <v>430</v>
      </c>
      <c r="C116" s="2" t="s">
        <v>448</v>
      </c>
      <c r="D116" s="2">
        <v>85</v>
      </c>
      <c r="E116" s="3">
        <v>42653</v>
      </c>
      <c r="F116" s="3">
        <v>42649</v>
      </c>
      <c r="G116" s="3">
        <v>42463.347500000003</v>
      </c>
      <c r="H116" s="2" t="s">
        <v>15</v>
      </c>
      <c r="I116" s="2" t="s">
        <v>87</v>
      </c>
      <c r="J116" s="2" t="s">
        <v>14</v>
      </c>
      <c r="K116" s="2" t="s">
        <v>268</v>
      </c>
      <c r="L116" s="2">
        <v>45</v>
      </c>
      <c r="M116" s="2" t="s">
        <v>15</v>
      </c>
      <c r="N116" s="2" t="s">
        <v>15</v>
      </c>
      <c r="O116" s="2" t="s">
        <v>17</v>
      </c>
      <c r="P116" s="2" t="s">
        <v>75</v>
      </c>
      <c r="Q116" s="2" t="s">
        <v>23</v>
      </c>
      <c r="R116" s="2" t="s">
        <v>76</v>
      </c>
      <c r="S116" s="2" t="s">
        <v>75</v>
      </c>
      <c r="T116" s="2" t="s">
        <v>23</v>
      </c>
      <c r="U116" s="2" t="s">
        <v>16</v>
      </c>
      <c r="V116" s="2" t="s">
        <v>16</v>
      </c>
      <c r="W116" s="2" t="s">
        <v>19</v>
      </c>
      <c r="X116" s="2" t="s">
        <v>87</v>
      </c>
      <c r="Y116" s="2">
        <v>4.9299998283386204</v>
      </c>
      <c r="Z116" s="2">
        <v>3.5999999046325701</v>
      </c>
      <c r="AA116" s="2">
        <v>1.5599999427795399</v>
      </c>
      <c r="AB116" s="2">
        <v>1.1399999856948899</v>
      </c>
      <c r="AC116" s="2">
        <v>270.47732543945301</v>
      </c>
      <c r="AD116" s="2">
        <v>149</v>
      </c>
      <c r="AE116" s="2">
        <v>1</v>
      </c>
      <c r="AF116" s="2">
        <v>56</v>
      </c>
      <c r="AG116" s="2">
        <v>119</v>
      </c>
      <c r="AH116" s="2">
        <v>5.8200001716613796</v>
      </c>
      <c r="AI116" s="2">
        <v>4.96000003814697</v>
      </c>
      <c r="AJ116" s="2">
        <v>23.9899997711182</v>
      </c>
      <c r="AK116" s="2">
        <v>7.5999999046325701</v>
      </c>
      <c r="AL116" s="2">
        <v>6.4899997711181596</v>
      </c>
      <c r="AM116" s="2">
        <v>18.340000152587901</v>
      </c>
      <c r="AN116" s="2" t="s">
        <v>269</v>
      </c>
      <c r="AO116" s="2">
        <v>73.599999999999994</v>
      </c>
      <c r="AP116" s="2">
        <v>25.769405833129099</v>
      </c>
      <c r="AQ116" s="3">
        <v>42401</v>
      </c>
      <c r="AR116" s="3" t="s">
        <v>16</v>
      </c>
      <c r="AS116" s="3">
        <v>42507</v>
      </c>
      <c r="AT116" s="3">
        <v>42509</v>
      </c>
      <c r="AU116" s="3">
        <v>42507</v>
      </c>
      <c r="AV116" s="3"/>
      <c r="AW116" s="3">
        <v>42507</v>
      </c>
      <c r="AX116" s="3" t="s">
        <v>16</v>
      </c>
      <c r="AY116" s="2" t="s">
        <v>21</v>
      </c>
      <c r="AZ116" s="2">
        <v>166</v>
      </c>
      <c r="BA116" s="2">
        <v>75</v>
      </c>
      <c r="BB116" s="2">
        <v>0</v>
      </c>
      <c r="BC116">
        <f>(140-D116)*AO116/(72*BI116)</f>
        <v>8.8122605363984796</v>
      </c>
      <c r="BD116" s="2">
        <v>136</v>
      </c>
      <c r="BE116" s="2">
        <v>4.2999999999999901</v>
      </c>
      <c r="BF116" s="2">
        <v>2.5</v>
      </c>
      <c r="BG116" s="2">
        <v>7.5999999999999899</v>
      </c>
      <c r="BH116" s="2">
        <v>329</v>
      </c>
      <c r="BI116" s="2">
        <v>6.3799999999999901</v>
      </c>
      <c r="BJ116" s="2">
        <v>8.5</v>
      </c>
      <c r="BK116" s="2">
        <v>8.4</v>
      </c>
      <c r="BL116" s="2">
        <v>7.9</v>
      </c>
      <c r="BM116" s="2">
        <v>24.02</v>
      </c>
      <c r="BN116" s="2">
        <v>5.2</v>
      </c>
    </row>
    <row r="117" spans="1:66" x14ac:dyDescent="0.3">
      <c r="A117">
        <v>116</v>
      </c>
      <c r="B117" t="s">
        <v>430</v>
      </c>
      <c r="C117" s="2" t="s">
        <v>449</v>
      </c>
      <c r="D117">
        <v>83</v>
      </c>
      <c r="E117" s="1">
        <v>42997</v>
      </c>
      <c r="F117" s="1">
        <v>42408</v>
      </c>
      <c r="G117" s="1">
        <v>42312.381481481483</v>
      </c>
      <c r="H117" t="s">
        <v>15</v>
      </c>
      <c r="I117" t="s">
        <v>15</v>
      </c>
      <c r="J117" t="s">
        <v>28</v>
      </c>
      <c r="K117" t="s">
        <v>16</v>
      </c>
      <c r="L117">
        <v>35</v>
      </c>
      <c r="M117" t="s">
        <v>15</v>
      </c>
      <c r="N117" t="s">
        <v>15</v>
      </c>
      <c r="O117" t="s">
        <v>25</v>
      </c>
      <c r="P117" t="s">
        <v>75</v>
      </c>
      <c r="Q117" t="s">
        <v>18</v>
      </c>
      <c r="R117" t="s">
        <v>16</v>
      </c>
      <c r="S117" t="s">
        <v>92</v>
      </c>
      <c r="T117" t="s">
        <v>23</v>
      </c>
      <c r="U117" t="s">
        <v>16</v>
      </c>
      <c r="V117" t="s">
        <v>16</v>
      </c>
      <c r="W117" t="s">
        <v>29</v>
      </c>
      <c r="X117" t="s">
        <v>90</v>
      </c>
      <c r="Y117">
        <v>4.6999998092651403</v>
      </c>
      <c r="Z117">
        <v>3.9000000953674299</v>
      </c>
      <c r="AA117">
        <v>0.99000000953674305</v>
      </c>
      <c r="AB117">
        <v>1</v>
      </c>
      <c r="AC117">
        <v>163.33529663085901</v>
      </c>
      <c r="AD117">
        <v>105</v>
      </c>
      <c r="AE117">
        <v>2</v>
      </c>
      <c r="AF117">
        <v>63</v>
      </c>
      <c r="AG117">
        <v>118</v>
      </c>
      <c r="AH117">
        <v>5</v>
      </c>
      <c r="AI117">
        <v>4</v>
      </c>
      <c r="AJ117">
        <v>29.5</v>
      </c>
      <c r="AK117">
        <v>6</v>
      </c>
      <c r="AL117">
        <v>7</v>
      </c>
      <c r="AM117">
        <v>16.860000610351602</v>
      </c>
      <c r="AN117" t="s">
        <v>270</v>
      </c>
      <c r="AO117">
        <v>59</v>
      </c>
      <c r="AP117">
        <v>23.046875</v>
      </c>
      <c r="AQ117" s="1">
        <v>42313</v>
      </c>
      <c r="AR117" s="1" t="s">
        <v>16</v>
      </c>
      <c r="AS117" s="1">
        <v>42547</v>
      </c>
      <c r="AT117" s="1">
        <v>42465</v>
      </c>
      <c r="AU117" s="1" t="s">
        <v>16</v>
      </c>
      <c r="AV117" s="1"/>
      <c r="AW117" s="1" t="s">
        <v>16</v>
      </c>
      <c r="AX117" s="1" t="s">
        <v>16</v>
      </c>
      <c r="AY117" t="s">
        <v>16</v>
      </c>
      <c r="AZ117">
        <v>137</v>
      </c>
      <c r="BA117">
        <v>60</v>
      </c>
      <c r="BB117">
        <v>2</v>
      </c>
      <c r="BC117">
        <f>(140-D117)*AO117/(72*BI117)</f>
        <v>5.6753746456055074</v>
      </c>
      <c r="BD117">
        <v>136</v>
      </c>
      <c r="BE117">
        <v>4.7</v>
      </c>
      <c r="BF117">
        <v>2.6</v>
      </c>
      <c r="BG117">
        <v>8.6999999999999904</v>
      </c>
      <c r="BH117">
        <v>318</v>
      </c>
      <c r="BI117">
        <v>8.23</v>
      </c>
      <c r="BJ117">
        <v>7.7999999999999901</v>
      </c>
      <c r="BK117">
        <v>9.1999999999999904</v>
      </c>
      <c r="BL117">
        <v>9.5</v>
      </c>
      <c r="BM117">
        <v>135.13999999999899</v>
      </c>
    </row>
    <row r="118" spans="1:66" x14ac:dyDescent="0.3">
      <c r="A118">
        <v>117</v>
      </c>
      <c r="B118" t="s">
        <v>430</v>
      </c>
      <c r="C118" s="2" t="s">
        <v>449</v>
      </c>
      <c r="D118">
        <v>70</v>
      </c>
      <c r="E118" s="1">
        <v>42103</v>
      </c>
      <c r="F118" s="1">
        <v>41824</v>
      </c>
      <c r="G118" s="1">
        <v>41819.445856481485</v>
      </c>
      <c r="H118" t="s">
        <v>15</v>
      </c>
      <c r="I118" t="s">
        <v>78</v>
      </c>
      <c r="J118" t="s">
        <v>15</v>
      </c>
      <c r="K118" t="s">
        <v>198</v>
      </c>
      <c r="L118">
        <v>60</v>
      </c>
      <c r="M118" t="s">
        <v>15</v>
      </c>
      <c r="N118" t="s">
        <v>15</v>
      </c>
      <c r="O118" t="s">
        <v>17</v>
      </c>
      <c r="P118" t="s">
        <v>16</v>
      </c>
      <c r="Q118" t="s">
        <v>16</v>
      </c>
      <c r="R118" t="s">
        <v>16</v>
      </c>
      <c r="S118" t="s">
        <v>16</v>
      </c>
      <c r="T118" t="s">
        <v>19</v>
      </c>
      <c r="U118" t="s">
        <v>16</v>
      </c>
      <c r="V118" t="s">
        <v>16</v>
      </c>
      <c r="W118" t="s">
        <v>23</v>
      </c>
      <c r="X118" t="s">
        <v>87</v>
      </c>
      <c r="Y118">
        <v>4.3400001525878897</v>
      </c>
      <c r="Z118">
        <v>2.9200000762939502</v>
      </c>
      <c r="AA118">
        <v>1.3500000238418599</v>
      </c>
      <c r="AB118">
        <v>0.980000019073486</v>
      </c>
      <c r="AC118">
        <v>179.47538757324199</v>
      </c>
      <c r="AD118">
        <v>87</v>
      </c>
      <c r="AE118">
        <v>1</v>
      </c>
      <c r="AF118">
        <v>52</v>
      </c>
      <c r="AG118">
        <v>88.879997253417997</v>
      </c>
      <c r="AH118">
        <v>5</v>
      </c>
      <c r="AI118">
        <v>5</v>
      </c>
      <c r="AJ118">
        <v>17.780000686645501</v>
      </c>
      <c r="AK118">
        <v>8</v>
      </c>
      <c r="AL118">
        <v>8</v>
      </c>
      <c r="AM118">
        <v>11.1099996566772</v>
      </c>
      <c r="AN118" t="s">
        <v>271</v>
      </c>
      <c r="AO118" t="s">
        <v>16</v>
      </c>
      <c r="AP118" t="s">
        <v>16</v>
      </c>
      <c r="AQ118" s="1" t="s">
        <v>16</v>
      </c>
      <c r="AR118" s="1" t="s">
        <v>16</v>
      </c>
      <c r="AS118" s="1" t="s">
        <v>16</v>
      </c>
      <c r="AT118" s="1">
        <v>41919</v>
      </c>
      <c r="AU118" s="1">
        <v>40898</v>
      </c>
      <c r="AV118" s="1">
        <v>39882.521728900458</v>
      </c>
      <c r="AW118" s="1">
        <v>40898</v>
      </c>
      <c r="AX118" s="1" t="s">
        <v>16</v>
      </c>
      <c r="AY118" t="s">
        <v>16</v>
      </c>
      <c r="AZ118">
        <v>149</v>
      </c>
      <c r="BA118">
        <v>69</v>
      </c>
      <c r="BB118">
        <v>5</v>
      </c>
      <c r="BC118">
        <v>7.6</v>
      </c>
      <c r="BD118">
        <v>128</v>
      </c>
      <c r="BE118">
        <v>4</v>
      </c>
      <c r="BF118">
        <v>2.2000000000000002</v>
      </c>
      <c r="BG118">
        <v>15</v>
      </c>
      <c r="BH118">
        <v>269</v>
      </c>
      <c r="BI118">
        <v>5.5499999999999901</v>
      </c>
      <c r="BJ118">
        <v>7.7999999999999901</v>
      </c>
      <c r="BK118">
        <v>5</v>
      </c>
      <c r="BL118">
        <v>6.7</v>
      </c>
      <c r="BM118">
        <v>190.91</v>
      </c>
      <c r="BN118">
        <v>7.5</v>
      </c>
    </row>
    <row r="119" spans="1:66" x14ac:dyDescent="0.3">
      <c r="A119">
        <v>118</v>
      </c>
      <c r="B119" t="s">
        <v>430</v>
      </c>
      <c r="C119" s="2" t="s">
        <v>449</v>
      </c>
      <c r="D119">
        <v>76</v>
      </c>
      <c r="E119" s="1">
        <v>42582</v>
      </c>
      <c r="F119" s="1">
        <v>42518</v>
      </c>
      <c r="G119" s="1">
        <v>42492.695497685185</v>
      </c>
      <c r="H119" t="s">
        <v>16</v>
      </c>
      <c r="I119" t="s">
        <v>16</v>
      </c>
      <c r="J119" t="s">
        <v>16</v>
      </c>
      <c r="K119" t="s">
        <v>74</v>
      </c>
      <c r="L119">
        <v>58</v>
      </c>
      <c r="M119" t="s">
        <v>79</v>
      </c>
      <c r="N119" t="s">
        <v>14</v>
      </c>
      <c r="O119" t="s">
        <v>25</v>
      </c>
      <c r="P119" t="s">
        <v>112</v>
      </c>
      <c r="Q119" t="s">
        <v>19</v>
      </c>
      <c r="R119" t="s">
        <v>16</v>
      </c>
      <c r="S119" t="s">
        <v>126</v>
      </c>
      <c r="T119" t="s">
        <v>16</v>
      </c>
      <c r="U119" t="s">
        <v>272</v>
      </c>
      <c r="V119" t="s">
        <v>16</v>
      </c>
      <c r="W119" t="s">
        <v>34</v>
      </c>
      <c r="X119" t="s">
        <v>87</v>
      </c>
      <c r="Y119">
        <v>4.6900000572204599</v>
      </c>
      <c r="Z119">
        <v>3.2200000286102299</v>
      </c>
      <c r="AA119">
        <v>0.75999999046325695</v>
      </c>
      <c r="AB119">
        <v>0.94999998807907104</v>
      </c>
      <c r="AC119">
        <v>132.87326049804699</v>
      </c>
      <c r="AD119">
        <v>78</v>
      </c>
      <c r="AE119">
        <v>1</v>
      </c>
      <c r="AF119">
        <v>50</v>
      </c>
      <c r="AG119">
        <v>203</v>
      </c>
      <c r="AH119" t="s">
        <v>16</v>
      </c>
      <c r="AI119" t="s">
        <v>16</v>
      </c>
      <c r="AJ119" t="s">
        <v>16</v>
      </c>
      <c r="AK119" t="s">
        <v>16</v>
      </c>
      <c r="AL119" t="s">
        <v>16</v>
      </c>
      <c r="AM119" t="s">
        <v>16</v>
      </c>
      <c r="AN119" t="s">
        <v>273</v>
      </c>
      <c r="AO119">
        <v>82</v>
      </c>
      <c r="AP119">
        <v>29.053287981859398</v>
      </c>
      <c r="AQ119" s="1" t="s">
        <v>16</v>
      </c>
      <c r="AR119" s="1" t="s">
        <v>16</v>
      </c>
      <c r="AS119" s="1" t="s">
        <v>16</v>
      </c>
      <c r="AT119" s="1">
        <v>42435</v>
      </c>
      <c r="AU119" s="1" t="s">
        <v>16</v>
      </c>
      <c r="AV119" s="1"/>
      <c r="AW119" s="1" t="s">
        <v>16</v>
      </c>
      <c r="AX119" s="1" t="s">
        <v>16</v>
      </c>
      <c r="AY119" t="s">
        <v>16</v>
      </c>
      <c r="AZ119">
        <v>98</v>
      </c>
      <c r="BA119">
        <v>49</v>
      </c>
      <c r="BB119">
        <v>4</v>
      </c>
      <c r="BC119">
        <f t="shared" ref="BC119:BC138" si="6">(140-D119)*AO119/(72*BI119)</f>
        <v>13.228473482556991</v>
      </c>
      <c r="BD119">
        <v>125</v>
      </c>
      <c r="BE119">
        <v>6.4</v>
      </c>
      <c r="BF119">
        <v>4.0999999999999899</v>
      </c>
      <c r="BG119">
        <v>10.1999999999999</v>
      </c>
      <c r="BH119">
        <v>289</v>
      </c>
      <c r="BI119">
        <v>5.50999999999999</v>
      </c>
      <c r="BJ119">
        <v>7.9</v>
      </c>
      <c r="BK119">
        <v>8.0999999999999908</v>
      </c>
      <c r="BL119">
        <v>15.8</v>
      </c>
      <c r="BM119">
        <v>43.2899999999999</v>
      </c>
    </row>
    <row r="120" spans="1:66" x14ac:dyDescent="0.3">
      <c r="A120">
        <v>119</v>
      </c>
      <c r="B120" t="s">
        <v>430</v>
      </c>
      <c r="C120" s="2" t="s">
        <v>449</v>
      </c>
      <c r="D120">
        <v>80</v>
      </c>
      <c r="E120" s="1">
        <v>43036</v>
      </c>
      <c r="F120" s="1">
        <v>42046</v>
      </c>
      <c r="G120" s="1">
        <v>42065.481354166666</v>
      </c>
      <c r="H120" t="s">
        <v>15</v>
      </c>
      <c r="I120" t="s">
        <v>78</v>
      </c>
      <c r="J120" t="s">
        <v>22</v>
      </c>
      <c r="K120" t="s">
        <v>16</v>
      </c>
      <c r="L120">
        <v>40</v>
      </c>
      <c r="M120" t="s">
        <v>15</v>
      </c>
      <c r="N120" t="s">
        <v>15</v>
      </c>
      <c r="O120" t="s">
        <v>17</v>
      </c>
      <c r="P120" t="s">
        <v>75</v>
      </c>
      <c r="Q120" t="s">
        <v>18</v>
      </c>
      <c r="R120" t="s">
        <v>16</v>
      </c>
      <c r="S120" t="s">
        <v>16</v>
      </c>
      <c r="T120" t="s">
        <v>23</v>
      </c>
      <c r="U120" t="s">
        <v>121</v>
      </c>
      <c r="V120" t="s">
        <v>16</v>
      </c>
      <c r="W120" t="s">
        <v>23</v>
      </c>
      <c r="X120" t="s">
        <v>87</v>
      </c>
      <c r="Y120">
        <v>4.8899998664856001</v>
      </c>
      <c r="Z120">
        <v>3.3800001144409202</v>
      </c>
      <c r="AA120">
        <v>1.2400000095367401</v>
      </c>
      <c r="AB120">
        <v>0.95999997854232799</v>
      </c>
      <c r="AC120">
        <v>199.83958435058599</v>
      </c>
      <c r="AD120">
        <v>127</v>
      </c>
      <c r="AE120">
        <v>2</v>
      </c>
      <c r="AF120">
        <v>57</v>
      </c>
      <c r="AG120">
        <v>138.63000488281301</v>
      </c>
      <c r="AH120">
        <v>3</v>
      </c>
      <c r="AI120">
        <v>5</v>
      </c>
      <c r="AJ120">
        <v>27.7299995422363</v>
      </c>
      <c r="AK120">
        <v>5</v>
      </c>
      <c r="AL120">
        <v>8</v>
      </c>
      <c r="AM120">
        <v>17.329999923706101</v>
      </c>
      <c r="AN120" t="s">
        <v>274</v>
      </c>
      <c r="AO120">
        <v>60</v>
      </c>
      <c r="AP120">
        <v>24.9739854318418</v>
      </c>
      <c r="AQ120" s="1">
        <v>42542</v>
      </c>
      <c r="AR120" s="1" t="s">
        <v>16</v>
      </c>
      <c r="AS120" s="1">
        <v>42541</v>
      </c>
      <c r="AT120" s="1">
        <v>42536</v>
      </c>
      <c r="AU120" s="1">
        <v>42078</v>
      </c>
      <c r="AV120" s="1"/>
      <c r="AW120" s="1">
        <v>42078</v>
      </c>
      <c r="AX120" s="1" t="s">
        <v>16</v>
      </c>
      <c r="AY120" t="s">
        <v>16</v>
      </c>
      <c r="AZ120">
        <v>154</v>
      </c>
      <c r="BA120">
        <v>52</v>
      </c>
      <c r="BB120">
        <v>1</v>
      </c>
      <c r="BC120">
        <f t="shared" si="6"/>
        <v>7.4074074074074074</v>
      </c>
      <c r="BD120">
        <v>128.4</v>
      </c>
      <c r="BE120">
        <v>6.5499999999999901</v>
      </c>
      <c r="BF120">
        <v>3.2999999999999901</v>
      </c>
      <c r="BG120">
        <v>9.0999999999999908</v>
      </c>
      <c r="BH120">
        <v>300</v>
      </c>
      <c r="BI120">
        <v>6.75</v>
      </c>
      <c r="BJ120">
        <v>7.5999999999999899</v>
      </c>
      <c r="BK120">
        <v>7.5</v>
      </c>
      <c r="BL120">
        <v>8.9</v>
      </c>
      <c r="BM120">
        <v>33.479999999999897</v>
      </c>
      <c r="BN120">
        <v>8.0999999999999908</v>
      </c>
    </row>
    <row r="121" spans="1:66" x14ac:dyDescent="0.3">
      <c r="A121">
        <v>120</v>
      </c>
      <c r="B121" t="s">
        <v>434</v>
      </c>
      <c r="C121" s="2" t="s">
        <v>448</v>
      </c>
      <c r="D121">
        <v>70</v>
      </c>
      <c r="E121" s="1">
        <v>44759</v>
      </c>
      <c r="F121" s="1">
        <v>44249</v>
      </c>
      <c r="G121" s="1">
        <v>44169.357557870368</v>
      </c>
      <c r="H121" t="s">
        <v>25</v>
      </c>
      <c r="I121" t="s">
        <v>78</v>
      </c>
      <c r="J121" t="s">
        <v>35</v>
      </c>
      <c r="K121" t="s">
        <v>16</v>
      </c>
      <c r="L121">
        <v>28</v>
      </c>
      <c r="M121" t="s">
        <v>16</v>
      </c>
      <c r="N121" t="s">
        <v>16</v>
      </c>
      <c r="O121" t="s">
        <v>17</v>
      </c>
      <c r="P121" t="s">
        <v>75</v>
      </c>
      <c r="Q121" t="s">
        <v>33</v>
      </c>
      <c r="R121" t="s">
        <v>16</v>
      </c>
      <c r="S121" t="s">
        <v>16</v>
      </c>
      <c r="T121" t="s">
        <v>19</v>
      </c>
      <c r="U121" t="s">
        <v>16</v>
      </c>
      <c r="V121" t="s">
        <v>16</v>
      </c>
      <c r="W121" t="s">
        <v>29</v>
      </c>
      <c r="X121" t="s">
        <v>90</v>
      </c>
      <c r="Y121">
        <v>6.2199997901916504</v>
      </c>
      <c r="Z121">
        <v>5.5900001525878897</v>
      </c>
      <c r="AA121">
        <v>1.1499999761581401</v>
      </c>
      <c r="AB121">
        <v>1.3099999427795399</v>
      </c>
      <c r="AC121">
        <v>344.49072265625</v>
      </c>
      <c r="AD121" t="s">
        <v>16</v>
      </c>
      <c r="AE121">
        <v>2</v>
      </c>
      <c r="AF121">
        <v>67</v>
      </c>
      <c r="AG121">
        <v>104</v>
      </c>
      <c r="AH121">
        <v>4.0999999046325701</v>
      </c>
      <c r="AI121">
        <v>3.5</v>
      </c>
      <c r="AJ121">
        <v>29.709999084472699</v>
      </c>
      <c r="AK121">
        <v>5.0700001716613796</v>
      </c>
      <c r="AL121">
        <v>6.8000001907348597</v>
      </c>
      <c r="AM121">
        <v>15.289999961853001</v>
      </c>
      <c r="AN121" t="s">
        <v>275</v>
      </c>
      <c r="AO121">
        <v>98.3</v>
      </c>
      <c r="AP121">
        <v>30.679441964982399</v>
      </c>
      <c r="AQ121" s="1" t="s">
        <v>16</v>
      </c>
      <c r="AR121" s="1" t="s">
        <v>16</v>
      </c>
      <c r="AS121" s="1">
        <v>44165</v>
      </c>
      <c r="AT121" s="1" t="s">
        <v>16</v>
      </c>
      <c r="AU121" s="1">
        <v>44165</v>
      </c>
      <c r="AV121" s="1">
        <v>44165.52886982639</v>
      </c>
      <c r="AW121" s="1">
        <v>44165</v>
      </c>
      <c r="AX121" s="1" t="s">
        <v>16</v>
      </c>
      <c r="AY121" t="s">
        <v>16</v>
      </c>
      <c r="AZ121">
        <v>144</v>
      </c>
      <c r="BA121">
        <v>74</v>
      </c>
      <c r="BB121">
        <v>2</v>
      </c>
      <c r="BC121">
        <f t="shared" si="6"/>
        <v>20.162330051570557</v>
      </c>
      <c r="BD121">
        <v>141</v>
      </c>
      <c r="BE121">
        <v>4.4000000000000004</v>
      </c>
      <c r="BF121">
        <v>3</v>
      </c>
      <c r="BG121">
        <v>12.1</v>
      </c>
      <c r="BH121">
        <v>146</v>
      </c>
      <c r="BI121">
        <v>4.74</v>
      </c>
      <c r="BJ121">
        <v>7.7</v>
      </c>
      <c r="BK121">
        <v>5.7999999999999901</v>
      </c>
      <c r="BL121">
        <v>8.8000000000000007</v>
      </c>
      <c r="BM121">
        <v>53.719999999999899</v>
      </c>
      <c r="BN121">
        <v>6.2</v>
      </c>
    </row>
    <row r="122" spans="1:66" x14ac:dyDescent="0.3">
      <c r="A122">
        <v>121</v>
      </c>
      <c r="B122" t="s">
        <v>430</v>
      </c>
      <c r="C122" s="2" t="s">
        <v>449</v>
      </c>
      <c r="D122">
        <v>72</v>
      </c>
      <c r="E122" s="1">
        <v>44731</v>
      </c>
      <c r="F122" s="1">
        <v>44678</v>
      </c>
      <c r="G122" s="1">
        <v>44670.488634259258</v>
      </c>
      <c r="H122" t="s">
        <v>15</v>
      </c>
      <c r="I122" t="s">
        <v>15</v>
      </c>
      <c r="J122" t="s">
        <v>15</v>
      </c>
      <c r="K122" t="s">
        <v>16</v>
      </c>
      <c r="L122">
        <v>60</v>
      </c>
      <c r="M122" t="s">
        <v>16</v>
      </c>
      <c r="N122" t="s">
        <v>16</v>
      </c>
      <c r="O122" t="s">
        <v>17</v>
      </c>
      <c r="P122" t="s">
        <v>16</v>
      </c>
      <c r="Q122" t="s">
        <v>18</v>
      </c>
      <c r="R122" t="s">
        <v>16</v>
      </c>
      <c r="S122" t="s">
        <v>16</v>
      </c>
      <c r="T122" t="s">
        <v>19</v>
      </c>
      <c r="U122" t="s">
        <v>16</v>
      </c>
      <c r="V122" t="s">
        <v>16</v>
      </c>
      <c r="W122" t="s">
        <v>19</v>
      </c>
      <c r="X122" t="s">
        <v>78</v>
      </c>
      <c r="Y122">
        <v>4.5</v>
      </c>
      <c r="Z122">
        <v>2.7999999523162802</v>
      </c>
      <c r="AA122">
        <v>1.1000000238418599</v>
      </c>
      <c r="AB122">
        <v>1</v>
      </c>
      <c r="AC122">
        <v>163.98066711425801</v>
      </c>
      <c r="AD122" t="s">
        <v>16</v>
      </c>
      <c r="AE122">
        <v>1.12000000476837</v>
      </c>
      <c r="AF122">
        <v>40</v>
      </c>
      <c r="AG122">
        <v>93</v>
      </c>
      <c r="AH122" t="s">
        <v>16</v>
      </c>
      <c r="AI122">
        <v>9.1000003814697301</v>
      </c>
      <c r="AJ122">
        <v>10.2200002670288</v>
      </c>
      <c r="AK122" t="s">
        <v>16</v>
      </c>
      <c r="AL122">
        <v>9.6999998092651403</v>
      </c>
      <c r="AM122">
        <v>9.5900001525878906</v>
      </c>
      <c r="AN122" t="s">
        <v>276</v>
      </c>
      <c r="AO122">
        <v>73</v>
      </c>
      <c r="AP122">
        <v>30.780907404284001</v>
      </c>
      <c r="AQ122" s="1" t="s">
        <v>16</v>
      </c>
      <c r="AR122" s="1" t="s">
        <v>16</v>
      </c>
      <c r="AS122" s="1" t="s">
        <v>16</v>
      </c>
      <c r="AT122" s="1">
        <v>44691</v>
      </c>
      <c r="AU122" s="1">
        <v>44666</v>
      </c>
      <c r="AV122" s="1">
        <v>44666.620854363427</v>
      </c>
      <c r="AW122" s="1" t="s">
        <v>16</v>
      </c>
      <c r="AX122" s="1" t="s">
        <v>16</v>
      </c>
      <c r="AY122" t="s">
        <v>16</v>
      </c>
      <c r="AZ122">
        <v>108</v>
      </c>
      <c r="BA122">
        <v>51</v>
      </c>
      <c r="BB122">
        <v>0</v>
      </c>
      <c r="BC122">
        <f t="shared" si="6"/>
        <v>24.10644910644919</v>
      </c>
      <c r="BD122">
        <v>139</v>
      </c>
      <c r="BE122">
        <v>3.6</v>
      </c>
      <c r="BF122">
        <v>3.2999999999999901</v>
      </c>
      <c r="BG122">
        <v>9.0999999999999908</v>
      </c>
      <c r="BH122">
        <v>243</v>
      </c>
      <c r="BI122">
        <v>2.8599999999999901</v>
      </c>
      <c r="BJ122">
        <v>6.7999999999999901</v>
      </c>
      <c r="BK122">
        <v>5.5</v>
      </c>
      <c r="BL122">
        <v>12.1</v>
      </c>
      <c r="BM122">
        <v>8.5199999999999907</v>
      </c>
      <c r="BN122">
        <v>5.7999999999999901</v>
      </c>
    </row>
    <row r="123" spans="1:66" x14ac:dyDescent="0.3">
      <c r="A123">
        <v>122</v>
      </c>
      <c r="B123" t="s">
        <v>430</v>
      </c>
      <c r="C123" s="2" t="s">
        <v>448</v>
      </c>
      <c r="D123">
        <v>70</v>
      </c>
      <c r="E123" s="1" t="s">
        <v>16</v>
      </c>
      <c r="F123" s="1">
        <v>43931</v>
      </c>
      <c r="G123" s="1">
        <v>43802.270555555559</v>
      </c>
      <c r="H123" t="s">
        <v>15</v>
      </c>
      <c r="I123" t="s">
        <v>16</v>
      </c>
      <c r="J123" t="s">
        <v>15</v>
      </c>
      <c r="K123" t="s">
        <v>16</v>
      </c>
      <c r="L123">
        <v>60</v>
      </c>
      <c r="M123" t="s">
        <v>15</v>
      </c>
      <c r="N123" t="s">
        <v>15</v>
      </c>
      <c r="O123" t="s">
        <v>15</v>
      </c>
      <c r="P123" t="s">
        <v>75</v>
      </c>
      <c r="Q123" t="s">
        <v>16</v>
      </c>
      <c r="R123" t="s">
        <v>16</v>
      </c>
      <c r="S123" t="s">
        <v>16</v>
      </c>
      <c r="T123" t="s">
        <v>16</v>
      </c>
      <c r="U123" t="s">
        <v>16</v>
      </c>
      <c r="V123" t="s">
        <v>16</v>
      </c>
      <c r="W123" t="s">
        <v>18</v>
      </c>
      <c r="X123" t="s">
        <v>15</v>
      </c>
      <c r="Y123">
        <v>4.6799998283386204</v>
      </c>
      <c r="Z123">
        <v>2.4700000286102299</v>
      </c>
      <c r="AA123">
        <v>0.81000000238418601</v>
      </c>
      <c r="AB123">
        <v>0.79000002145767201</v>
      </c>
      <c r="AC123">
        <v>121.38137054443401</v>
      </c>
      <c r="AD123">
        <v>69</v>
      </c>
      <c r="AE123">
        <v>1</v>
      </c>
      <c r="AF123">
        <v>33</v>
      </c>
      <c r="AG123">
        <v>59.700000762939503</v>
      </c>
      <c r="AH123">
        <v>9.1599998474121094</v>
      </c>
      <c r="AI123">
        <v>6.2399997711181596</v>
      </c>
      <c r="AJ123">
        <v>9.5699996948242205</v>
      </c>
      <c r="AK123">
        <v>7.9899997711181596</v>
      </c>
      <c r="AL123">
        <v>6.8200001716613796</v>
      </c>
      <c r="AM123">
        <v>8.75</v>
      </c>
      <c r="AN123" t="s">
        <v>277</v>
      </c>
      <c r="AO123">
        <v>77</v>
      </c>
      <c r="AP123" t="s">
        <v>16</v>
      </c>
      <c r="AQ123" s="1">
        <v>43801</v>
      </c>
      <c r="AR123" s="1" t="s">
        <v>16</v>
      </c>
      <c r="AS123" s="1">
        <v>43802</v>
      </c>
      <c r="AT123" s="1">
        <v>44966</v>
      </c>
      <c r="AU123" s="1">
        <v>43803</v>
      </c>
      <c r="AV123" s="1">
        <v>43803.70576863426</v>
      </c>
      <c r="AW123" s="1">
        <v>43905</v>
      </c>
      <c r="AX123" s="1" t="s">
        <v>16</v>
      </c>
      <c r="AY123" t="s">
        <v>21</v>
      </c>
      <c r="AZ123">
        <v>173</v>
      </c>
      <c r="BA123">
        <v>91</v>
      </c>
      <c r="BB123">
        <v>0</v>
      </c>
      <c r="BC123">
        <f t="shared" si="6"/>
        <v>18.904320987654319</v>
      </c>
      <c r="BD123">
        <v>133</v>
      </c>
      <c r="BE123">
        <v>5</v>
      </c>
      <c r="BF123">
        <v>1.8</v>
      </c>
      <c r="BG123">
        <v>8.1999999999999904</v>
      </c>
      <c r="BH123">
        <v>296</v>
      </c>
      <c r="BI123">
        <v>3.96</v>
      </c>
      <c r="BJ123">
        <v>7.7999999999999901</v>
      </c>
      <c r="BK123">
        <v>5.0999999999999899</v>
      </c>
      <c r="BL123">
        <v>12.6999999999999</v>
      </c>
      <c r="BM123">
        <v>37.6</v>
      </c>
      <c r="BN123">
        <v>6.4</v>
      </c>
    </row>
    <row r="124" spans="1:66" x14ac:dyDescent="0.3">
      <c r="A124">
        <v>123</v>
      </c>
      <c r="B124" t="s">
        <v>430</v>
      </c>
      <c r="C124" s="2" t="s">
        <v>448</v>
      </c>
      <c r="D124">
        <v>60</v>
      </c>
      <c r="E124" s="1">
        <v>41231</v>
      </c>
      <c r="F124" s="1">
        <v>40907</v>
      </c>
      <c r="G124" s="1">
        <v>40871.523263888892</v>
      </c>
      <c r="H124" t="s">
        <v>15</v>
      </c>
      <c r="I124" t="s">
        <v>78</v>
      </c>
      <c r="J124" t="s">
        <v>15</v>
      </c>
      <c r="K124" t="s">
        <v>198</v>
      </c>
      <c r="L124">
        <v>60</v>
      </c>
      <c r="M124" t="s">
        <v>15</v>
      </c>
      <c r="N124" t="s">
        <v>15</v>
      </c>
      <c r="O124" t="s">
        <v>17</v>
      </c>
      <c r="P124" t="s">
        <v>75</v>
      </c>
      <c r="Q124" t="s">
        <v>16</v>
      </c>
      <c r="R124" t="s">
        <v>16</v>
      </c>
      <c r="S124" t="s">
        <v>16</v>
      </c>
      <c r="T124" t="s">
        <v>18</v>
      </c>
      <c r="U124" t="s">
        <v>16</v>
      </c>
      <c r="V124" t="s">
        <v>16</v>
      </c>
      <c r="W124" t="s">
        <v>23</v>
      </c>
      <c r="X124" t="s">
        <v>78</v>
      </c>
      <c r="Y124">
        <v>4.1999998092651403</v>
      </c>
      <c r="Z124">
        <v>2.7699999809265101</v>
      </c>
      <c r="AA124">
        <v>1.1900000572204601</v>
      </c>
      <c r="AB124">
        <v>1.1000000238418599</v>
      </c>
      <c r="AC124">
        <v>166.39384460449199</v>
      </c>
      <c r="AD124">
        <v>100</v>
      </c>
      <c r="AE124">
        <v>1.12000000476837</v>
      </c>
      <c r="AF124">
        <v>40</v>
      </c>
      <c r="AG124">
        <v>96</v>
      </c>
      <c r="AH124">
        <v>6</v>
      </c>
      <c r="AI124">
        <v>6</v>
      </c>
      <c r="AJ124">
        <v>16</v>
      </c>
      <c r="AK124">
        <v>6</v>
      </c>
      <c r="AL124">
        <v>5</v>
      </c>
      <c r="AM124">
        <v>19.200000762939499</v>
      </c>
      <c r="AN124" t="s">
        <v>278</v>
      </c>
      <c r="AO124">
        <v>53.25</v>
      </c>
      <c r="AP124">
        <v>18.866921768707499</v>
      </c>
      <c r="AQ124" s="1">
        <v>40545</v>
      </c>
      <c r="AR124" s="1" t="s">
        <v>16</v>
      </c>
      <c r="AS124" s="1">
        <v>40547</v>
      </c>
      <c r="AT124" s="1">
        <v>38742</v>
      </c>
      <c r="AU124" s="1">
        <v>40925</v>
      </c>
      <c r="AV124" s="1"/>
      <c r="AW124" s="1">
        <v>40925</v>
      </c>
      <c r="AX124" s="1" t="s">
        <v>16</v>
      </c>
      <c r="AY124" t="s">
        <v>16</v>
      </c>
      <c r="AZ124">
        <v>147</v>
      </c>
      <c r="BA124">
        <v>76</v>
      </c>
      <c r="BB124">
        <v>2</v>
      </c>
      <c r="BC124">
        <f t="shared" si="6"/>
        <v>11.578604044357469</v>
      </c>
      <c r="BD124">
        <v>139</v>
      </c>
      <c r="BE124">
        <v>2.8999999999999901</v>
      </c>
      <c r="BF124">
        <v>2.7</v>
      </c>
      <c r="BG124">
        <v>8.6999999999999904</v>
      </c>
      <c r="BH124">
        <v>164</v>
      </c>
      <c r="BI124">
        <v>5.1100000000000003</v>
      </c>
      <c r="BJ124">
        <v>5.4</v>
      </c>
      <c r="BK124">
        <v>2.7999999999999901</v>
      </c>
      <c r="BL124">
        <v>7</v>
      </c>
      <c r="BM124">
        <v>4.2300000000000004</v>
      </c>
      <c r="BN124">
        <v>9.5999999999999908</v>
      </c>
    </row>
    <row r="125" spans="1:66" x14ac:dyDescent="0.3">
      <c r="A125">
        <v>124</v>
      </c>
      <c r="B125" t="s">
        <v>430</v>
      </c>
      <c r="C125" s="2" t="s">
        <v>449</v>
      </c>
      <c r="D125">
        <v>63</v>
      </c>
      <c r="E125" s="1">
        <v>42875</v>
      </c>
      <c r="F125" s="1">
        <v>41540</v>
      </c>
      <c r="G125" s="1">
        <v>41497.530763888892</v>
      </c>
      <c r="H125" t="s">
        <v>15</v>
      </c>
      <c r="I125" t="s">
        <v>16</v>
      </c>
      <c r="J125" t="s">
        <v>28</v>
      </c>
      <c r="K125" t="s">
        <v>116</v>
      </c>
      <c r="L125">
        <v>40</v>
      </c>
      <c r="M125" t="s">
        <v>15</v>
      </c>
      <c r="N125" t="s">
        <v>16</v>
      </c>
      <c r="O125" t="s">
        <v>15</v>
      </c>
      <c r="P125" t="s">
        <v>85</v>
      </c>
      <c r="Q125" t="s">
        <v>19</v>
      </c>
      <c r="R125" t="s">
        <v>16</v>
      </c>
      <c r="S125" t="s">
        <v>16</v>
      </c>
      <c r="T125" t="s">
        <v>34</v>
      </c>
      <c r="U125" t="s">
        <v>121</v>
      </c>
      <c r="V125" t="s">
        <v>16</v>
      </c>
      <c r="W125" t="s">
        <v>19</v>
      </c>
      <c r="X125" t="s">
        <v>90</v>
      </c>
      <c r="Y125">
        <v>4.6999998092651403</v>
      </c>
      <c r="Z125">
        <v>2.9000000953674299</v>
      </c>
      <c r="AA125">
        <v>1</v>
      </c>
      <c r="AB125">
        <v>0.80000001192092896</v>
      </c>
      <c r="AC125">
        <v>142.70726013183599</v>
      </c>
      <c r="AD125">
        <v>84</v>
      </c>
      <c r="AE125">
        <v>1.87999999523163</v>
      </c>
      <c r="AF125">
        <v>79</v>
      </c>
      <c r="AG125">
        <v>160</v>
      </c>
      <c r="AH125">
        <v>5.1999998092651403</v>
      </c>
      <c r="AI125">
        <v>4.1999998092651403</v>
      </c>
      <c r="AJ125">
        <v>38.099998474121101</v>
      </c>
      <c r="AK125">
        <v>5.5999999046325701</v>
      </c>
      <c r="AL125">
        <v>3.7999999523162802</v>
      </c>
      <c r="AM125">
        <v>42.110000610351598</v>
      </c>
      <c r="AN125" t="s">
        <v>279</v>
      </c>
      <c r="AO125">
        <v>61</v>
      </c>
      <c r="AP125">
        <v>22.4058769513315</v>
      </c>
      <c r="AQ125" s="1">
        <v>41791</v>
      </c>
      <c r="AR125" s="1" t="s">
        <v>16</v>
      </c>
      <c r="AS125" s="1">
        <v>41578</v>
      </c>
      <c r="AT125" s="1" t="s">
        <v>16</v>
      </c>
      <c r="AU125" s="1" t="s">
        <v>16</v>
      </c>
      <c r="AV125" s="1">
        <v>40088.620589548613</v>
      </c>
      <c r="AW125" s="1" t="s">
        <v>16</v>
      </c>
      <c r="AX125" s="1" t="s">
        <v>16</v>
      </c>
      <c r="AY125" t="s">
        <v>16</v>
      </c>
      <c r="AZ125">
        <v>158</v>
      </c>
      <c r="BA125">
        <v>55</v>
      </c>
      <c r="BB125">
        <v>3</v>
      </c>
      <c r="BC125">
        <f t="shared" si="6"/>
        <v>17.72720410628019</v>
      </c>
      <c r="BD125">
        <v>134</v>
      </c>
      <c r="BE125">
        <v>5.2999999999999901</v>
      </c>
      <c r="BF125">
        <v>3.2</v>
      </c>
      <c r="BG125">
        <v>10</v>
      </c>
      <c r="BH125">
        <v>110</v>
      </c>
      <c r="BI125">
        <v>3.68</v>
      </c>
      <c r="BJ125">
        <v>8.6999999999999904</v>
      </c>
      <c r="BK125">
        <v>3.1</v>
      </c>
      <c r="BL125">
        <v>4.4000000000000004</v>
      </c>
      <c r="BN125">
        <v>6.7999999999999901</v>
      </c>
    </row>
    <row r="126" spans="1:66" x14ac:dyDescent="0.3">
      <c r="A126">
        <v>125</v>
      </c>
      <c r="B126" t="s">
        <v>430</v>
      </c>
      <c r="C126" s="2" t="s">
        <v>448</v>
      </c>
      <c r="D126">
        <v>62</v>
      </c>
      <c r="E126" s="1">
        <v>43526</v>
      </c>
      <c r="F126" s="1">
        <v>41683</v>
      </c>
      <c r="G126" s="1">
        <v>41519.574606481481</v>
      </c>
      <c r="H126" t="s">
        <v>15</v>
      </c>
      <c r="I126" t="s">
        <v>78</v>
      </c>
      <c r="J126" t="s">
        <v>15</v>
      </c>
      <c r="K126" t="s">
        <v>16</v>
      </c>
      <c r="L126">
        <v>60</v>
      </c>
      <c r="M126" t="s">
        <v>16</v>
      </c>
      <c r="N126" t="s">
        <v>16</v>
      </c>
      <c r="O126" t="s">
        <v>17</v>
      </c>
      <c r="P126" t="s">
        <v>75</v>
      </c>
      <c r="Q126" t="s">
        <v>18</v>
      </c>
      <c r="R126" t="s">
        <v>16</v>
      </c>
      <c r="S126" t="s">
        <v>75</v>
      </c>
      <c r="T126" t="s">
        <v>18</v>
      </c>
      <c r="U126" t="s">
        <v>16</v>
      </c>
      <c r="V126" t="s">
        <v>16</v>
      </c>
      <c r="W126" t="s">
        <v>19</v>
      </c>
      <c r="X126" t="s">
        <v>15</v>
      </c>
      <c r="Y126">
        <v>4.0700001716613796</v>
      </c>
      <c r="Z126">
        <v>2.3099999427795401</v>
      </c>
      <c r="AA126">
        <v>1.4099999666214</v>
      </c>
      <c r="AB126">
        <v>1.41999995708466</v>
      </c>
      <c r="AC126">
        <v>217.82676696777301</v>
      </c>
      <c r="AD126">
        <v>93</v>
      </c>
      <c r="AE126">
        <v>1</v>
      </c>
      <c r="AF126">
        <v>32</v>
      </c>
      <c r="AG126">
        <v>88.400001525878906</v>
      </c>
      <c r="AH126">
        <v>8.2700004577636701</v>
      </c>
      <c r="AI126">
        <v>5.2199997901916504</v>
      </c>
      <c r="AJ126">
        <v>16.930000305175799</v>
      </c>
      <c r="AK126">
        <v>7.6900000572204599</v>
      </c>
      <c r="AL126">
        <v>6.0199999809265101</v>
      </c>
      <c r="AM126">
        <v>14.680000305175801</v>
      </c>
      <c r="AN126" t="s">
        <v>280</v>
      </c>
      <c r="AO126">
        <v>103</v>
      </c>
      <c r="AP126">
        <v>29.142145767315501</v>
      </c>
      <c r="AQ126" s="1">
        <v>41578</v>
      </c>
      <c r="AR126" s="1" t="s">
        <v>16</v>
      </c>
      <c r="AS126" s="1">
        <v>41638</v>
      </c>
      <c r="AT126" s="1">
        <v>43325</v>
      </c>
      <c r="AU126" s="1">
        <v>39653</v>
      </c>
      <c r="AV126" s="1">
        <v>39650.929746562499</v>
      </c>
      <c r="AW126" s="1">
        <v>42029</v>
      </c>
      <c r="AX126" s="1" t="s">
        <v>16</v>
      </c>
      <c r="AY126" t="s">
        <v>21</v>
      </c>
      <c r="AZ126">
        <v>124</v>
      </c>
      <c r="BA126">
        <v>71</v>
      </c>
      <c r="BB126">
        <v>2</v>
      </c>
      <c r="BC126">
        <f t="shared" si="6"/>
        <v>16.729135432283883</v>
      </c>
      <c r="BD126">
        <v>135</v>
      </c>
      <c r="BE126">
        <v>5.4</v>
      </c>
      <c r="BF126">
        <v>2.3999999999999901</v>
      </c>
      <c r="BG126">
        <v>7.0999999999999899</v>
      </c>
      <c r="BH126">
        <v>123</v>
      </c>
      <c r="BI126">
        <v>6.6699999999999902</v>
      </c>
      <c r="BJ126">
        <v>7.5999999999999899</v>
      </c>
      <c r="BK126">
        <v>5.0999999999999899</v>
      </c>
      <c r="BL126">
        <v>7.0999999999999899</v>
      </c>
      <c r="BM126">
        <v>23.78</v>
      </c>
      <c r="BN126">
        <v>7.5999999999999899</v>
      </c>
    </row>
    <row r="127" spans="1:66" x14ac:dyDescent="0.3">
      <c r="A127">
        <v>126</v>
      </c>
      <c r="B127" t="s">
        <v>430</v>
      </c>
      <c r="C127" s="2" t="s">
        <v>448</v>
      </c>
      <c r="D127">
        <v>72</v>
      </c>
      <c r="E127" s="1">
        <v>45151</v>
      </c>
      <c r="F127" s="1">
        <v>44151</v>
      </c>
      <c r="G127" s="1">
        <v>44159.435358796298</v>
      </c>
      <c r="H127" t="s">
        <v>15</v>
      </c>
      <c r="I127" t="s">
        <v>15</v>
      </c>
      <c r="J127" t="s">
        <v>16</v>
      </c>
      <c r="K127" t="s">
        <v>16</v>
      </c>
      <c r="L127">
        <v>60</v>
      </c>
      <c r="M127" t="s">
        <v>16</v>
      </c>
      <c r="N127" t="s">
        <v>16</v>
      </c>
      <c r="O127" t="s">
        <v>17</v>
      </c>
      <c r="P127" t="s">
        <v>75</v>
      </c>
      <c r="Q127" t="s">
        <v>33</v>
      </c>
      <c r="R127" t="s">
        <v>16</v>
      </c>
      <c r="S127" t="s">
        <v>16</v>
      </c>
      <c r="T127" t="s">
        <v>18</v>
      </c>
      <c r="U127" t="s">
        <v>96</v>
      </c>
      <c r="V127" t="s">
        <v>93</v>
      </c>
      <c r="W127" t="s">
        <v>18</v>
      </c>
      <c r="X127" t="s">
        <v>16</v>
      </c>
      <c r="Y127">
        <v>5.0999999046325701</v>
      </c>
      <c r="Z127">
        <v>3.7999999523162802</v>
      </c>
      <c r="AA127">
        <v>1</v>
      </c>
      <c r="AB127">
        <v>1</v>
      </c>
      <c r="AC127">
        <v>188.01632690429699</v>
      </c>
      <c r="AD127" t="s">
        <v>16</v>
      </c>
      <c r="AE127">
        <v>1</v>
      </c>
      <c r="AF127" t="s">
        <v>16</v>
      </c>
      <c r="AG127">
        <v>134</v>
      </c>
      <c r="AH127">
        <v>7</v>
      </c>
      <c r="AI127">
        <v>7</v>
      </c>
      <c r="AJ127">
        <v>19.139999389648398</v>
      </c>
      <c r="AK127">
        <v>7</v>
      </c>
      <c r="AL127">
        <v>4</v>
      </c>
      <c r="AM127">
        <v>33.5</v>
      </c>
      <c r="AN127" t="s">
        <v>281</v>
      </c>
      <c r="AO127">
        <v>51</v>
      </c>
      <c r="AP127" t="s">
        <v>16</v>
      </c>
      <c r="AQ127" s="1">
        <v>44166</v>
      </c>
      <c r="AR127" s="1" t="s">
        <v>16</v>
      </c>
      <c r="AS127" s="1">
        <v>44465</v>
      </c>
      <c r="AT127" s="1" t="s">
        <v>16</v>
      </c>
      <c r="AU127" s="1">
        <v>39146</v>
      </c>
      <c r="AV127" s="1">
        <v>39146.545265590277</v>
      </c>
      <c r="AW127" s="1">
        <v>44465</v>
      </c>
      <c r="AX127" s="1">
        <v>43692</v>
      </c>
      <c r="AY127" t="s">
        <v>16</v>
      </c>
      <c r="AZ127">
        <v>107</v>
      </c>
      <c r="BA127">
        <v>62</v>
      </c>
      <c r="BB127">
        <v>4</v>
      </c>
      <c r="BC127">
        <f t="shared" si="6"/>
        <v>7.8192640692640696</v>
      </c>
      <c r="BD127">
        <v>137</v>
      </c>
      <c r="BE127">
        <v>3.8999999999999901</v>
      </c>
      <c r="BF127">
        <v>3.1</v>
      </c>
      <c r="BG127">
        <v>7.0999999999999899</v>
      </c>
      <c r="BH127">
        <v>198</v>
      </c>
      <c r="BI127">
        <v>6.16</v>
      </c>
      <c r="BJ127">
        <v>8.5999999999999908</v>
      </c>
      <c r="BK127">
        <v>7.4</v>
      </c>
      <c r="BL127">
        <v>11.6999999999999</v>
      </c>
      <c r="BM127">
        <v>100.239999999999</v>
      </c>
      <c r="BN127">
        <v>6.2999999999999901</v>
      </c>
    </row>
    <row r="128" spans="1:66" x14ac:dyDescent="0.3">
      <c r="A128">
        <v>127</v>
      </c>
      <c r="B128" t="s">
        <v>430</v>
      </c>
      <c r="C128" s="2" t="s">
        <v>448</v>
      </c>
      <c r="D128">
        <v>67</v>
      </c>
      <c r="E128" s="1">
        <v>44277</v>
      </c>
      <c r="F128" s="1">
        <v>44141</v>
      </c>
      <c r="G128" s="1">
        <v>43775.621793981481</v>
      </c>
      <c r="H128" t="s">
        <v>17</v>
      </c>
      <c r="I128" t="s">
        <v>78</v>
      </c>
      <c r="J128" t="s">
        <v>15</v>
      </c>
      <c r="K128" t="s">
        <v>16</v>
      </c>
      <c r="L128">
        <v>60</v>
      </c>
      <c r="M128" t="s">
        <v>15</v>
      </c>
      <c r="N128" t="s">
        <v>15</v>
      </c>
      <c r="O128" t="s">
        <v>25</v>
      </c>
      <c r="P128" t="s">
        <v>16</v>
      </c>
      <c r="Q128" t="s">
        <v>16</v>
      </c>
      <c r="R128" t="s">
        <v>16</v>
      </c>
      <c r="S128" t="s">
        <v>16</v>
      </c>
      <c r="T128" t="s">
        <v>19</v>
      </c>
      <c r="U128" t="s">
        <v>16</v>
      </c>
      <c r="V128" t="s">
        <v>16</v>
      </c>
      <c r="W128" t="s">
        <v>23</v>
      </c>
      <c r="X128" t="s">
        <v>87</v>
      </c>
      <c r="Y128">
        <v>5.5</v>
      </c>
      <c r="Z128">
        <v>2.9000000953674299</v>
      </c>
      <c r="AA128">
        <v>1.3999999761581401</v>
      </c>
      <c r="AB128">
        <v>1.1000000238418599</v>
      </c>
      <c r="AC128">
        <v>288.16000366210898</v>
      </c>
      <c r="AD128">
        <v>146</v>
      </c>
      <c r="AE128">
        <v>1</v>
      </c>
      <c r="AF128">
        <v>58</v>
      </c>
      <c r="AG128" t="s">
        <v>16</v>
      </c>
      <c r="AH128" t="s">
        <v>16</v>
      </c>
      <c r="AI128" t="s">
        <v>16</v>
      </c>
      <c r="AJ128" t="s">
        <v>16</v>
      </c>
      <c r="AK128" t="s">
        <v>16</v>
      </c>
      <c r="AL128" t="s">
        <v>16</v>
      </c>
      <c r="AM128" t="s">
        <v>16</v>
      </c>
      <c r="AN128" t="s">
        <v>282</v>
      </c>
      <c r="AO128">
        <v>85</v>
      </c>
      <c r="AP128">
        <v>26.234567901234598</v>
      </c>
      <c r="AQ128" s="1" t="s">
        <v>16</v>
      </c>
      <c r="AR128" s="1" t="s">
        <v>16</v>
      </c>
      <c r="AS128" s="1" t="s">
        <v>16</v>
      </c>
      <c r="AT128" s="1" t="s">
        <v>16</v>
      </c>
      <c r="AU128" s="1">
        <v>43696</v>
      </c>
      <c r="AV128" s="1">
        <v>43696.516403009256</v>
      </c>
      <c r="AW128" s="1" t="s">
        <v>16</v>
      </c>
      <c r="AX128" s="1" t="s">
        <v>16</v>
      </c>
      <c r="AY128" t="s">
        <v>16</v>
      </c>
      <c r="AZ128">
        <v>135</v>
      </c>
      <c r="BA128">
        <v>69</v>
      </c>
      <c r="BB128">
        <v>0</v>
      </c>
      <c r="BC128">
        <f t="shared" si="6"/>
        <v>13.72301840056617</v>
      </c>
      <c r="BD128">
        <v>135</v>
      </c>
      <c r="BE128">
        <v>3.8999999999999901</v>
      </c>
      <c r="BF128">
        <v>3.1</v>
      </c>
      <c r="BG128">
        <v>12</v>
      </c>
      <c r="BH128">
        <v>225</v>
      </c>
      <c r="BI128">
        <v>6.28</v>
      </c>
      <c r="BJ128">
        <v>8.4</v>
      </c>
      <c r="BK128">
        <v>5.5</v>
      </c>
      <c r="BL128">
        <v>10.6999999999999</v>
      </c>
      <c r="BM128">
        <v>238.259999999999</v>
      </c>
    </row>
    <row r="129" spans="1:66" x14ac:dyDescent="0.3">
      <c r="A129">
        <v>128</v>
      </c>
      <c r="B129" t="s">
        <v>434</v>
      </c>
      <c r="C129" s="2" t="s">
        <v>448</v>
      </c>
      <c r="D129">
        <v>65</v>
      </c>
      <c r="E129" s="1">
        <v>44777</v>
      </c>
      <c r="F129" s="1">
        <v>42334</v>
      </c>
      <c r="G129" s="1">
        <v>41978.380335648151</v>
      </c>
      <c r="H129" t="s">
        <v>15</v>
      </c>
      <c r="I129" t="s">
        <v>16</v>
      </c>
      <c r="J129" t="s">
        <v>15</v>
      </c>
      <c r="K129" t="s">
        <v>283</v>
      </c>
      <c r="L129">
        <v>65</v>
      </c>
      <c r="M129" t="s">
        <v>16</v>
      </c>
      <c r="N129" t="s">
        <v>16</v>
      </c>
      <c r="O129" t="s">
        <v>15</v>
      </c>
      <c r="P129" t="s">
        <v>15</v>
      </c>
      <c r="Q129" t="s">
        <v>33</v>
      </c>
      <c r="R129" t="s">
        <v>16</v>
      </c>
      <c r="S129" t="s">
        <v>16</v>
      </c>
      <c r="T129" t="s">
        <v>23</v>
      </c>
      <c r="U129" t="s">
        <v>284</v>
      </c>
      <c r="V129" t="s">
        <v>16</v>
      </c>
      <c r="W129" t="s">
        <v>18</v>
      </c>
      <c r="X129" t="s">
        <v>16</v>
      </c>
      <c r="Y129">
        <v>4.1999998092651403</v>
      </c>
      <c r="Z129">
        <v>2.9000000953674299</v>
      </c>
      <c r="AA129">
        <v>1.20000004768372</v>
      </c>
      <c r="AB129">
        <v>0.89999997615814198</v>
      </c>
      <c r="AC129">
        <v>146.99789428710901</v>
      </c>
      <c r="AD129">
        <v>84</v>
      </c>
      <c r="AE129">
        <v>1</v>
      </c>
      <c r="AF129" t="s">
        <v>16</v>
      </c>
      <c r="AG129">
        <v>65.199996948242202</v>
      </c>
      <c r="AH129">
        <v>7.5</v>
      </c>
      <c r="AI129">
        <v>5.3000001907348597</v>
      </c>
      <c r="AJ129">
        <v>12.300000190734901</v>
      </c>
      <c r="AK129">
        <v>6.9000000953674299</v>
      </c>
      <c r="AL129">
        <v>6.4000000953674299</v>
      </c>
      <c r="AM129">
        <v>10.189999580383301</v>
      </c>
      <c r="AN129" t="s">
        <v>285</v>
      </c>
      <c r="AO129">
        <v>78.599999999999994</v>
      </c>
      <c r="AP129">
        <v>30.703125</v>
      </c>
      <c r="AQ129" s="1" t="s">
        <v>16</v>
      </c>
      <c r="AR129" s="1" t="s">
        <v>16</v>
      </c>
      <c r="AS129" s="1" t="s">
        <v>16</v>
      </c>
      <c r="AT129" s="1" t="s">
        <v>16</v>
      </c>
      <c r="AU129" s="1">
        <v>41976</v>
      </c>
      <c r="AV129" s="1"/>
      <c r="AW129" s="1">
        <v>41976</v>
      </c>
      <c r="AX129" s="1">
        <v>44772</v>
      </c>
      <c r="AY129" t="s">
        <v>21</v>
      </c>
      <c r="AZ129">
        <v>119</v>
      </c>
      <c r="BA129">
        <v>75</v>
      </c>
      <c r="BB129">
        <v>0</v>
      </c>
      <c r="BC129">
        <f t="shared" si="6"/>
        <v>9.3145620022753235</v>
      </c>
      <c r="BD129">
        <v>136</v>
      </c>
      <c r="BE129">
        <v>4.9000000000000004</v>
      </c>
      <c r="BF129">
        <v>3.8999999999999901</v>
      </c>
      <c r="BG129">
        <v>10.5</v>
      </c>
      <c r="BH129">
        <v>221</v>
      </c>
      <c r="BI129">
        <v>8.7899999999999903</v>
      </c>
      <c r="BJ129">
        <v>8.9</v>
      </c>
      <c r="BK129">
        <v>4.5</v>
      </c>
      <c r="BL129">
        <v>6.5</v>
      </c>
      <c r="BM129">
        <v>11.92</v>
      </c>
      <c r="BN129">
        <v>5.2</v>
      </c>
    </row>
    <row r="130" spans="1:66" x14ac:dyDescent="0.3">
      <c r="A130">
        <v>129</v>
      </c>
      <c r="B130" t="s">
        <v>434</v>
      </c>
      <c r="C130" s="2" t="s">
        <v>448</v>
      </c>
      <c r="D130">
        <v>68</v>
      </c>
      <c r="E130" s="1" t="s">
        <v>16</v>
      </c>
      <c r="F130" s="1">
        <v>43503</v>
      </c>
      <c r="G130" s="1">
        <v>43510.390740740739</v>
      </c>
      <c r="H130" t="s">
        <v>15</v>
      </c>
      <c r="I130" t="s">
        <v>15</v>
      </c>
      <c r="J130" t="s">
        <v>15</v>
      </c>
      <c r="K130" t="s">
        <v>74</v>
      </c>
      <c r="L130">
        <v>60</v>
      </c>
      <c r="M130" t="s">
        <v>16</v>
      </c>
      <c r="N130" t="s">
        <v>16</v>
      </c>
      <c r="O130" t="s">
        <v>15</v>
      </c>
      <c r="P130" t="s">
        <v>15</v>
      </c>
      <c r="Q130" t="s">
        <v>33</v>
      </c>
      <c r="R130" t="s">
        <v>16</v>
      </c>
      <c r="S130" t="s">
        <v>16</v>
      </c>
      <c r="T130" t="s">
        <v>19</v>
      </c>
      <c r="U130" t="s">
        <v>16</v>
      </c>
      <c r="V130" t="s">
        <v>16</v>
      </c>
      <c r="W130" t="s">
        <v>18</v>
      </c>
      <c r="X130" t="s">
        <v>16</v>
      </c>
      <c r="Y130">
        <v>4.21000003814697</v>
      </c>
      <c r="Z130">
        <v>2.8199999332428001</v>
      </c>
      <c r="AA130">
        <v>0.86000001430511497</v>
      </c>
      <c r="AB130">
        <v>0.86000001430511497</v>
      </c>
      <c r="AC130">
        <v>112.012619018555</v>
      </c>
      <c r="AD130">
        <v>62</v>
      </c>
      <c r="AE130">
        <v>1</v>
      </c>
      <c r="AF130" t="s">
        <v>16</v>
      </c>
      <c r="AG130">
        <v>74.699996948242202</v>
      </c>
      <c r="AH130">
        <v>6.4200000762939498</v>
      </c>
      <c r="AI130">
        <v>7.9400000572204599</v>
      </c>
      <c r="AJ130">
        <v>9.4099998474121094</v>
      </c>
      <c r="AK130">
        <v>7.6199998855590803</v>
      </c>
      <c r="AL130">
        <v>9.7899999618530291</v>
      </c>
      <c r="AM130">
        <v>7.6300001144409197</v>
      </c>
      <c r="AN130" t="s">
        <v>286</v>
      </c>
      <c r="AO130">
        <v>62</v>
      </c>
      <c r="AP130">
        <v>19.5682363337962</v>
      </c>
      <c r="AQ130" s="1" t="s">
        <v>16</v>
      </c>
      <c r="AR130" s="1" t="s">
        <v>16</v>
      </c>
      <c r="AS130" s="1" t="s">
        <v>16</v>
      </c>
      <c r="AT130" s="1" t="s">
        <v>16</v>
      </c>
      <c r="AU130" s="1">
        <v>43482</v>
      </c>
      <c r="AV130" s="1"/>
      <c r="AW130" s="1">
        <v>43479</v>
      </c>
      <c r="AX130" s="1" t="s">
        <v>16</v>
      </c>
      <c r="AY130" t="s">
        <v>21</v>
      </c>
      <c r="AZ130">
        <v>135</v>
      </c>
      <c r="BA130">
        <v>34</v>
      </c>
      <c r="BB130">
        <v>2</v>
      </c>
      <c r="BC130">
        <f t="shared" si="6"/>
        <v>5.0283860502838609</v>
      </c>
      <c r="BD130">
        <v>135</v>
      </c>
      <c r="BE130">
        <v>6</v>
      </c>
      <c r="BF130">
        <v>2.3999999999999901</v>
      </c>
      <c r="BG130">
        <v>9.6999999999999904</v>
      </c>
      <c r="BI130">
        <v>12.33</v>
      </c>
      <c r="BJ130">
        <v>7.0999999999999899</v>
      </c>
      <c r="BK130">
        <v>9.0999999999999908</v>
      </c>
      <c r="BL130">
        <v>8</v>
      </c>
      <c r="BM130">
        <v>25.87</v>
      </c>
      <c r="BN130">
        <v>5.7999999999999901</v>
      </c>
    </row>
    <row r="131" spans="1:66" x14ac:dyDescent="0.3">
      <c r="A131">
        <v>130</v>
      </c>
      <c r="B131" t="s">
        <v>430</v>
      </c>
      <c r="C131" s="2" t="s">
        <v>448</v>
      </c>
      <c r="D131">
        <v>68</v>
      </c>
      <c r="E131" s="1" t="s">
        <v>16</v>
      </c>
      <c r="F131" s="1">
        <v>43912</v>
      </c>
      <c r="G131" s="1">
        <v>43696.335428240738</v>
      </c>
      <c r="H131" t="s">
        <v>15</v>
      </c>
      <c r="I131" t="s">
        <v>16</v>
      </c>
      <c r="J131" t="s">
        <v>15</v>
      </c>
      <c r="K131" t="s">
        <v>145</v>
      </c>
      <c r="L131">
        <v>60</v>
      </c>
      <c r="M131" t="s">
        <v>16</v>
      </c>
      <c r="N131" t="s">
        <v>16</v>
      </c>
      <c r="O131" t="s">
        <v>17</v>
      </c>
      <c r="P131" t="s">
        <v>16</v>
      </c>
      <c r="Q131" t="s">
        <v>23</v>
      </c>
      <c r="R131" t="s">
        <v>16</v>
      </c>
      <c r="S131" t="s">
        <v>16</v>
      </c>
      <c r="T131" t="s">
        <v>18</v>
      </c>
      <c r="U131" t="s">
        <v>16</v>
      </c>
      <c r="V131" t="s">
        <v>16</v>
      </c>
      <c r="W131" t="s">
        <v>18</v>
      </c>
      <c r="X131" t="s">
        <v>16</v>
      </c>
      <c r="Y131">
        <v>3.7200000286102299</v>
      </c>
      <c r="Z131">
        <v>2.8599998950958301</v>
      </c>
      <c r="AA131">
        <v>1.3400000333786</v>
      </c>
      <c r="AB131">
        <v>0.83999997377395597</v>
      </c>
      <c r="AC131">
        <v>128.64492797851599</v>
      </c>
      <c r="AD131">
        <v>59</v>
      </c>
      <c r="AE131">
        <v>1</v>
      </c>
      <c r="AF131" t="s">
        <v>16</v>
      </c>
      <c r="AG131">
        <v>50.529998779296903</v>
      </c>
      <c r="AH131">
        <v>10</v>
      </c>
      <c r="AI131">
        <v>5</v>
      </c>
      <c r="AJ131">
        <v>10.1099996566772</v>
      </c>
      <c r="AK131">
        <v>8</v>
      </c>
      <c r="AL131">
        <v>5</v>
      </c>
      <c r="AM131">
        <v>10.1099996566772</v>
      </c>
      <c r="AN131" t="s">
        <v>287</v>
      </c>
      <c r="AO131">
        <v>110</v>
      </c>
      <c r="AP131">
        <v>36.753650305723497</v>
      </c>
      <c r="AQ131" s="1" t="s">
        <v>16</v>
      </c>
      <c r="AR131" s="1" t="s">
        <v>16</v>
      </c>
      <c r="AS131" s="1">
        <v>42370</v>
      </c>
      <c r="AT131" s="1">
        <v>43983</v>
      </c>
      <c r="AU131" s="1">
        <v>43553</v>
      </c>
      <c r="AV131" s="1"/>
      <c r="AW131" s="1">
        <v>43553</v>
      </c>
      <c r="AX131" s="1" t="s">
        <v>16</v>
      </c>
      <c r="AY131" t="s">
        <v>21</v>
      </c>
      <c r="AZ131">
        <v>130</v>
      </c>
      <c r="BA131">
        <v>68</v>
      </c>
      <c r="BB131">
        <v>3</v>
      </c>
      <c r="BC131">
        <f t="shared" si="6"/>
        <v>26.634382566586023</v>
      </c>
      <c r="BD131">
        <v>133</v>
      </c>
      <c r="BE131">
        <v>4.0999999999999899</v>
      </c>
      <c r="BF131">
        <v>2.2000000000000002</v>
      </c>
      <c r="BG131">
        <v>11</v>
      </c>
      <c r="BH131">
        <v>222</v>
      </c>
      <c r="BI131">
        <v>4.1299999999999901</v>
      </c>
      <c r="BJ131">
        <v>7.2</v>
      </c>
      <c r="BK131">
        <v>4.7</v>
      </c>
      <c r="BL131">
        <v>5.7999999999999901</v>
      </c>
      <c r="BM131">
        <v>52.229999999999897</v>
      </c>
      <c r="BN131">
        <v>5.7999999999999901</v>
      </c>
    </row>
    <row r="132" spans="1:66" x14ac:dyDescent="0.3">
      <c r="A132">
        <v>131</v>
      </c>
      <c r="B132" t="s">
        <v>434</v>
      </c>
      <c r="C132" s="2" t="s">
        <v>448</v>
      </c>
      <c r="D132">
        <v>73</v>
      </c>
      <c r="E132" s="1" t="s">
        <v>16</v>
      </c>
      <c r="F132" s="1">
        <v>45126</v>
      </c>
      <c r="G132" s="1">
        <v>45144.3440625</v>
      </c>
      <c r="H132" t="s">
        <v>16</v>
      </c>
      <c r="I132" t="s">
        <v>16</v>
      </c>
      <c r="J132" t="s">
        <v>16</v>
      </c>
      <c r="K132" t="s">
        <v>74</v>
      </c>
      <c r="L132">
        <v>60</v>
      </c>
      <c r="M132" t="s">
        <v>16</v>
      </c>
      <c r="N132" t="s">
        <v>16</v>
      </c>
      <c r="O132" t="s">
        <v>15</v>
      </c>
      <c r="P132" t="s">
        <v>112</v>
      </c>
      <c r="Q132" t="s">
        <v>19</v>
      </c>
      <c r="R132" t="s">
        <v>16</v>
      </c>
      <c r="S132" t="s">
        <v>16</v>
      </c>
      <c r="T132" t="s">
        <v>19</v>
      </c>
      <c r="U132" t="s">
        <v>16</v>
      </c>
      <c r="V132" t="s">
        <v>16</v>
      </c>
      <c r="W132" t="s">
        <v>18</v>
      </c>
      <c r="X132" t="s">
        <v>16</v>
      </c>
      <c r="Y132">
        <v>4.0999999046325701</v>
      </c>
      <c r="Z132">
        <v>2.3900001049041699</v>
      </c>
      <c r="AA132">
        <v>0.94999998807907104</v>
      </c>
      <c r="AB132">
        <v>0.62000000476837203</v>
      </c>
      <c r="AC132">
        <v>94.918235778808594</v>
      </c>
      <c r="AD132">
        <v>58</v>
      </c>
      <c r="AE132">
        <v>1</v>
      </c>
      <c r="AF132" t="s">
        <v>16</v>
      </c>
      <c r="AG132">
        <v>66</v>
      </c>
      <c r="AH132" t="s">
        <v>16</v>
      </c>
      <c r="AI132">
        <v>7.6199998855590803</v>
      </c>
      <c r="AJ132">
        <v>8.6599998474121094</v>
      </c>
      <c r="AK132">
        <v>11.8999996185303</v>
      </c>
      <c r="AL132">
        <v>9.25</v>
      </c>
      <c r="AM132">
        <v>7.1399998664856001</v>
      </c>
      <c r="AN132" t="s">
        <v>288</v>
      </c>
      <c r="AO132">
        <v>59.6</v>
      </c>
      <c r="AP132">
        <v>20.867616680088201</v>
      </c>
      <c r="AQ132" s="1" t="s">
        <v>16</v>
      </c>
      <c r="AR132" s="1" t="s">
        <v>16</v>
      </c>
      <c r="AS132" s="1" t="s">
        <v>16</v>
      </c>
      <c r="AT132" s="1">
        <v>41331</v>
      </c>
      <c r="AU132" s="1">
        <v>41395</v>
      </c>
      <c r="AV132" s="1"/>
      <c r="AW132" s="1">
        <v>39970</v>
      </c>
      <c r="AX132" s="1" t="s">
        <v>16</v>
      </c>
      <c r="AY132" t="s">
        <v>21</v>
      </c>
      <c r="AZ132">
        <v>128</v>
      </c>
      <c r="BA132">
        <v>75</v>
      </c>
      <c r="BB132">
        <v>2</v>
      </c>
      <c r="BC132">
        <f t="shared" si="6"/>
        <v>7.6078341716201807</v>
      </c>
      <c r="BD132">
        <v>137</v>
      </c>
      <c r="BE132">
        <v>4</v>
      </c>
      <c r="BF132">
        <v>3.6</v>
      </c>
      <c r="BG132">
        <v>12.4</v>
      </c>
      <c r="BH132">
        <v>254</v>
      </c>
      <c r="BI132">
        <v>7.29</v>
      </c>
      <c r="BJ132">
        <v>8.8000000000000007</v>
      </c>
      <c r="BK132">
        <v>7.2999999999999901</v>
      </c>
      <c r="BL132">
        <v>9.9</v>
      </c>
      <c r="BM132">
        <v>3.4199999999999902</v>
      </c>
      <c r="BN132">
        <v>5.5999999999999899</v>
      </c>
    </row>
    <row r="133" spans="1:66" x14ac:dyDescent="0.3">
      <c r="A133">
        <v>132</v>
      </c>
      <c r="B133" t="s">
        <v>430</v>
      </c>
      <c r="C133" s="2" t="s">
        <v>448</v>
      </c>
      <c r="D133">
        <v>69</v>
      </c>
      <c r="E133" s="1">
        <v>44262</v>
      </c>
      <c r="F133" s="1">
        <v>44233</v>
      </c>
      <c r="G133" s="1">
        <v>44182.669085648151</v>
      </c>
      <c r="H133" t="s">
        <v>25</v>
      </c>
      <c r="I133" t="s">
        <v>78</v>
      </c>
      <c r="J133" t="s">
        <v>35</v>
      </c>
      <c r="K133" t="s">
        <v>16</v>
      </c>
      <c r="L133">
        <v>15</v>
      </c>
      <c r="M133" t="s">
        <v>16</v>
      </c>
      <c r="N133" t="s">
        <v>16</v>
      </c>
      <c r="O133" t="s">
        <v>25</v>
      </c>
      <c r="P133" t="s">
        <v>75</v>
      </c>
      <c r="Q133" t="s">
        <v>19</v>
      </c>
      <c r="R133" t="s">
        <v>289</v>
      </c>
      <c r="S133" t="s">
        <v>16</v>
      </c>
      <c r="T133" t="s">
        <v>18</v>
      </c>
      <c r="U133" t="s">
        <v>16</v>
      </c>
      <c r="V133" t="s">
        <v>16</v>
      </c>
      <c r="W133" t="s">
        <v>18</v>
      </c>
      <c r="X133" t="s">
        <v>16</v>
      </c>
      <c r="Y133">
        <v>6.5500001907348597</v>
      </c>
      <c r="Z133">
        <v>5.4000000953674299</v>
      </c>
      <c r="AA133">
        <v>1.16999995708466</v>
      </c>
      <c r="AB133">
        <v>0.94999998807907104</v>
      </c>
      <c r="AC133">
        <v>309.02487182617199</v>
      </c>
      <c r="AD133">
        <v>149</v>
      </c>
      <c r="AE133">
        <v>1.87999999523163</v>
      </c>
      <c r="AF133" t="s">
        <v>16</v>
      </c>
      <c r="AG133" t="s">
        <v>16</v>
      </c>
      <c r="AH133">
        <v>4</v>
      </c>
      <c r="AI133">
        <v>6</v>
      </c>
      <c r="AJ133" t="s">
        <v>16</v>
      </c>
      <c r="AK133">
        <v>7</v>
      </c>
      <c r="AL133">
        <v>12</v>
      </c>
      <c r="AM133" t="s">
        <v>16</v>
      </c>
      <c r="AN133" t="s">
        <v>290</v>
      </c>
      <c r="AO133">
        <v>97</v>
      </c>
      <c r="AP133">
        <v>33.564013840830398</v>
      </c>
      <c r="AQ133" s="1" t="s">
        <v>16</v>
      </c>
      <c r="AR133" s="1" t="s">
        <v>16</v>
      </c>
      <c r="AS133" s="1" t="s">
        <v>16</v>
      </c>
      <c r="AT133" s="1" t="s">
        <v>16</v>
      </c>
      <c r="AU133" s="1" t="s">
        <v>16</v>
      </c>
      <c r="AV133" s="1">
        <v>43621.669510034721</v>
      </c>
      <c r="AW133" s="1" t="s">
        <v>16</v>
      </c>
      <c r="AX133" s="1" t="s">
        <v>16</v>
      </c>
      <c r="AY133" t="s">
        <v>16</v>
      </c>
      <c r="AZ133">
        <v>117</v>
      </c>
      <c r="BA133">
        <v>47</v>
      </c>
      <c r="BB133">
        <v>1</v>
      </c>
      <c r="BC133">
        <f t="shared" si="6"/>
        <v>27.645311496467567</v>
      </c>
      <c r="BD133">
        <v>131</v>
      </c>
      <c r="BE133">
        <v>6</v>
      </c>
      <c r="BF133">
        <v>3.7</v>
      </c>
      <c r="BG133">
        <v>11.3</v>
      </c>
      <c r="BH133">
        <v>111</v>
      </c>
      <c r="BI133">
        <v>3.46</v>
      </c>
      <c r="BJ133">
        <v>9.1999999999999904</v>
      </c>
      <c r="BK133">
        <v>4.2999999999999901</v>
      </c>
      <c r="BL133">
        <v>5.9</v>
      </c>
      <c r="BM133">
        <v>14.8699999999999</v>
      </c>
      <c r="BN133">
        <v>7.7999999999999901</v>
      </c>
    </row>
    <row r="134" spans="1:66" x14ac:dyDescent="0.3">
      <c r="A134">
        <v>133</v>
      </c>
      <c r="B134" t="s">
        <v>430</v>
      </c>
      <c r="C134" s="2" t="s">
        <v>448</v>
      </c>
      <c r="D134">
        <v>67</v>
      </c>
      <c r="E134" s="1" t="s">
        <v>16</v>
      </c>
      <c r="F134" s="1">
        <v>43137</v>
      </c>
      <c r="G134" s="1">
        <v>43159.463437500002</v>
      </c>
      <c r="H134" t="s">
        <v>15</v>
      </c>
      <c r="I134" t="s">
        <v>15</v>
      </c>
      <c r="J134" t="s">
        <v>24</v>
      </c>
      <c r="K134" t="s">
        <v>16</v>
      </c>
      <c r="L134">
        <v>50</v>
      </c>
      <c r="M134" t="s">
        <v>16</v>
      </c>
      <c r="N134" t="s">
        <v>16</v>
      </c>
      <c r="O134" t="s">
        <v>25</v>
      </c>
      <c r="P134" t="s">
        <v>85</v>
      </c>
      <c r="Q134" t="s">
        <v>18</v>
      </c>
      <c r="R134" t="s">
        <v>16</v>
      </c>
      <c r="S134" t="s">
        <v>92</v>
      </c>
      <c r="T134" t="s">
        <v>18</v>
      </c>
      <c r="U134" t="s">
        <v>16</v>
      </c>
      <c r="V134" t="s">
        <v>16</v>
      </c>
      <c r="W134" t="s">
        <v>18</v>
      </c>
      <c r="X134" t="s">
        <v>16</v>
      </c>
      <c r="Y134">
        <v>5.4000000953674299</v>
      </c>
      <c r="Z134">
        <v>4.4000000953674299</v>
      </c>
      <c r="AA134">
        <v>1.20000004768372</v>
      </c>
      <c r="AB134">
        <v>1</v>
      </c>
      <c r="AC134">
        <v>234.81797790527301</v>
      </c>
      <c r="AD134">
        <v>117</v>
      </c>
      <c r="AE134">
        <v>1</v>
      </c>
      <c r="AF134" t="s">
        <v>16</v>
      </c>
      <c r="AG134">
        <v>76</v>
      </c>
      <c r="AH134">
        <v>6.6999998092651403</v>
      </c>
      <c r="AI134">
        <v>8.5</v>
      </c>
      <c r="AJ134">
        <v>8.9399995803833008</v>
      </c>
      <c r="AK134">
        <v>7.0999999046325701</v>
      </c>
      <c r="AL134">
        <v>7.1999998092651403</v>
      </c>
      <c r="AM134">
        <v>10.560000419616699</v>
      </c>
      <c r="AN134" t="s">
        <v>291</v>
      </c>
      <c r="AO134">
        <v>70.900000000000006</v>
      </c>
      <c r="AP134">
        <v>25.422209473269</v>
      </c>
      <c r="AQ134" s="1" t="s">
        <v>16</v>
      </c>
      <c r="AR134" s="1" t="s">
        <v>16</v>
      </c>
      <c r="AS134" s="1">
        <v>43342</v>
      </c>
      <c r="AT134" s="1" t="s">
        <v>16</v>
      </c>
      <c r="AU134" s="1" t="s">
        <v>16</v>
      </c>
      <c r="AV134" s="1"/>
      <c r="AW134" s="1" t="s">
        <v>16</v>
      </c>
      <c r="AX134" s="1" t="s">
        <v>16</v>
      </c>
      <c r="AY134" t="s">
        <v>21</v>
      </c>
      <c r="AZ134">
        <v>156</v>
      </c>
      <c r="BA134">
        <v>96</v>
      </c>
      <c r="BB134">
        <v>3</v>
      </c>
      <c r="BC134">
        <f t="shared" si="6"/>
        <v>22.118376068376072</v>
      </c>
      <c r="BD134">
        <v>131</v>
      </c>
      <c r="BE134">
        <v>4.9000000000000004</v>
      </c>
      <c r="BF134">
        <v>2.1</v>
      </c>
      <c r="BG134">
        <v>6.5999999999999899</v>
      </c>
      <c r="BH134">
        <v>91</v>
      </c>
      <c r="BI134">
        <v>3.25</v>
      </c>
      <c r="BJ134">
        <v>7.9</v>
      </c>
      <c r="BK134">
        <v>3.2</v>
      </c>
      <c r="BL134">
        <v>5.9</v>
      </c>
      <c r="BM134">
        <v>178.58</v>
      </c>
      <c r="BN134">
        <v>5.2999999999999901</v>
      </c>
    </row>
    <row r="135" spans="1:66" x14ac:dyDescent="0.3">
      <c r="A135">
        <v>134</v>
      </c>
      <c r="B135" t="s">
        <v>430</v>
      </c>
      <c r="C135" s="2" t="s">
        <v>448</v>
      </c>
      <c r="D135">
        <v>59</v>
      </c>
      <c r="E135" s="1">
        <v>42250</v>
      </c>
      <c r="F135" s="1">
        <v>40797</v>
      </c>
      <c r="G135" s="1">
        <v>40434.461724537039</v>
      </c>
      <c r="H135" t="s">
        <v>17</v>
      </c>
      <c r="I135" t="s">
        <v>87</v>
      </c>
      <c r="J135" t="s">
        <v>28</v>
      </c>
      <c r="K135" t="s">
        <v>16</v>
      </c>
      <c r="L135">
        <v>38</v>
      </c>
      <c r="M135" t="s">
        <v>16</v>
      </c>
      <c r="N135" t="s">
        <v>16</v>
      </c>
      <c r="O135" t="s">
        <v>17</v>
      </c>
      <c r="P135" t="s">
        <v>16</v>
      </c>
      <c r="Q135" t="s">
        <v>16</v>
      </c>
      <c r="R135" t="s">
        <v>153</v>
      </c>
      <c r="S135" t="s">
        <v>16</v>
      </c>
      <c r="T135" t="s">
        <v>32</v>
      </c>
      <c r="U135" t="s">
        <v>16</v>
      </c>
      <c r="V135" t="s">
        <v>16</v>
      </c>
      <c r="W135" t="s">
        <v>19</v>
      </c>
      <c r="X135" t="s">
        <v>15</v>
      </c>
      <c r="Y135">
        <v>5.5999999046325701</v>
      </c>
      <c r="Z135">
        <v>4.8000001907348597</v>
      </c>
      <c r="AA135">
        <v>1.6000000238418599</v>
      </c>
      <c r="AB135">
        <v>1</v>
      </c>
      <c r="AC135">
        <v>313</v>
      </c>
      <c r="AD135">
        <v>149</v>
      </c>
      <c r="AE135">
        <v>2.25</v>
      </c>
      <c r="AF135">
        <v>25</v>
      </c>
      <c r="AG135">
        <v>96</v>
      </c>
      <c r="AH135">
        <v>4</v>
      </c>
      <c r="AI135">
        <v>6</v>
      </c>
      <c r="AJ135">
        <v>16</v>
      </c>
      <c r="AK135">
        <v>6</v>
      </c>
      <c r="AL135">
        <v>11.199999809265099</v>
      </c>
      <c r="AM135">
        <v>8.5699996948242205</v>
      </c>
      <c r="AN135" t="s">
        <v>292</v>
      </c>
      <c r="AO135">
        <v>95</v>
      </c>
      <c r="AP135">
        <v>31.377989166336398</v>
      </c>
      <c r="AQ135" s="1">
        <v>40433</v>
      </c>
      <c r="AR135" s="1">
        <v>40433</v>
      </c>
      <c r="AS135" s="1">
        <v>40433</v>
      </c>
      <c r="AT135" s="1" t="s">
        <v>16</v>
      </c>
      <c r="AU135" s="1">
        <v>41533</v>
      </c>
      <c r="AV135" s="1"/>
      <c r="AW135" s="1">
        <v>41533</v>
      </c>
      <c r="AX135" s="1" t="s">
        <v>16</v>
      </c>
      <c r="AY135" t="s">
        <v>16</v>
      </c>
      <c r="AZ135">
        <v>124</v>
      </c>
      <c r="BA135">
        <v>79</v>
      </c>
      <c r="BB135">
        <v>3</v>
      </c>
      <c r="BC135">
        <f t="shared" si="6"/>
        <v>18.176020408163296</v>
      </c>
      <c r="BD135">
        <v>138</v>
      </c>
      <c r="BE135">
        <v>4.0999999999999899</v>
      </c>
      <c r="BF135">
        <v>4.4000000000000004</v>
      </c>
      <c r="BG135">
        <v>11.8</v>
      </c>
      <c r="BH135">
        <v>144</v>
      </c>
      <c r="BI135">
        <v>5.8799999999999901</v>
      </c>
      <c r="BJ135">
        <v>9.5999999999999908</v>
      </c>
      <c r="BK135">
        <v>5.5999999999999899</v>
      </c>
      <c r="BL135">
        <v>9.9</v>
      </c>
      <c r="BM135">
        <v>20.329999999999899</v>
      </c>
      <c r="BN135">
        <v>5</v>
      </c>
    </row>
    <row r="136" spans="1:66" x14ac:dyDescent="0.3">
      <c r="A136">
        <v>135</v>
      </c>
      <c r="B136" t="s">
        <v>434</v>
      </c>
      <c r="C136" s="2" t="s">
        <v>449</v>
      </c>
      <c r="D136">
        <v>58</v>
      </c>
      <c r="E136" s="1" t="s">
        <v>16</v>
      </c>
      <c r="F136" s="1">
        <v>40367</v>
      </c>
      <c r="G136" s="1">
        <v>40380.671203703707</v>
      </c>
      <c r="H136" t="s">
        <v>15</v>
      </c>
      <c r="I136" t="s">
        <v>78</v>
      </c>
      <c r="J136" t="s">
        <v>15</v>
      </c>
      <c r="K136" t="s">
        <v>16</v>
      </c>
      <c r="L136">
        <v>55</v>
      </c>
      <c r="M136" t="s">
        <v>15</v>
      </c>
      <c r="N136" t="s">
        <v>14</v>
      </c>
      <c r="O136" t="s">
        <v>25</v>
      </c>
      <c r="P136" t="s">
        <v>75</v>
      </c>
      <c r="Q136" t="s">
        <v>18</v>
      </c>
      <c r="R136" t="s">
        <v>16</v>
      </c>
      <c r="S136" t="s">
        <v>16</v>
      </c>
      <c r="T136" t="s">
        <v>27</v>
      </c>
      <c r="U136" t="s">
        <v>16</v>
      </c>
      <c r="V136" t="s">
        <v>16</v>
      </c>
      <c r="W136" t="s">
        <v>19</v>
      </c>
      <c r="X136" t="s">
        <v>78</v>
      </c>
      <c r="Y136">
        <v>5.3000001907348597</v>
      </c>
      <c r="Z136">
        <v>3.0999999046325701</v>
      </c>
      <c r="AA136">
        <v>1.29999995231628</v>
      </c>
      <c r="AB136">
        <v>1.1000000238418599</v>
      </c>
      <c r="AC136">
        <v>257</v>
      </c>
      <c r="AD136">
        <v>140</v>
      </c>
      <c r="AE136">
        <v>1</v>
      </c>
      <c r="AF136">
        <v>37</v>
      </c>
      <c r="AG136">
        <v>38</v>
      </c>
      <c r="AH136">
        <v>5</v>
      </c>
      <c r="AI136">
        <v>6</v>
      </c>
      <c r="AJ136">
        <v>6.3299999237060502</v>
      </c>
      <c r="AK136">
        <v>5</v>
      </c>
      <c r="AL136">
        <v>7</v>
      </c>
      <c r="AM136">
        <v>5.4299998283386204</v>
      </c>
      <c r="AN136" t="s">
        <v>293</v>
      </c>
      <c r="AO136">
        <v>79</v>
      </c>
      <c r="AP136">
        <v>30.859375</v>
      </c>
      <c r="AQ136" s="1">
        <v>40368</v>
      </c>
      <c r="AR136" s="1" t="s">
        <v>16</v>
      </c>
      <c r="AS136" s="1">
        <v>39820</v>
      </c>
      <c r="AT136" s="1" t="s">
        <v>16</v>
      </c>
      <c r="AU136" s="1">
        <v>40368</v>
      </c>
      <c r="AV136" s="1"/>
      <c r="AW136" s="1">
        <v>40368</v>
      </c>
      <c r="AX136" s="1" t="s">
        <v>16</v>
      </c>
      <c r="AY136" t="s">
        <v>16</v>
      </c>
      <c r="AZ136">
        <v>137</v>
      </c>
      <c r="BA136">
        <v>77</v>
      </c>
      <c r="BB136">
        <v>0</v>
      </c>
      <c r="BC136">
        <f t="shared" si="6"/>
        <v>18.361678004535147</v>
      </c>
      <c r="BD136">
        <v>137</v>
      </c>
      <c r="BE136">
        <v>5</v>
      </c>
      <c r="BF136">
        <v>3.7</v>
      </c>
      <c r="BG136">
        <v>10.3</v>
      </c>
      <c r="BH136">
        <v>128</v>
      </c>
      <c r="BI136">
        <v>4.9000000000000004</v>
      </c>
      <c r="BJ136">
        <v>9.6999999999999904</v>
      </c>
      <c r="BK136">
        <v>3.7</v>
      </c>
      <c r="BL136">
        <v>4.0999999999999899</v>
      </c>
      <c r="BM136">
        <v>246.9</v>
      </c>
      <c r="BN136">
        <v>5.7</v>
      </c>
    </row>
    <row r="137" spans="1:66" x14ac:dyDescent="0.3">
      <c r="A137">
        <v>136</v>
      </c>
      <c r="B137" t="s">
        <v>430</v>
      </c>
      <c r="C137" s="2" t="s">
        <v>448</v>
      </c>
      <c r="D137">
        <v>67</v>
      </c>
      <c r="E137" s="1">
        <v>45355</v>
      </c>
      <c r="F137" s="1">
        <v>43461</v>
      </c>
      <c r="G137" s="1">
        <v>43486.474085648151</v>
      </c>
      <c r="H137" t="s">
        <v>15</v>
      </c>
      <c r="I137" t="s">
        <v>78</v>
      </c>
      <c r="J137" t="s">
        <v>24</v>
      </c>
      <c r="K137" t="s">
        <v>161</v>
      </c>
      <c r="L137">
        <v>55</v>
      </c>
      <c r="M137" t="s">
        <v>16</v>
      </c>
      <c r="N137" t="s">
        <v>16</v>
      </c>
      <c r="O137" t="s">
        <v>25</v>
      </c>
      <c r="P137" t="s">
        <v>75</v>
      </c>
      <c r="Q137" t="s">
        <v>16</v>
      </c>
      <c r="R137" t="s">
        <v>16</v>
      </c>
      <c r="S137" t="s">
        <v>16</v>
      </c>
      <c r="T137" t="s">
        <v>19</v>
      </c>
      <c r="U137" t="s">
        <v>132</v>
      </c>
      <c r="V137" t="s">
        <v>16</v>
      </c>
      <c r="W137" t="s">
        <v>19</v>
      </c>
      <c r="X137" t="s">
        <v>16</v>
      </c>
      <c r="Y137">
        <v>5.3000001907348597</v>
      </c>
      <c r="Z137">
        <v>3.0999999046325701</v>
      </c>
      <c r="AA137">
        <v>1.5</v>
      </c>
      <c r="AB137">
        <v>1.20000004768372</v>
      </c>
      <c r="AC137">
        <v>302.71832275390602</v>
      </c>
      <c r="AD137">
        <v>162</v>
      </c>
      <c r="AE137">
        <v>1</v>
      </c>
      <c r="AF137" t="s">
        <v>16</v>
      </c>
      <c r="AG137">
        <v>92.400001525878906</v>
      </c>
      <c r="AH137">
        <v>4.0999999046325701</v>
      </c>
      <c r="AI137">
        <v>4.8000001907348597</v>
      </c>
      <c r="AJ137">
        <v>19.25</v>
      </c>
      <c r="AK137">
        <v>5.5999999046325701</v>
      </c>
      <c r="AL137">
        <v>7</v>
      </c>
      <c r="AM137">
        <v>13.199999809265099</v>
      </c>
      <c r="AN137" t="s">
        <v>294</v>
      </c>
      <c r="AO137">
        <v>77</v>
      </c>
      <c r="AP137">
        <v>24.577867151840099</v>
      </c>
      <c r="AQ137" s="1" t="s">
        <v>16</v>
      </c>
      <c r="AR137" s="1" t="s">
        <v>16</v>
      </c>
      <c r="AS137" s="1">
        <v>43480</v>
      </c>
      <c r="AT137" s="1">
        <v>43471</v>
      </c>
      <c r="AU137" s="1">
        <v>43479</v>
      </c>
      <c r="AV137" s="1"/>
      <c r="AW137" s="1">
        <v>45064</v>
      </c>
      <c r="AX137" s="1" t="s">
        <v>16</v>
      </c>
      <c r="AY137" t="s">
        <v>21</v>
      </c>
      <c r="AZ137">
        <v>166</v>
      </c>
      <c r="BA137">
        <v>60</v>
      </c>
      <c r="BB137">
        <v>1</v>
      </c>
      <c r="BC137">
        <f t="shared" si="6"/>
        <v>12.777323149663575</v>
      </c>
      <c r="BD137">
        <v>134</v>
      </c>
      <c r="BE137">
        <v>4.7</v>
      </c>
      <c r="BF137">
        <v>2.7999999999999901</v>
      </c>
      <c r="BG137">
        <v>9</v>
      </c>
      <c r="BH137">
        <v>106</v>
      </c>
      <c r="BI137">
        <v>6.11</v>
      </c>
      <c r="BJ137">
        <v>9.3000000000000007</v>
      </c>
      <c r="BK137">
        <v>5.5</v>
      </c>
      <c r="BL137">
        <v>5.7999999999999901</v>
      </c>
      <c r="BM137">
        <v>198.19999999999899</v>
      </c>
      <c r="BN137">
        <v>5.2</v>
      </c>
    </row>
    <row r="138" spans="1:66" x14ac:dyDescent="0.3">
      <c r="A138">
        <v>137</v>
      </c>
      <c r="B138" t="s">
        <v>430</v>
      </c>
      <c r="C138" s="2" t="s">
        <v>448</v>
      </c>
      <c r="D138">
        <v>67</v>
      </c>
      <c r="E138" s="1">
        <v>44789</v>
      </c>
      <c r="F138" s="1">
        <v>43426</v>
      </c>
      <c r="G138" s="1">
        <v>43151.464212962965</v>
      </c>
      <c r="H138" t="s">
        <v>15</v>
      </c>
      <c r="I138" t="s">
        <v>15</v>
      </c>
      <c r="J138" t="s">
        <v>15</v>
      </c>
      <c r="K138" t="s">
        <v>16</v>
      </c>
      <c r="L138">
        <v>55</v>
      </c>
      <c r="M138" t="s">
        <v>16</v>
      </c>
      <c r="N138" t="s">
        <v>16</v>
      </c>
      <c r="O138" t="s">
        <v>17</v>
      </c>
      <c r="P138" t="s">
        <v>75</v>
      </c>
      <c r="Q138" t="s">
        <v>16</v>
      </c>
      <c r="R138" t="s">
        <v>16</v>
      </c>
      <c r="S138" t="s">
        <v>16</v>
      </c>
      <c r="T138" t="s">
        <v>18</v>
      </c>
      <c r="U138" t="s">
        <v>16</v>
      </c>
      <c r="V138" t="s">
        <v>16</v>
      </c>
      <c r="W138" t="s">
        <v>18</v>
      </c>
      <c r="X138" t="s">
        <v>16</v>
      </c>
      <c r="Y138">
        <v>5.1300001144409197</v>
      </c>
      <c r="Z138">
        <v>3.21000003814697</v>
      </c>
      <c r="AA138">
        <v>1.1000000238418599</v>
      </c>
      <c r="AB138">
        <v>1.03999996185303</v>
      </c>
      <c r="AC138">
        <v>207.96342468261699</v>
      </c>
      <c r="AD138">
        <v>90</v>
      </c>
      <c r="AE138">
        <v>1</v>
      </c>
      <c r="AF138" t="s">
        <v>16</v>
      </c>
      <c r="AG138">
        <v>56.799999237060497</v>
      </c>
      <c r="AH138">
        <v>6.5999999046325701</v>
      </c>
      <c r="AI138">
        <v>6.0999999046325701</v>
      </c>
      <c r="AJ138">
        <v>9.3100004196166992</v>
      </c>
      <c r="AK138">
        <v>7</v>
      </c>
      <c r="AL138">
        <v>6.9000000953674299</v>
      </c>
      <c r="AM138">
        <v>8.2299995422363299</v>
      </c>
      <c r="AN138" t="s">
        <v>295</v>
      </c>
      <c r="AO138">
        <v>116</v>
      </c>
      <c r="AP138">
        <v>39.210383991346703</v>
      </c>
      <c r="AQ138" s="1">
        <v>43895</v>
      </c>
      <c r="AR138" s="1" t="s">
        <v>16</v>
      </c>
      <c r="AS138" s="1">
        <v>41212</v>
      </c>
      <c r="AT138" s="1">
        <v>43146</v>
      </c>
      <c r="AU138" s="1">
        <v>41212</v>
      </c>
      <c r="AV138" s="1">
        <v>41212.576776238428</v>
      </c>
      <c r="AW138" s="1">
        <v>41212</v>
      </c>
      <c r="AX138" s="1" t="s">
        <v>16</v>
      </c>
      <c r="AY138" t="s">
        <v>16</v>
      </c>
      <c r="AZ138">
        <v>111</v>
      </c>
      <c r="BA138">
        <v>56</v>
      </c>
      <c r="BB138">
        <v>4</v>
      </c>
      <c r="BC138">
        <f t="shared" si="6"/>
        <v>21.22944243882872</v>
      </c>
      <c r="BD138">
        <v>141</v>
      </c>
      <c r="BE138">
        <v>4.2</v>
      </c>
      <c r="BF138">
        <v>3.5</v>
      </c>
      <c r="BG138">
        <v>13.8</v>
      </c>
      <c r="BH138">
        <v>148</v>
      </c>
      <c r="BI138">
        <v>5.54</v>
      </c>
      <c r="BJ138">
        <v>8.0999999999999908</v>
      </c>
      <c r="BK138">
        <v>6</v>
      </c>
      <c r="BL138">
        <v>10.3</v>
      </c>
      <c r="BM138">
        <v>2.54</v>
      </c>
      <c r="BN138">
        <v>6.2</v>
      </c>
    </row>
    <row r="139" spans="1:66" x14ac:dyDescent="0.3">
      <c r="A139">
        <v>138</v>
      </c>
      <c r="B139" t="s">
        <v>430</v>
      </c>
      <c r="C139" s="2" t="s">
        <v>448</v>
      </c>
      <c r="D139">
        <v>70</v>
      </c>
      <c r="E139" s="1">
        <v>45506</v>
      </c>
      <c r="F139" s="1">
        <v>45111</v>
      </c>
      <c r="G139" s="1">
        <v>45154.474976851852</v>
      </c>
      <c r="H139" t="s">
        <v>15</v>
      </c>
      <c r="I139" t="s">
        <v>78</v>
      </c>
      <c r="J139" t="s">
        <v>24</v>
      </c>
      <c r="K139" t="s">
        <v>16</v>
      </c>
      <c r="L139">
        <v>50</v>
      </c>
      <c r="M139" t="s">
        <v>15</v>
      </c>
      <c r="N139" t="s">
        <v>15</v>
      </c>
      <c r="O139" t="s">
        <v>25</v>
      </c>
      <c r="P139" t="s">
        <v>75</v>
      </c>
      <c r="Q139" t="s">
        <v>19</v>
      </c>
      <c r="R139" t="s">
        <v>16</v>
      </c>
      <c r="S139" t="s">
        <v>92</v>
      </c>
      <c r="T139" t="s">
        <v>19</v>
      </c>
      <c r="U139" t="s">
        <v>16</v>
      </c>
      <c r="V139" t="s">
        <v>93</v>
      </c>
      <c r="W139" t="s">
        <v>18</v>
      </c>
      <c r="X139" t="s">
        <v>78</v>
      </c>
      <c r="Y139">
        <v>5.4000000953674299</v>
      </c>
      <c r="Z139">
        <v>3.4800000190734899</v>
      </c>
      <c r="AA139">
        <v>1.2699999809265099</v>
      </c>
      <c r="AB139">
        <v>1.33000004291534</v>
      </c>
      <c r="AC139">
        <v>295.57394409179699</v>
      </c>
      <c r="AD139">
        <v>164</v>
      </c>
      <c r="AE139">
        <v>1.3099999427795399</v>
      </c>
      <c r="AF139">
        <v>37</v>
      </c>
      <c r="AG139">
        <v>47.099998474121101</v>
      </c>
      <c r="AH139" t="s">
        <v>16</v>
      </c>
      <c r="AI139">
        <v>3.5799999237060498</v>
      </c>
      <c r="AJ139">
        <v>13.1599998474121</v>
      </c>
      <c r="AK139">
        <v>6.1900000572204599</v>
      </c>
      <c r="AL139">
        <v>9.6700000762939506</v>
      </c>
      <c r="AM139">
        <v>4.8699998855590803</v>
      </c>
      <c r="AN139" t="s">
        <v>296</v>
      </c>
      <c r="AO139" t="s">
        <v>16</v>
      </c>
      <c r="AP139" t="s">
        <v>16</v>
      </c>
      <c r="AQ139" s="1" t="s">
        <v>16</v>
      </c>
      <c r="AR139" s="1" t="s">
        <v>16</v>
      </c>
      <c r="AS139" s="1">
        <v>45032</v>
      </c>
      <c r="AT139" s="1" t="s">
        <v>16</v>
      </c>
      <c r="AU139" s="1">
        <v>40596</v>
      </c>
      <c r="AV139" s="1">
        <v>40596.498888738417</v>
      </c>
      <c r="AW139" s="1">
        <v>43913</v>
      </c>
      <c r="AX139" s="1" t="s">
        <v>16</v>
      </c>
      <c r="AY139" t="s">
        <v>16</v>
      </c>
      <c r="AZ139">
        <v>175</v>
      </c>
      <c r="BA139">
        <v>89</v>
      </c>
      <c r="BB139">
        <v>3</v>
      </c>
      <c r="BC139">
        <v>5.6</v>
      </c>
      <c r="BD139">
        <v>136</v>
      </c>
      <c r="BE139">
        <v>6.0999999999999899</v>
      </c>
      <c r="BF139">
        <v>3.3999999999999901</v>
      </c>
      <c r="BG139">
        <v>12.5</v>
      </c>
      <c r="BH139">
        <v>236</v>
      </c>
      <c r="BI139">
        <v>7.83</v>
      </c>
      <c r="BJ139">
        <v>7.9</v>
      </c>
      <c r="BK139">
        <v>5.4</v>
      </c>
      <c r="BL139">
        <v>6.9</v>
      </c>
      <c r="BM139">
        <v>9.7899999999999903</v>
      </c>
      <c r="BN139">
        <v>4.7</v>
      </c>
    </row>
    <row r="140" spans="1:66" x14ac:dyDescent="0.3">
      <c r="A140">
        <v>139</v>
      </c>
      <c r="B140" t="s">
        <v>430</v>
      </c>
      <c r="C140" s="2" t="s">
        <v>448</v>
      </c>
      <c r="D140">
        <v>61</v>
      </c>
      <c r="E140" s="1">
        <v>43813</v>
      </c>
      <c r="F140" s="1">
        <v>41434</v>
      </c>
      <c r="G140" s="1">
        <v>41308.527071759258</v>
      </c>
      <c r="H140" t="s">
        <v>17</v>
      </c>
      <c r="I140" t="s">
        <v>15</v>
      </c>
      <c r="J140" t="s">
        <v>14</v>
      </c>
      <c r="K140" t="s">
        <v>198</v>
      </c>
      <c r="L140">
        <v>45</v>
      </c>
      <c r="M140" t="s">
        <v>15</v>
      </c>
      <c r="N140" t="s">
        <v>15</v>
      </c>
      <c r="O140" t="s">
        <v>17</v>
      </c>
      <c r="P140" t="s">
        <v>16</v>
      </c>
      <c r="Q140" t="s">
        <v>18</v>
      </c>
      <c r="R140" t="s">
        <v>16</v>
      </c>
      <c r="S140" t="s">
        <v>16</v>
      </c>
      <c r="T140" t="s">
        <v>23</v>
      </c>
      <c r="U140" t="s">
        <v>16</v>
      </c>
      <c r="V140" t="s">
        <v>16</v>
      </c>
      <c r="W140" t="s">
        <v>23</v>
      </c>
      <c r="X140" t="s">
        <v>90</v>
      </c>
      <c r="Y140">
        <v>5.96000003814697</v>
      </c>
      <c r="Z140">
        <v>3.7000000476837198</v>
      </c>
      <c r="AA140">
        <v>0.97000002861022905</v>
      </c>
      <c r="AB140">
        <v>1.0599999427795399</v>
      </c>
      <c r="AC140">
        <v>248.84689331054699</v>
      </c>
      <c r="AD140">
        <v>120</v>
      </c>
      <c r="AE140">
        <v>1.25</v>
      </c>
      <c r="AF140">
        <v>63</v>
      </c>
      <c r="AG140">
        <v>123</v>
      </c>
      <c r="AH140">
        <v>6</v>
      </c>
      <c r="AI140">
        <v>6</v>
      </c>
      <c r="AJ140">
        <v>20.5</v>
      </c>
      <c r="AK140">
        <v>6</v>
      </c>
      <c r="AL140">
        <v>8</v>
      </c>
      <c r="AM140">
        <v>15.3800001144409</v>
      </c>
      <c r="AN140" t="s">
        <v>297</v>
      </c>
      <c r="AO140">
        <v>80</v>
      </c>
      <c r="AP140">
        <v>27.681660899653998</v>
      </c>
      <c r="AQ140" s="1">
        <v>41770</v>
      </c>
      <c r="AR140" s="1" t="s">
        <v>16</v>
      </c>
      <c r="AS140" s="1">
        <v>41770</v>
      </c>
      <c r="AT140" s="1" t="s">
        <v>16</v>
      </c>
      <c r="AU140" s="1" t="s">
        <v>16</v>
      </c>
      <c r="AV140" s="1">
        <v>41262.701987349537</v>
      </c>
      <c r="AW140" s="1" t="s">
        <v>16</v>
      </c>
      <c r="AX140" s="1" t="s">
        <v>16</v>
      </c>
      <c r="AY140" t="s">
        <v>21</v>
      </c>
      <c r="AZ140">
        <v>133</v>
      </c>
      <c r="BA140">
        <v>76</v>
      </c>
      <c r="BB140">
        <v>4</v>
      </c>
      <c r="BC140">
        <f t="shared" ref="BC140:BC145" si="7">(140-D140)*AO140/(72*BI140)</f>
        <v>9.0120921743098332</v>
      </c>
      <c r="BD140">
        <v>141</v>
      </c>
      <c r="BE140">
        <v>5.4</v>
      </c>
      <c r="BF140">
        <v>3.6</v>
      </c>
      <c r="BG140">
        <v>8.5999999999999908</v>
      </c>
      <c r="BH140">
        <v>189</v>
      </c>
      <c r="BI140">
        <v>9.74</v>
      </c>
      <c r="BJ140">
        <v>6.2</v>
      </c>
      <c r="BK140">
        <v>8.8000000000000007</v>
      </c>
      <c r="BL140">
        <v>9.3000000000000007</v>
      </c>
      <c r="BM140">
        <v>50.299999999999898</v>
      </c>
      <c r="BN140">
        <v>5.4</v>
      </c>
    </row>
    <row r="141" spans="1:66" x14ac:dyDescent="0.3">
      <c r="A141">
        <v>140</v>
      </c>
      <c r="B141" t="s">
        <v>430</v>
      </c>
      <c r="C141" s="2" t="s">
        <v>448</v>
      </c>
      <c r="D141">
        <v>61</v>
      </c>
      <c r="E141" s="1">
        <v>41525</v>
      </c>
      <c r="F141" s="1">
        <v>41404</v>
      </c>
      <c r="G141" s="1">
        <v>41392.598333333335</v>
      </c>
      <c r="H141" t="s">
        <v>15</v>
      </c>
      <c r="I141" t="s">
        <v>16</v>
      </c>
      <c r="J141" t="s">
        <v>15</v>
      </c>
      <c r="K141" t="s">
        <v>129</v>
      </c>
      <c r="L141">
        <v>65</v>
      </c>
      <c r="M141" t="s">
        <v>15</v>
      </c>
      <c r="N141" t="s">
        <v>15</v>
      </c>
      <c r="O141" t="s">
        <v>17</v>
      </c>
      <c r="P141" t="s">
        <v>85</v>
      </c>
      <c r="Q141" t="s">
        <v>18</v>
      </c>
      <c r="R141" t="s">
        <v>16</v>
      </c>
      <c r="S141" t="s">
        <v>16</v>
      </c>
      <c r="T141" t="s">
        <v>19</v>
      </c>
      <c r="U141" t="s">
        <v>121</v>
      </c>
      <c r="V141" t="s">
        <v>16</v>
      </c>
      <c r="W141" t="s">
        <v>18</v>
      </c>
      <c r="X141" t="s">
        <v>78</v>
      </c>
      <c r="Y141">
        <v>5.0999999046325701</v>
      </c>
      <c r="Z141">
        <v>2.9000000953674299</v>
      </c>
      <c r="AA141">
        <v>1.20000004768372</v>
      </c>
      <c r="AB141">
        <v>1</v>
      </c>
      <c r="AC141">
        <v>213.89651489257801</v>
      </c>
      <c r="AD141">
        <v>91</v>
      </c>
      <c r="AE141">
        <v>1</v>
      </c>
      <c r="AF141">
        <v>37</v>
      </c>
      <c r="AG141">
        <v>105</v>
      </c>
      <c r="AH141" t="s">
        <v>16</v>
      </c>
      <c r="AI141" t="s">
        <v>16</v>
      </c>
      <c r="AJ141" t="s">
        <v>16</v>
      </c>
      <c r="AK141" t="s">
        <v>16</v>
      </c>
      <c r="AL141" t="s">
        <v>16</v>
      </c>
      <c r="AM141" t="s">
        <v>16</v>
      </c>
      <c r="AN141" t="s">
        <v>298</v>
      </c>
      <c r="AO141">
        <v>110</v>
      </c>
      <c r="AP141">
        <v>29.530994120647499</v>
      </c>
      <c r="AQ141" s="1" t="s">
        <v>16</v>
      </c>
      <c r="AR141" s="1" t="s">
        <v>16</v>
      </c>
      <c r="AS141" s="1" t="s">
        <v>16</v>
      </c>
      <c r="AT141" s="1" t="s">
        <v>16</v>
      </c>
      <c r="AU141" s="1">
        <v>39659</v>
      </c>
      <c r="AV141" s="1">
        <v>39659.161953206021</v>
      </c>
      <c r="AW141" s="1">
        <v>39973</v>
      </c>
      <c r="AX141" s="1" t="s">
        <v>16</v>
      </c>
      <c r="AY141" t="s">
        <v>16</v>
      </c>
      <c r="AZ141">
        <v>132</v>
      </c>
      <c r="BA141">
        <v>65</v>
      </c>
      <c r="BB141">
        <v>0</v>
      </c>
      <c r="BC141">
        <f t="shared" si="7"/>
        <v>48.277777777777779</v>
      </c>
      <c r="BD141">
        <v>136</v>
      </c>
      <c r="BE141">
        <v>4.5999999999999899</v>
      </c>
      <c r="BF141">
        <v>3</v>
      </c>
      <c r="BH141">
        <v>75</v>
      </c>
      <c r="BI141">
        <v>2.5</v>
      </c>
      <c r="BJ141">
        <v>8.1999999999999904</v>
      </c>
      <c r="BK141">
        <v>3.8999999999999901</v>
      </c>
      <c r="BL141">
        <v>8.3000000000000007</v>
      </c>
      <c r="BM141">
        <v>22.559999999999899</v>
      </c>
      <c r="BN141">
        <v>7.0999999999999899</v>
      </c>
    </row>
    <row r="142" spans="1:66" x14ac:dyDescent="0.3">
      <c r="A142">
        <v>141</v>
      </c>
      <c r="B142" t="s">
        <v>430</v>
      </c>
      <c r="C142" s="2" t="s">
        <v>448</v>
      </c>
      <c r="D142">
        <v>60</v>
      </c>
      <c r="E142" s="1">
        <v>41882</v>
      </c>
      <c r="F142" s="1">
        <v>41802</v>
      </c>
      <c r="G142" s="1">
        <v>41805.432245370372</v>
      </c>
      <c r="H142" t="s">
        <v>31</v>
      </c>
      <c r="I142" t="s">
        <v>78</v>
      </c>
      <c r="J142" t="s">
        <v>35</v>
      </c>
      <c r="K142" t="s">
        <v>16</v>
      </c>
      <c r="L142">
        <v>25</v>
      </c>
      <c r="M142" t="s">
        <v>16</v>
      </c>
      <c r="N142" t="s">
        <v>16</v>
      </c>
      <c r="O142" t="s">
        <v>31</v>
      </c>
      <c r="P142" t="s">
        <v>75</v>
      </c>
      <c r="Q142" t="s">
        <v>18</v>
      </c>
      <c r="R142" t="s">
        <v>16</v>
      </c>
      <c r="S142" t="s">
        <v>16</v>
      </c>
      <c r="T142" t="s">
        <v>19</v>
      </c>
      <c r="U142" t="s">
        <v>16</v>
      </c>
      <c r="V142" t="s">
        <v>16</v>
      </c>
      <c r="W142" t="s">
        <v>26</v>
      </c>
      <c r="X142" t="s">
        <v>78</v>
      </c>
      <c r="Y142">
        <v>6.5100002288818404</v>
      </c>
      <c r="Z142">
        <v>4.71000003814697</v>
      </c>
      <c r="AA142">
        <v>1.37999999523163</v>
      </c>
      <c r="AB142">
        <v>0.89999997615814198</v>
      </c>
      <c r="AC142">
        <v>336.10980224609398</v>
      </c>
      <c r="AD142">
        <v>147</v>
      </c>
      <c r="AE142">
        <v>2.0599999427795401</v>
      </c>
      <c r="AF142">
        <v>48</v>
      </c>
      <c r="AG142">
        <v>122</v>
      </c>
      <c r="AH142">
        <v>4.7199997901916504</v>
      </c>
      <c r="AI142">
        <v>2.1400001049041699</v>
      </c>
      <c r="AJ142">
        <v>57.009998321533203</v>
      </c>
      <c r="AK142">
        <v>3.6800000667571999</v>
      </c>
      <c r="AL142">
        <v>4.2600002288818404</v>
      </c>
      <c r="AM142">
        <v>28.639999389648398</v>
      </c>
      <c r="AN142" t="s">
        <v>299</v>
      </c>
      <c r="AO142">
        <v>122</v>
      </c>
      <c r="AP142">
        <v>42.214532871972303</v>
      </c>
      <c r="AQ142" s="1" t="s">
        <v>16</v>
      </c>
      <c r="AR142" s="1">
        <v>41799</v>
      </c>
      <c r="AS142" s="1">
        <v>41799</v>
      </c>
      <c r="AT142" s="1" t="s">
        <v>16</v>
      </c>
      <c r="AU142" s="1" t="s">
        <v>16</v>
      </c>
      <c r="AV142" s="1"/>
      <c r="AW142" s="1" t="s">
        <v>16</v>
      </c>
      <c r="AX142" s="1" t="s">
        <v>16</v>
      </c>
      <c r="AY142" t="s">
        <v>21</v>
      </c>
      <c r="AZ142">
        <v>118</v>
      </c>
      <c r="BA142">
        <v>58</v>
      </c>
      <c r="BB142">
        <v>2</v>
      </c>
      <c r="BC142">
        <f t="shared" si="7"/>
        <v>25.968497232865097</v>
      </c>
      <c r="BD142">
        <v>136</v>
      </c>
      <c r="BE142">
        <v>4.0999999999999899</v>
      </c>
      <c r="BF142">
        <v>3.7</v>
      </c>
      <c r="BG142">
        <v>9.4</v>
      </c>
      <c r="BH142">
        <v>347</v>
      </c>
      <c r="BI142">
        <v>5.21999999999999</v>
      </c>
      <c r="BJ142">
        <v>8.5999999999999908</v>
      </c>
      <c r="BK142">
        <v>5.9</v>
      </c>
      <c r="BL142">
        <v>5</v>
      </c>
      <c r="BM142">
        <v>37.939999999999898</v>
      </c>
    </row>
    <row r="143" spans="1:66" x14ac:dyDescent="0.3">
      <c r="A143">
        <v>142</v>
      </c>
      <c r="B143" t="s">
        <v>430</v>
      </c>
      <c r="C143" s="2" t="s">
        <v>449</v>
      </c>
      <c r="D143">
        <v>65</v>
      </c>
      <c r="E143" s="1" t="s">
        <v>16</v>
      </c>
      <c r="F143" s="1">
        <v>43201</v>
      </c>
      <c r="G143" s="1">
        <v>43103.452175925922</v>
      </c>
      <c r="H143" t="s">
        <v>15</v>
      </c>
      <c r="I143" t="s">
        <v>78</v>
      </c>
      <c r="J143" t="s">
        <v>15</v>
      </c>
      <c r="K143" t="s">
        <v>16</v>
      </c>
      <c r="L143">
        <v>60</v>
      </c>
      <c r="M143" t="s">
        <v>15</v>
      </c>
      <c r="N143" t="s">
        <v>15</v>
      </c>
      <c r="O143" t="s">
        <v>25</v>
      </c>
      <c r="P143" t="s">
        <v>85</v>
      </c>
      <c r="Q143" t="s">
        <v>18</v>
      </c>
      <c r="R143" t="s">
        <v>16</v>
      </c>
      <c r="S143" t="s">
        <v>92</v>
      </c>
      <c r="T143" t="s">
        <v>18</v>
      </c>
      <c r="U143" t="s">
        <v>16</v>
      </c>
      <c r="V143" t="s">
        <v>93</v>
      </c>
      <c r="W143" t="s">
        <v>19</v>
      </c>
      <c r="X143" t="s">
        <v>15</v>
      </c>
      <c r="Y143">
        <v>5.2199997901916504</v>
      </c>
      <c r="Z143">
        <v>3.1700000762939502</v>
      </c>
      <c r="AA143">
        <v>1.20000004768372</v>
      </c>
      <c r="AB143">
        <v>1.0599999427795399</v>
      </c>
      <c r="AC143">
        <v>230.45858764648401</v>
      </c>
      <c r="AD143">
        <v>123</v>
      </c>
      <c r="AE143">
        <v>1</v>
      </c>
      <c r="AF143">
        <v>67</v>
      </c>
      <c r="AG143">
        <v>89.800003051757798</v>
      </c>
      <c r="AH143">
        <v>7.6300001144409197</v>
      </c>
      <c r="AI143">
        <v>5.1799998283386204</v>
      </c>
      <c r="AJ143">
        <v>17.340000152587901</v>
      </c>
      <c r="AK143">
        <v>7.6900000572204599</v>
      </c>
      <c r="AL143">
        <v>6.1300001144409197</v>
      </c>
      <c r="AM143">
        <v>14.6499996185303</v>
      </c>
      <c r="AN143" t="s">
        <v>300</v>
      </c>
      <c r="AO143">
        <v>96</v>
      </c>
      <c r="AP143">
        <v>36.132334675749902</v>
      </c>
      <c r="AQ143" s="1" t="s">
        <v>16</v>
      </c>
      <c r="AR143" s="1" t="s">
        <v>16</v>
      </c>
      <c r="AS143" s="1" t="s">
        <v>16</v>
      </c>
      <c r="AT143" s="1">
        <v>43894</v>
      </c>
      <c r="AU143" s="1">
        <v>41982</v>
      </c>
      <c r="AV143" s="1">
        <v>41982.554402743059</v>
      </c>
      <c r="AW143" s="1">
        <v>41982</v>
      </c>
      <c r="AX143" s="1" t="s">
        <v>16</v>
      </c>
      <c r="AY143" t="s">
        <v>16</v>
      </c>
      <c r="AZ143">
        <v>95</v>
      </c>
      <c r="BA143">
        <v>56</v>
      </c>
      <c r="BB143">
        <v>0</v>
      </c>
      <c r="BC143">
        <f t="shared" si="7"/>
        <v>39.215686274509956</v>
      </c>
      <c r="BD143">
        <v>131</v>
      </c>
      <c r="BE143">
        <v>3.5</v>
      </c>
      <c r="BF143">
        <v>2.7</v>
      </c>
      <c r="BG143">
        <v>8.6999999999999904</v>
      </c>
      <c r="BH143">
        <v>451</v>
      </c>
      <c r="BI143">
        <v>2.5499999999999901</v>
      </c>
      <c r="BJ143">
        <v>9</v>
      </c>
      <c r="BK143">
        <v>5.2999999999999901</v>
      </c>
      <c r="BL143">
        <v>15.9</v>
      </c>
      <c r="BM143">
        <v>132.63999999999899</v>
      </c>
      <c r="BN143">
        <v>5.5</v>
      </c>
    </row>
    <row r="144" spans="1:66" x14ac:dyDescent="0.3">
      <c r="A144">
        <v>143</v>
      </c>
      <c r="B144" t="s">
        <v>430</v>
      </c>
      <c r="C144" s="2" t="s">
        <v>449</v>
      </c>
      <c r="D144">
        <v>66</v>
      </c>
      <c r="E144" s="1" t="s">
        <v>16</v>
      </c>
      <c r="F144" s="1">
        <v>44033</v>
      </c>
      <c r="G144" s="1">
        <v>43899.727106481485</v>
      </c>
      <c r="H144" t="s">
        <v>16</v>
      </c>
      <c r="I144" t="s">
        <v>16</v>
      </c>
      <c r="J144" t="s">
        <v>16</v>
      </c>
      <c r="K144" t="s">
        <v>16</v>
      </c>
      <c r="L144">
        <v>60</v>
      </c>
      <c r="M144" t="s">
        <v>16</v>
      </c>
      <c r="N144" t="s">
        <v>16</v>
      </c>
      <c r="O144" t="s">
        <v>16</v>
      </c>
      <c r="P144" t="s">
        <v>16</v>
      </c>
      <c r="Q144" t="s">
        <v>16</v>
      </c>
      <c r="R144" t="s">
        <v>16</v>
      </c>
      <c r="S144" t="s">
        <v>16</v>
      </c>
      <c r="T144" t="s">
        <v>16</v>
      </c>
      <c r="U144" t="s">
        <v>16</v>
      </c>
      <c r="V144" t="s">
        <v>16</v>
      </c>
      <c r="W144" t="s">
        <v>16</v>
      </c>
      <c r="X144" t="s">
        <v>16</v>
      </c>
      <c r="Y144">
        <v>4.9000000953674299</v>
      </c>
      <c r="Z144">
        <v>3.4000000953674299</v>
      </c>
      <c r="AA144">
        <v>1.3999999761581401</v>
      </c>
      <c r="AB144">
        <v>1</v>
      </c>
      <c r="AC144">
        <v>226.378173828125</v>
      </c>
      <c r="AD144">
        <v>151</v>
      </c>
      <c r="AE144">
        <v>1</v>
      </c>
      <c r="AF144" t="s">
        <v>16</v>
      </c>
      <c r="AG144">
        <v>72.300003051757798</v>
      </c>
      <c r="AH144">
        <v>6.1999998092651403</v>
      </c>
      <c r="AI144">
        <v>5.9800000190734899</v>
      </c>
      <c r="AJ144">
        <v>12.0900001525879</v>
      </c>
      <c r="AK144">
        <v>5.6599998474121103</v>
      </c>
      <c r="AL144">
        <v>4.1300001144409197</v>
      </c>
      <c r="AM144">
        <v>17.5100002288818</v>
      </c>
      <c r="AN144" t="s">
        <v>301</v>
      </c>
      <c r="AO144">
        <v>45</v>
      </c>
      <c r="AP144">
        <v>20</v>
      </c>
      <c r="AQ144" s="1" t="s">
        <v>16</v>
      </c>
      <c r="AR144" s="1" t="s">
        <v>16</v>
      </c>
      <c r="AS144" s="1" t="s">
        <v>16</v>
      </c>
      <c r="AT144" s="1" t="s">
        <v>16</v>
      </c>
      <c r="AU144" s="1">
        <v>42309</v>
      </c>
      <c r="AV144" s="1">
        <v>42309.640379826393</v>
      </c>
      <c r="AW144" s="1">
        <v>42309</v>
      </c>
      <c r="AX144" s="1">
        <v>44353</v>
      </c>
      <c r="AY144" t="s">
        <v>16</v>
      </c>
      <c r="AZ144">
        <v>140</v>
      </c>
      <c r="BA144">
        <v>76</v>
      </c>
      <c r="BB144">
        <v>4</v>
      </c>
      <c r="BC144">
        <f t="shared" si="7"/>
        <v>7.7600671140939594</v>
      </c>
      <c r="BD144">
        <v>139</v>
      </c>
      <c r="BE144">
        <v>5.4</v>
      </c>
      <c r="BF144">
        <v>3.2999999999999901</v>
      </c>
      <c r="BG144">
        <v>6.7</v>
      </c>
      <c r="BH144">
        <v>209</v>
      </c>
      <c r="BI144">
        <v>5.96</v>
      </c>
      <c r="BJ144">
        <v>7.7999999999999901</v>
      </c>
      <c r="BK144">
        <v>5.7</v>
      </c>
      <c r="BL144">
        <v>5.4</v>
      </c>
      <c r="BM144">
        <v>11.65</v>
      </c>
      <c r="BN144">
        <v>6</v>
      </c>
    </row>
    <row r="145" spans="1:66" x14ac:dyDescent="0.3">
      <c r="A145">
        <v>144</v>
      </c>
      <c r="B145" t="s">
        <v>434</v>
      </c>
      <c r="C145" s="2" t="s">
        <v>449</v>
      </c>
      <c r="D145">
        <v>67</v>
      </c>
      <c r="E145" s="1">
        <v>45131</v>
      </c>
      <c r="F145" s="1">
        <v>45041</v>
      </c>
      <c r="G145" s="1">
        <v>44832.662303240744</v>
      </c>
      <c r="H145" t="s">
        <v>15</v>
      </c>
      <c r="I145" t="s">
        <v>16</v>
      </c>
      <c r="J145" t="s">
        <v>22</v>
      </c>
      <c r="K145" t="s">
        <v>16</v>
      </c>
      <c r="L145">
        <v>40</v>
      </c>
      <c r="M145" t="s">
        <v>17</v>
      </c>
      <c r="N145" t="s">
        <v>35</v>
      </c>
      <c r="O145" t="s">
        <v>17</v>
      </c>
      <c r="P145" t="s">
        <v>16</v>
      </c>
      <c r="Q145" t="s">
        <v>16</v>
      </c>
      <c r="R145" t="s">
        <v>16</v>
      </c>
      <c r="S145" t="s">
        <v>16</v>
      </c>
      <c r="T145" t="s">
        <v>19</v>
      </c>
      <c r="U145" t="s">
        <v>16</v>
      </c>
      <c r="V145" t="s">
        <v>16</v>
      </c>
      <c r="W145" t="s">
        <v>26</v>
      </c>
      <c r="X145" t="s">
        <v>90</v>
      </c>
      <c r="Y145">
        <v>4.9000000953674299</v>
      </c>
      <c r="Z145">
        <v>3.4000000953674299</v>
      </c>
      <c r="AA145">
        <v>1</v>
      </c>
      <c r="AB145">
        <v>1.1000000238418599</v>
      </c>
      <c r="AC145">
        <v>188.09202575683599</v>
      </c>
      <c r="AD145">
        <v>113</v>
      </c>
      <c r="AE145">
        <v>2</v>
      </c>
      <c r="AF145">
        <v>82</v>
      </c>
      <c r="AG145">
        <v>85.300003051757798</v>
      </c>
      <c r="AH145" t="s">
        <v>16</v>
      </c>
      <c r="AI145">
        <v>3.1500000953674299</v>
      </c>
      <c r="AJ145">
        <v>27.079999923706101</v>
      </c>
      <c r="AK145">
        <v>4.2399997711181596</v>
      </c>
      <c r="AL145">
        <v>4.46000003814697</v>
      </c>
      <c r="AM145">
        <v>19.129999160766602</v>
      </c>
      <c r="AN145" t="s">
        <v>302</v>
      </c>
      <c r="AO145">
        <v>63</v>
      </c>
      <c r="AP145">
        <v>26.564344746162899</v>
      </c>
      <c r="AQ145" s="1" t="s">
        <v>16</v>
      </c>
      <c r="AR145" s="1" t="s">
        <v>16</v>
      </c>
      <c r="AS145" s="1" t="s">
        <v>16</v>
      </c>
      <c r="AT145" s="1">
        <v>44663</v>
      </c>
      <c r="AU145" s="1" t="s">
        <v>16</v>
      </c>
      <c r="AV145" s="1"/>
      <c r="AW145" s="1" t="s">
        <v>16</v>
      </c>
      <c r="AX145" s="1">
        <v>45018</v>
      </c>
      <c r="AY145" t="s">
        <v>16</v>
      </c>
      <c r="AZ145">
        <v>93</v>
      </c>
      <c r="BA145">
        <v>58</v>
      </c>
      <c r="BB145">
        <v>1</v>
      </c>
      <c r="BC145">
        <f t="shared" si="7"/>
        <v>58.600917431192656</v>
      </c>
      <c r="BD145">
        <v>143</v>
      </c>
      <c r="BE145">
        <v>3.3999999999999901</v>
      </c>
      <c r="BF145">
        <v>3.3999999999999901</v>
      </c>
      <c r="BG145">
        <v>9.4</v>
      </c>
      <c r="BH145">
        <v>56</v>
      </c>
      <c r="BI145">
        <v>1.0900000000000001</v>
      </c>
      <c r="BJ145">
        <v>8.8000000000000007</v>
      </c>
      <c r="BK145">
        <v>3.8999999999999901</v>
      </c>
      <c r="BL145">
        <v>7.2</v>
      </c>
      <c r="BM145">
        <v>18.03</v>
      </c>
      <c r="BN145">
        <v>4.7999999999999901</v>
      </c>
    </row>
    <row r="146" spans="1:66" x14ac:dyDescent="0.3">
      <c r="A146">
        <v>145</v>
      </c>
      <c r="B146" t="s">
        <v>430</v>
      </c>
      <c r="C146" s="2" t="s">
        <v>448</v>
      </c>
      <c r="D146">
        <v>63</v>
      </c>
      <c r="E146" s="1">
        <v>43725</v>
      </c>
      <c r="F146" s="1">
        <v>43172</v>
      </c>
      <c r="G146" s="1">
        <v>43165.434398148151</v>
      </c>
      <c r="H146" t="s">
        <v>25</v>
      </c>
      <c r="I146" t="s">
        <v>78</v>
      </c>
      <c r="J146" t="s">
        <v>28</v>
      </c>
      <c r="K146" t="s">
        <v>16</v>
      </c>
      <c r="L146">
        <v>35</v>
      </c>
      <c r="M146" t="s">
        <v>16</v>
      </c>
      <c r="N146" t="s">
        <v>16</v>
      </c>
      <c r="O146" t="s">
        <v>17</v>
      </c>
      <c r="P146" t="s">
        <v>75</v>
      </c>
      <c r="Q146" t="s">
        <v>19</v>
      </c>
      <c r="R146" t="s">
        <v>16</v>
      </c>
      <c r="S146" t="s">
        <v>92</v>
      </c>
      <c r="T146" t="s">
        <v>29</v>
      </c>
      <c r="U146" t="s">
        <v>16</v>
      </c>
      <c r="V146" t="s">
        <v>16</v>
      </c>
      <c r="W146" t="s">
        <v>18</v>
      </c>
      <c r="X146" t="s">
        <v>15</v>
      </c>
      <c r="Y146">
        <v>6.4800000190734899</v>
      </c>
      <c r="Z146">
        <v>4.3499999046325701</v>
      </c>
      <c r="AA146">
        <v>1.2699999809265099</v>
      </c>
      <c r="AB146">
        <v>1.25</v>
      </c>
      <c r="AC146">
        <v>380.74264526367199</v>
      </c>
      <c r="AD146">
        <v>204</v>
      </c>
      <c r="AE146">
        <v>2.1199998855590798</v>
      </c>
      <c r="AF146">
        <v>32</v>
      </c>
      <c r="AG146">
        <v>95.599998474121094</v>
      </c>
      <c r="AH146">
        <v>7.1599998474121103</v>
      </c>
      <c r="AI146">
        <v>6.8699998855590803</v>
      </c>
      <c r="AJ146">
        <v>13.920000076293899</v>
      </c>
      <c r="AK146">
        <v>8.5100002288818395</v>
      </c>
      <c r="AL146">
        <v>4.25</v>
      </c>
      <c r="AM146">
        <v>22.4899997711182</v>
      </c>
      <c r="AN146" t="s">
        <v>303</v>
      </c>
      <c r="AO146" t="s">
        <v>16</v>
      </c>
      <c r="AP146" t="s">
        <v>16</v>
      </c>
      <c r="AQ146" s="1">
        <v>43164</v>
      </c>
      <c r="AR146" s="1" t="s">
        <v>16</v>
      </c>
      <c r="AS146" s="1">
        <v>43164</v>
      </c>
      <c r="AT146" s="1" t="s">
        <v>16</v>
      </c>
      <c r="AU146" s="1">
        <v>41872</v>
      </c>
      <c r="AV146" s="1">
        <v>41872.501957638888</v>
      </c>
      <c r="AW146" s="1">
        <v>41872</v>
      </c>
      <c r="AX146" s="1" t="s">
        <v>16</v>
      </c>
      <c r="AY146" t="s">
        <v>16</v>
      </c>
      <c r="AZ146">
        <v>121</v>
      </c>
      <c r="BA146">
        <v>61</v>
      </c>
      <c r="BB146">
        <v>4</v>
      </c>
      <c r="BC146">
        <v>6.9</v>
      </c>
      <c r="BD146">
        <v>134</v>
      </c>
      <c r="BE146">
        <v>4.7</v>
      </c>
      <c r="BF146">
        <v>3</v>
      </c>
      <c r="BG146">
        <v>9.8000000000000007</v>
      </c>
      <c r="BH146">
        <v>264</v>
      </c>
      <c r="BI146">
        <v>7.95</v>
      </c>
      <c r="BJ146">
        <v>7.7999999999999901</v>
      </c>
      <c r="BK146">
        <v>7.2</v>
      </c>
      <c r="BL146">
        <v>9.4</v>
      </c>
      <c r="BM146">
        <v>117.36</v>
      </c>
      <c r="BN146">
        <v>6.7</v>
      </c>
    </row>
    <row r="147" spans="1:66" x14ac:dyDescent="0.3">
      <c r="A147">
        <v>146</v>
      </c>
      <c r="B147" t="s">
        <v>430</v>
      </c>
      <c r="C147" s="2" t="s">
        <v>449</v>
      </c>
      <c r="D147">
        <v>64</v>
      </c>
      <c r="E147" s="1">
        <v>43994</v>
      </c>
      <c r="F147" s="1">
        <v>43955</v>
      </c>
      <c r="G147" s="1">
        <v>43965.459131944444</v>
      </c>
      <c r="H147" t="s">
        <v>15</v>
      </c>
      <c r="I147" t="s">
        <v>16</v>
      </c>
      <c r="J147" t="s">
        <v>24</v>
      </c>
      <c r="K147" t="s">
        <v>16</v>
      </c>
      <c r="L147">
        <v>50</v>
      </c>
      <c r="M147" t="s">
        <v>15</v>
      </c>
      <c r="N147" t="s">
        <v>15</v>
      </c>
      <c r="O147" t="s">
        <v>17</v>
      </c>
      <c r="P147" t="s">
        <v>75</v>
      </c>
      <c r="Q147" t="s">
        <v>16</v>
      </c>
      <c r="R147" t="s">
        <v>16</v>
      </c>
      <c r="S147" t="s">
        <v>16</v>
      </c>
      <c r="T147" t="s">
        <v>29</v>
      </c>
      <c r="U147" t="s">
        <v>16</v>
      </c>
      <c r="V147" t="s">
        <v>16</v>
      </c>
      <c r="W147" t="s">
        <v>23</v>
      </c>
      <c r="X147" t="s">
        <v>15</v>
      </c>
      <c r="Y147">
        <v>4.5999999046325701</v>
      </c>
      <c r="Z147">
        <v>3.6300001144409202</v>
      </c>
      <c r="AA147">
        <v>0.94999998807907104</v>
      </c>
      <c r="AB147">
        <v>0.88999998569488503</v>
      </c>
      <c r="AC147">
        <v>141.83531188964801</v>
      </c>
      <c r="AD147">
        <v>104</v>
      </c>
      <c r="AE147">
        <v>1</v>
      </c>
      <c r="AF147">
        <v>34</v>
      </c>
      <c r="AG147">
        <v>86.400001525878906</v>
      </c>
      <c r="AH147">
        <v>8.1599998474121094</v>
      </c>
      <c r="AI147">
        <v>7.1799998283386204</v>
      </c>
      <c r="AJ147">
        <v>12.0299997329712</v>
      </c>
      <c r="AK147">
        <v>6.4200000762939498</v>
      </c>
      <c r="AL147">
        <v>9.8999996185302699</v>
      </c>
      <c r="AM147">
        <v>8.7299995422363299</v>
      </c>
      <c r="AN147" t="s">
        <v>304</v>
      </c>
      <c r="AO147">
        <v>46</v>
      </c>
      <c r="AP147">
        <v>20.4444444444444</v>
      </c>
      <c r="AQ147" s="1" t="s">
        <v>16</v>
      </c>
      <c r="AR147" s="1" t="s">
        <v>16</v>
      </c>
      <c r="AS147" s="1" t="s">
        <v>16</v>
      </c>
      <c r="AT147" s="1">
        <v>43964</v>
      </c>
      <c r="AU147" s="1" t="s">
        <v>16</v>
      </c>
      <c r="AV147" s="1"/>
      <c r="AW147" s="1" t="s">
        <v>16</v>
      </c>
      <c r="AX147" s="1" t="s">
        <v>16</v>
      </c>
      <c r="AY147" t="s">
        <v>16</v>
      </c>
      <c r="AZ147">
        <v>148</v>
      </c>
      <c r="BA147">
        <v>80</v>
      </c>
      <c r="BB147">
        <v>0</v>
      </c>
      <c r="BC147">
        <f t="shared" ref="BC147:BC163" si="8">(140-D147)*AO147/(72*BI147)</f>
        <v>39.799635701275044</v>
      </c>
      <c r="BD147">
        <v>136.5</v>
      </c>
      <c r="BE147">
        <v>3.56</v>
      </c>
      <c r="BF147">
        <v>3.5</v>
      </c>
      <c r="BH147">
        <v>37</v>
      </c>
      <c r="BI147">
        <v>1.22</v>
      </c>
      <c r="BJ147">
        <v>9</v>
      </c>
      <c r="BK147">
        <v>2.8999999999999901</v>
      </c>
      <c r="BL147">
        <v>3.7999999999999901</v>
      </c>
      <c r="BM147">
        <v>34.369999999999898</v>
      </c>
      <c r="BN147">
        <v>4.9000000000000004</v>
      </c>
    </row>
    <row r="148" spans="1:66" x14ac:dyDescent="0.3">
      <c r="A148">
        <v>147</v>
      </c>
      <c r="B148" t="s">
        <v>430</v>
      </c>
      <c r="C148" s="2" t="s">
        <v>450</v>
      </c>
      <c r="D148">
        <v>57</v>
      </c>
      <c r="E148" s="1">
        <v>42210</v>
      </c>
      <c r="F148" s="1">
        <v>41303</v>
      </c>
      <c r="G148" s="1">
        <v>41318.515266203707</v>
      </c>
      <c r="H148" t="s">
        <v>15</v>
      </c>
      <c r="I148" t="s">
        <v>78</v>
      </c>
      <c r="J148" t="s">
        <v>28</v>
      </c>
      <c r="K148" t="s">
        <v>198</v>
      </c>
      <c r="L148">
        <v>35</v>
      </c>
      <c r="M148" t="s">
        <v>15</v>
      </c>
      <c r="N148" t="s">
        <v>15</v>
      </c>
      <c r="O148" t="s">
        <v>17</v>
      </c>
      <c r="P148" t="s">
        <v>16</v>
      </c>
      <c r="Q148" t="s">
        <v>16</v>
      </c>
      <c r="R148" t="s">
        <v>16</v>
      </c>
      <c r="S148" t="s">
        <v>16</v>
      </c>
      <c r="T148" t="s">
        <v>23</v>
      </c>
      <c r="U148" t="s">
        <v>121</v>
      </c>
      <c r="V148" t="s">
        <v>16</v>
      </c>
      <c r="W148" t="s">
        <v>19</v>
      </c>
      <c r="X148" t="s">
        <v>78</v>
      </c>
      <c r="Y148">
        <v>4.6700000762939498</v>
      </c>
      <c r="Z148">
        <v>3.2400000095367401</v>
      </c>
      <c r="AA148">
        <v>1.2300000190734901</v>
      </c>
      <c r="AB148">
        <v>1.0900000333786</v>
      </c>
      <c r="AC148">
        <v>200.01753234863301</v>
      </c>
      <c r="AD148">
        <v>87</v>
      </c>
      <c r="AE148">
        <v>1.75</v>
      </c>
      <c r="AF148">
        <v>46</v>
      </c>
      <c r="AG148">
        <v>97.699996948242202</v>
      </c>
      <c r="AH148">
        <v>5</v>
      </c>
      <c r="AI148">
        <v>5</v>
      </c>
      <c r="AJ148">
        <v>19.540000915527301</v>
      </c>
      <c r="AK148">
        <v>6</v>
      </c>
      <c r="AL148">
        <v>8</v>
      </c>
      <c r="AM148">
        <v>12.210000038146999</v>
      </c>
      <c r="AN148" t="s">
        <v>305</v>
      </c>
      <c r="AO148">
        <v>115</v>
      </c>
      <c r="AP148">
        <v>35.493827160493801</v>
      </c>
      <c r="AQ148" s="1">
        <v>37987</v>
      </c>
      <c r="AR148" s="1" t="s">
        <v>16</v>
      </c>
      <c r="AS148" s="1">
        <v>37987</v>
      </c>
      <c r="AT148" s="1">
        <v>42100</v>
      </c>
      <c r="AU148" s="1">
        <v>41226</v>
      </c>
      <c r="AV148" s="1">
        <v>41226.94173136574</v>
      </c>
      <c r="AW148" s="1">
        <v>41226</v>
      </c>
      <c r="AX148" s="1">
        <v>41226</v>
      </c>
      <c r="AY148" t="s">
        <v>16</v>
      </c>
      <c r="AZ148">
        <v>125</v>
      </c>
      <c r="BA148">
        <v>61</v>
      </c>
      <c r="BB148">
        <v>4</v>
      </c>
      <c r="BC148">
        <f t="shared" si="8"/>
        <v>21.948583517292128</v>
      </c>
      <c r="BD148">
        <v>134</v>
      </c>
      <c r="BE148">
        <v>5.2999999999999901</v>
      </c>
      <c r="BF148">
        <v>2.7999999999999901</v>
      </c>
      <c r="BH148">
        <v>230</v>
      </c>
      <c r="BI148">
        <v>6.04</v>
      </c>
      <c r="BJ148">
        <v>8.4</v>
      </c>
      <c r="BK148">
        <v>8.3000000000000007</v>
      </c>
      <c r="BL148">
        <v>13.1999999999999</v>
      </c>
      <c r="BM148">
        <v>149.22</v>
      </c>
      <c r="BN148">
        <v>11.5</v>
      </c>
    </row>
    <row r="149" spans="1:66" x14ac:dyDescent="0.3">
      <c r="A149">
        <v>148</v>
      </c>
      <c r="B149" t="s">
        <v>434</v>
      </c>
      <c r="C149" s="2" t="s">
        <v>448</v>
      </c>
      <c r="D149">
        <v>53</v>
      </c>
      <c r="E149" s="1">
        <v>42388</v>
      </c>
      <c r="F149" s="1">
        <v>41627</v>
      </c>
      <c r="G149" s="1">
        <v>41472.638333333336</v>
      </c>
      <c r="H149" t="s">
        <v>16</v>
      </c>
      <c r="I149" t="s">
        <v>16</v>
      </c>
      <c r="J149" t="s">
        <v>16</v>
      </c>
      <c r="K149" t="s">
        <v>16</v>
      </c>
      <c r="L149">
        <v>20</v>
      </c>
      <c r="M149" t="s">
        <v>16</v>
      </c>
      <c r="N149" t="s">
        <v>16</v>
      </c>
      <c r="O149" t="s">
        <v>16</v>
      </c>
      <c r="P149" t="s">
        <v>16</v>
      </c>
      <c r="Q149" t="s">
        <v>16</v>
      </c>
      <c r="R149" t="s">
        <v>16</v>
      </c>
      <c r="S149" t="s">
        <v>16</v>
      </c>
      <c r="T149" t="s">
        <v>16</v>
      </c>
      <c r="U149" t="s">
        <v>16</v>
      </c>
      <c r="V149" t="s">
        <v>16</v>
      </c>
      <c r="W149" t="s">
        <v>16</v>
      </c>
      <c r="X149" t="s">
        <v>16</v>
      </c>
      <c r="Y149">
        <v>6.5</v>
      </c>
      <c r="Z149">
        <v>5.3000001907348597</v>
      </c>
      <c r="AA149">
        <v>1.20000004768372</v>
      </c>
      <c r="AB149">
        <v>0.89999997615814198</v>
      </c>
      <c r="AC149">
        <v>301.31057739257801</v>
      </c>
      <c r="AD149" t="s">
        <v>16</v>
      </c>
      <c r="AE149">
        <v>2.6199998855590798</v>
      </c>
      <c r="AF149">
        <v>50</v>
      </c>
      <c r="AG149">
        <v>99.199996948242202</v>
      </c>
      <c r="AH149" t="s">
        <v>16</v>
      </c>
      <c r="AI149" t="s">
        <v>16</v>
      </c>
      <c r="AJ149" t="s">
        <v>16</v>
      </c>
      <c r="AK149" t="s">
        <v>16</v>
      </c>
      <c r="AL149" t="s">
        <v>16</v>
      </c>
      <c r="AM149" t="s">
        <v>16</v>
      </c>
      <c r="AN149" t="s">
        <v>306</v>
      </c>
      <c r="AO149">
        <v>75</v>
      </c>
      <c r="AP149">
        <v>28.934068901662702</v>
      </c>
      <c r="AQ149" s="1" t="s">
        <v>16</v>
      </c>
      <c r="AR149" s="1" t="s">
        <v>16</v>
      </c>
      <c r="AS149" s="1">
        <v>40633</v>
      </c>
      <c r="AT149" s="1">
        <v>41242</v>
      </c>
      <c r="AU149" s="1">
        <v>40633</v>
      </c>
      <c r="AV149" s="1">
        <v>40633.60112175926</v>
      </c>
      <c r="AW149" s="1" t="s">
        <v>16</v>
      </c>
      <c r="AX149" s="1">
        <v>42310</v>
      </c>
      <c r="AY149" t="s">
        <v>16</v>
      </c>
      <c r="AZ149">
        <v>143</v>
      </c>
      <c r="BA149">
        <v>90</v>
      </c>
      <c r="BB149">
        <v>1</v>
      </c>
      <c r="BC149">
        <f t="shared" si="8"/>
        <v>31.910211267605746</v>
      </c>
      <c r="BD149">
        <v>136</v>
      </c>
      <c r="BE149">
        <v>4.2</v>
      </c>
      <c r="BF149">
        <v>3.3999999999999901</v>
      </c>
      <c r="BG149">
        <v>8.8000000000000007</v>
      </c>
      <c r="BH149">
        <v>165</v>
      </c>
      <c r="BI149">
        <v>2.8399999999999901</v>
      </c>
      <c r="BJ149">
        <v>8.5</v>
      </c>
      <c r="BK149">
        <v>3</v>
      </c>
      <c r="BL149">
        <v>10.1999999999999</v>
      </c>
      <c r="BM149">
        <v>12.02</v>
      </c>
      <c r="BN149">
        <v>7.9</v>
      </c>
    </row>
    <row r="150" spans="1:66" x14ac:dyDescent="0.3">
      <c r="A150">
        <v>149</v>
      </c>
      <c r="B150" t="s">
        <v>430</v>
      </c>
      <c r="C150" s="2" t="s">
        <v>449</v>
      </c>
      <c r="D150">
        <v>57</v>
      </c>
      <c r="E150" s="1" t="s">
        <v>16</v>
      </c>
      <c r="F150" s="1">
        <v>41810</v>
      </c>
      <c r="G150" s="1">
        <v>41767.590682870374</v>
      </c>
      <c r="H150" t="s">
        <v>15</v>
      </c>
      <c r="I150" t="s">
        <v>78</v>
      </c>
      <c r="J150" t="s">
        <v>37</v>
      </c>
      <c r="K150" t="s">
        <v>129</v>
      </c>
      <c r="L150">
        <v>70</v>
      </c>
      <c r="M150" t="s">
        <v>16</v>
      </c>
      <c r="N150" t="s">
        <v>16</v>
      </c>
      <c r="O150" t="s">
        <v>15</v>
      </c>
      <c r="P150" t="s">
        <v>112</v>
      </c>
      <c r="Q150" t="s">
        <v>33</v>
      </c>
      <c r="R150" t="s">
        <v>16</v>
      </c>
      <c r="S150" t="s">
        <v>15</v>
      </c>
      <c r="T150" t="s">
        <v>18</v>
      </c>
      <c r="U150" t="s">
        <v>16</v>
      </c>
      <c r="V150" t="s">
        <v>93</v>
      </c>
      <c r="W150" t="s">
        <v>18</v>
      </c>
      <c r="X150" t="s">
        <v>16</v>
      </c>
      <c r="Y150">
        <v>4.0999999046325701</v>
      </c>
      <c r="Z150">
        <v>3</v>
      </c>
      <c r="AA150">
        <v>1.29999995231628</v>
      </c>
      <c r="AB150">
        <v>1.1000000238418599</v>
      </c>
      <c r="AC150">
        <v>171.74572753906301</v>
      </c>
      <c r="AD150">
        <v>83</v>
      </c>
      <c r="AE150">
        <v>1</v>
      </c>
      <c r="AF150" t="s">
        <v>16</v>
      </c>
      <c r="AG150">
        <v>80</v>
      </c>
      <c r="AH150">
        <v>8</v>
      </c>
      <c r="AI150">
        <v>6</v>
      </c>
      <c r="AJ150">
        <v>13.329999923706101</v>
      </c>
      <c r="AK150">
        <v>11</v>
      </c>
      <c r="AL150">
        <v>9</v>
      </c>
      <c r="AM150">
        <v>8.8900003433227504</v>
      </c>
      <c r="AN150" t="s">
        <v>307</v>
      </c>
      <c r="AO150">
        <v>102</v>
      </c>
      <c r="AP150">
        <v>37.465564738292002</v>
      </c>
      <c r="AQ150" s="1">
        <v>36892</v>
      </c>
      <c r="AR150" s="1" t="s">
        <v>16</v>
      </c>
      <c r="AS150" s="1">
        <v>42318</v>
      </c>
      <c r="AT150" s="1">
        <v>41839</v>
      </c>
      <c r="AU150" s="1">
        <v>40703</v>
      </c>
      <c r="AV150" s="1">
        <v>40584.432007951393</v>
      </c>
      <c r="AW150" s="1">
        <v>41893</v>
      </c>
      <c r="AX150" s="1" t="s">
        <v>16</v>
      </c>
      <c r="AY150" t="s">
        <v>16</v>
      </c>
      <c r="AZ150">
        <v>170</v>
      </c>
      <c r="BA150">
        <v>75</v>
      </c>
      <c r="BB150">
        <v>3</v>
      </c>
      <c r="BC150">
        <f t="shared" si="8"/>
        <v>50.901875901875904</v>
      </c>
      <c r="BD150">
        <v>136</v>
      </c>
      <c r="BE150">
        <v>4.7999999999999901</v>
      </c>
      <c r="BF150">
        <v>2.5</v>
      </c>
      <c r="BG150">
        <v>9.1999999999999904</v>
      </c>
      <c r="BH150">
        <v>135</v>
      </c>
      <c r="BI150">
        <v>2.31</v>
      </c>
      <c r="BJ150">
        <v>8.0999999999999908</v>
      </c>
      <c r="BK150">
        <v>4.2999999999999901</v>
      </c>
      <c r="BL150">
        <v>7.2999999999999901</v>
      </c>
      <c r="BM150">
        <v>177.11</v>
      </c>
      <c r="BN150">
        <v>5.7</v>
      </c>
    </row>
    <row r="151" spans="1:66" x14ac:dyDescent="0.3">
      <c r="A151">
        <v>150</v>
      </c>
      <c r="B151" t="s">
        <v>430</v>
      </c>
      <c r="C151" s="2" t="s">
        <v>449</v>
      </c>
      <c r="D151">
        <v>66</v>
      </c>
      <c r="E151" s="1" t="s">
        <v>16</v>
      </c>
      <c r="F151" s="1">
        <v>45267</v>
      </c>
      <c r="G151" s="1">
        <v>45245.427210648151</v>
      </c>
      <c r="H151" t="s">
        <v>17</v>
      </c>
      <c r="I151" t="s">
        <v>15</v>
      </c>
      <c r="J151" t="s">
        <v>35</v>
      </c>
      <c r="K151" t="s">
        <v>16</v>
      </c>
      <c r="L151">
        <v>20</v>
      </c>
      <c r="M151" t="s">
        <v>16</v>
      </c>
      <c r="N151" t="s">
        <v>16</v>
      </c>
      <c r="O151" t="s">
        <v>17</v>
      </c>
      <c r="P151" t="s">
        <v>16</v>
      </c>
      <c r="Q151" t="s">
        <v>16</v>
      </c>
      <c r="R151" t="s">
        <v>153</v>
      </c>
      <c r="S151" t="s">
        <v>16</v>
      </c>
      <c r="T151" t="s">
        <v>23</v>
      </c>
      <c r="U151" t="s">
        <v>16</v>
      </c>
      <c r="V151" t="s">
        <v>16</v>
      </c>
      <c r="W151" t="s">
        <v>19</v>
      </c>
      <c r="X151" t="s">
        <v>78</v>
      </c>
      <c r="Y151">
        <v>5.5500001907348597</v>
      </c>
      <c r="Z151">
        <v>4.9000000953674299</v>
      </c>
      <c r="AA151">
        <v>0.81000000238418601</v>
      </c>
      <c r="AB151">
        <v>1.0299999713897701</v>
      </c>
      <c r="AC151">
        <v>194.14778137207</v>
      </c>
      <c r="AD151">
        <v>129</v>
      </c>
      <c r="AE151">
        <v>1</v>
      </c>
      <c r="AF151">
        <v>45</v>
      </c>
      <c r="AG151" t="s">
        <v>16</v>
      </c>
      <c r="AH151" t="s">
        <v>16</v>
      </c>
      <c r="AI151">
        <v>7.0700001716613796</v>
      </c>
      <c r="AJ151" t="s">
        <v>16</v>
      </c>
      <c r="AK151">
        <v>5.4400000572204599</v>
      </c>
      <c r="AL151">
        <v>5.7699999809265101</v>
      </c>
      <c r="AM151" t="s">
        <v>16</v>
      </c>
      <c r="AN151" t="s">
        <v>308</v>
      </c>
      <c r="AO151">
        <v>58</v>
      </c>
      <c r="AP151">
        <v>25.7777777777778</v>
      </c>
      <c r="AQ151" s="1" t="s">
        <v>16</v>
      </c>
      <c r="AR151" s="1" t="s">
        <v>16</v>
      </c>
      <c r="AS151" s="1" t="s">
        <v>16</v>
      </c>
      <c r="AT151" s="1">
        <v>45267</v>
      </c>
      <c r="AU151" s="1" t="s">
        <v>16</v>
      </c>
      <c r="AV151" s="1"/>
      <c r="AW151" s="1">
        <v>44893</v>
      </c>
      <c r="AX151" s="1" t="s">
        <v>16</v>
      </c>
      <c r="AY151" t="s">
        <v>21</v>
      </c>
      <c r="AZ151">
        <v>150</v>
      </c>
      <c r="BA151">
        <v>74</v>
      </c>
      <c r="BB151">
        <v>1</v>
      </c>
      <c r="BC151">
        <f t="shared" si="8"/>
        <v>6.0889796844853086</v>
      </c>
      <c r="BD151">
        <v>133</v>
      </c>
      <c r="BE151">
        <v>5.2999999999999901</v>
      </c>
      <c r="BF151">
        <v>1.5</v>
      </c>
      <c r="BG151">
        <v>6.4</v>
      </c>
      <c r="BH151">
        <v>216</v>
      </c>
      <c r="BI151">
        <v>9.7899999999999903</v>
      </c>
      <c r="BJ151">
        <v>7.0999999999999899</v>
      </c>
      <c r="BK151">
        <v>10</v>
      </c>
      <c r="BL151">
        <v>9.3000000000000007</v>
      </c>
      <c r="BM151">
        <v>374.44999999999902</v>
      </c>
      <c r="BN151">
        <v>5.2999999999999901</v>
      </c>
    </row>
    <row r="152" spans="1:66" x14ac:dyDescent="0.3">
      <c r="A152">
        <v>151</v>
      </c>
      <c r="B152" t="s">
        <v>430</v>
      </c>
      <c r="C152" s="2" t="s">
        <v>448</v>
      </c>
      <c r="D152">
        <v>56</v>
      </c>
      <c r="E152" s="1">
        <v>43210</v>
      </c>
      <c r="F152" s="1">
        <v>41965</v>
      </c>
      <c r="G152" s="1">
        <v>41964.415150462963</v>
      </c>
      <c r="H152" t="s">
        <v>15</v>
      </c>
      <c r="I152" t="s">
        <v>78</v>
      </c>
      <c r="J152" t="s">
        <v>24</v>
      </c>
      <c r="K152" t="s">
        <v>16</v>
      </c>
      <c r="L152">
        <v>50</v>
      </c>
      <c r="M152" t="s">
        <v>79</v>
      </c>
      <c r="N152" t="s">
        <v>35</v>
      </c>
      <c r="O152" t="s">
        <v>17</v>
      </c>
      <c r="P152" t="s">
        <v>112</v>
      </c>
      <c r="Q152" t="s">
        <v>18</v>
      </c>
      <c r="R152" t="s">
        <v>16</v>
      </c>
      <c r="S152" t="s">
        <v>15</v>
      </c>
      <c r="T152" t="s">
        <v>18</v>
      </c>
      <c r="U152" t="s">
        <v>16</v>
      </c>
      <c r="V152" t="s">
        <v>159</v>
      </c>
      <c r="W152" t="s">
        <v>19</v>
      </c>
      <c r="X152" t="s">
        <v>78</v>
      </c>
      <c r="Y152">
        <v>4.0999999046325701</v>
      </c>
      <c r="Z152">
        <v>3.4000000953674299</v>
      </c>
      <c r="AA152">
        <v>1.5</v>
      </c>
      <c r="AB152">
        <v>1.1000000238418599</v>
      </c>
      <c r="AC152">
        <v>193.49253845214801</v>
      </c>
      <c r="AD152">
        <v>91</v>
      </c>
      <c r="AE152">
        <v>1.12000000476837</v>
      </c>
      <c r="AF152">
        <v>39</v>
      </c>
      <c r="AG152">
        <v>88.800003051757798</v>
      </c>
      <c r="AH152">
        <v>5.5</v>
      </c>
      <c r="AI152">
        <v>5.5999999046325701</v>
      </c>
      <c r="AJ152">
        <v>15.8599996566772</v>
      </c>
      <c r="AK152">
        <v>8.3999996185302699</v>
      </c>
      <c r="AL152">
        <v>7.5</v>
      </c>
      <c r="AM152">
        <v>11.8400001525879</v>
      </c>
      <c r="AN152" t="s">
        <v>309</v>
      </c>
      <c r="AO152">
        <v>86</v>
      </c>
      <c r="AP152">
        <v>30.836530531750899</v>
      </c>
      <c r="AQ152" s="1" t="s">
        <v>16</v>
      </c>
      <c r="AR152" s="1" t="s">
        <v>16</v>
      </c>
      <c r="AS152" s="1">
        <v>42519</v>
      </c>
      <c r="AT152" s="1">
        <v>42175</v>
      </c>
      <c r="AU152" s="1">
        <v>40444</v>
      </c>
      <c r="AV152" s="1">
        <v>40444.159605821762</v>
      </c>
      <c r="AW152" s="1">
        <v>40444</v>
      </c>
      <c r="AX152" s="1" t="s">
        <v>16</v>
      </c>
      <c r="AY152" t="s">
        <v>16</v>
      </c>
      <c r="AZ152">
        <v>115</v>
      </c>
      <c r="BA152">
        <v>67</v>
      </c>
      <c r="BB152">
        <v>1</v>
      </c>
      <c r="BC152">
        <f t="shared" si="8"/>
        <v>37.023370233702337</v>
      </c>
      <c r="BD152">
        <v>133</v>
      </c>
      <c r="BE152">
        <v>5.4</v>
      </c>
      <c r="BF152">
        <v>1.8999999999999899</v>
      </c>
      <c r="BG152">
        <v>9.8000000000000007</v>
      </c>
      <c r="BH152">
        <v>117</v>
      </c>
      <c r="BI152">
        <v>2.71</v>
      </c>
      <c r="BJ152">
        <v>7.5</v>
      </c>
      <c r="BK152">
        <v>4.0999999999999899</v>
      </c>
      <c r="BL152">
        <v>7.2999999999999901</v>
      </c>
      <c r="BM152">
        <v>252.099999999999</v>
      </c>
      <c r="BN152">
        <v>5.7</v>
      </c>
    </row>
    <row r="153" spans="1:66" x14ac:dyDescent="0.3">
      <c r="A153">
        <v>152</v>
      </c>
      <c r="B153" t="s">
        <v>430</v>
      </c>
      <c r="C153" s="2" t="s">
        <v>448</v>
      </c>
      <c r="D153">
        <v>55</v>
      </c>
      <c r="E153" s="1" t="s">
        <v>16</v>
      </c>
      <c r="F153" s="1">
        <v>41718</v>
      </c>
      <c r="G153" s="1">
        <v>41514.482256944444</v>
      </c>
      <c r="H153" t="s">
        <v>15</v>
      </c>
      <c r="I153" t="s">
        <v>15</v>
      </c>
      <c r="J153" t="s">
        <v>15</v>
      </c>
      <c r="K153" t="s">
        <v>16</v>
      </c>
      <c r="L153">
        <v>60</v>
      </c>
      <c r="M153" t="s">
        <v>15</v>
      </c>
      <c r="N153" t="s">
        <v>15</v>
      </c>
      <c r="O153" t="s">
        <v>25</v>
      </c>
      <c r="P153" t="s">
        <v>85</v>
      </c>
      <c r="Q153" t="s">
        <v>33</v>
      </c>
      <c r="R153" t="s">
        <v>16</v>
      </c>
      <c r="S153" t="s">
        <v>15</v>
      </c>
      <c r="T153" t="s">
        <v>19</v>
      </c>
      <c r="U153" t="s">
        <v>16</v>
      </c>
      <c r="V153" t="s">
        <v>93</v>
      </c>
      <c r="W153" t="s">
        <v>19</v>
      </c>
      <c r="X153" t="s">
        <v>90</v>
      </c>
      <c r="Y153">
        <v>5</v>
      </c>
      <c r="Z153">
        <v>3.0999999046325701</v>
      </c>
      <c r="AA153">
        <v>1.20000004768372</v>
      </c>
      <c r="AB153">
        <v>1.20000004768372</v>
      </c>
      <c r="AC153">
        <v>233.74636840820301</v>
      </c>
      <c r="AD153">
        <v>111</v>
      </c>
      <c r="AE153">
        <v>1</v>
      </c>
      <c r="AF153">
        <v>65</v>
      </c>
      <c r="AG153">
        <v>80</v>
      </c>
      <c r="AH153">
        <v>7</v>
      </c>
      <c r="AI153">
        <v>8</v>
      </c>
      <c r="AJ153">
        <v>10</v>
      </c>
      <c r="AK153">
        <v>7</v>
      </c>
      <c r="AL153">
        <v>7</v>
      </c>
      <c r="AM153">
        <v>11.430000305175801</v>
      </c>
      <c r="AN153" t="s">
        <v>310</v>
      </c>
      <c r="AO153">
        <v>91</v>
      </c>
      <c r="AP153">
        <v>26.588750913075199</v>
      </c>
      <c r="AQ153" s="1" t="s">
        <v>16</v>
      </c>
      <c r="AR153" s="1" t="s">
        <v>16</v>
      </c>
      <c r="AS153" s="1" t="s">
        <v>16</v>
      </c>
      <c r="AT153" s="1">
        <v>41715</v>
      </c>
      <c r="AU153" s="1">
        <v>41518</v>
      </c>
      <c r="AV153" s="1">
        <v>41518.616610300916</v>
      </c>
      <c r="AW153" s="1">
        <v>41518</v>
      </c>
      <c r="AX153" s="1" t="s">
        <v>16</v>
      </c>
      <c r="AY153" t="s">
        <v>16</v>
      </c>
      <c r="AZ153">
        <v>170</v>
      </c>
      <c r="BA153">
        <v>80</v>
      </c>
      <c r="BB153">
        <v>3</v>
      </c>
      <c r="BC153">
        <f t="shared" si="8"/>
        <v>19.748263888888889</v>
      </c>
      <c r="BD153">
        <v>138</v>
      </c>
      <c r="BE153">
        <v>5.0999999999999899</v>
      </c>
      <c r="BF153">
        <v>3.5</v>
      </c>
      <c r="BG153">
        <v>7.9</v>
      </c>
      <c r="BH153">
        <v>265</v>
      </c>
      <c r="BI153">
        <v>5.44</v>
      </c>
      <c r="BJ153">
        <v>7.5999999999999899</v>
      </c>
      <c r="BK153">
        <v>8.4</v>
      </c>
      <c r="BL153">
        <v>8.8000000000000007</v>
      </c>
      <c r="BN153">
        <v>5</v>
      </c>
    </row>
    <row r="154" spans="1:66" x14ac:dyDescent="0.3">
      <c r="A154">
        <v>153</v>
      </c>
      <c r="B154" t="s">
        <v>430</v>
      </c>
      <c r="C154" s="2" t="s">
        <v>448</v>
      </c>
      <c r="D154">
        <v>65</v>
      </c>
      <c r="E154" s="1" t="s">
        <v>16</v>
      </c>
      <c r="F154" s="1">
        <v>45218</v>
      </c>
      <c r="G154" s="1">
        <v>45245.503680555557</v>
      </c>
      <c r="H154" t="s">
        <v>17</v>
      </c>
      <c r="I154" t="s">
        <v>133</v>
      </c>
      <c r="J154" t="s">
        <v>22</v>
      </c>
      <c r="K154" t="s">
        <v>16</v>
      </c>
      <c r="L154">
        <v>40</v>
      </c>
      <c r="M154" t="s">
        <v>16</v>
      </c>
      <c r="N154" t="s">
        <v>16</v>
      </c>
      <c r="O154" t="s">
        <v>17</v>
      </c>
      <c r="P154" t="s">
        <v>85</v>
      </c>
      <c r="Q154" t="s">
        <v>19</v>
      </c>
      <c r="R154" t="s">
        <v>16</v>
      </c>
      <c r="S154" t="s">
        <v>16</v>
      </c>
      <c r="T154" t="s">
        <v>19</v>
      </c>
      <c r="U154" t="s">
        <v>16</v>
      </c>
      <c r="V154" t="s">
        <v>16</v>
      </c>
      <c r="W154" t="s">
        <v>18</v>
      </c>
      <c r="X154" t="s">
        <v>15</v>
      </c>
      <c r="Y154">
        <v>6.0900001525878897</v>
      </c>
      <c r="Z154">
        <v>5.4099998474121103</v>
      </c>
      <c r="AA154">
        <v>1.8999999761581401</v>
      </c>
      <c r="AB154">
        <v>0.91000002622604403</v>
      </c>
      <c r="AC154">
        <v>399.21325683593801</v>
      </c>
      <c r="AD154">
        <v>233</v>
      </c>
      <c r="AE154">
        <v>1</v>
      </c>
      <c r="AF154">
        <v>20.290000915527301</v>
      </c>
      <c r="AG154">
        <v>70.620002746582003</v>
      </c>
      <c r="AH154" t="s">
        <v>16</v>
      </c>
      <c r="AI154">
        <v>2.75</v>
      </c>
      <c r="AJ154">
        <v>25.680000305175799</v>
      </c>
      <c r="AK154" t="s">
        <v>16</v>
      </c>
      <c r="AL154">
        <v>5.21000003814697</v>
      </c>
      <c r="AM154">
        <v>13.550000190734901</v>
      </c>
      <c r="AN154" t="s">
        <v>311</v>
      </c>
      <c r="AO154">
        <v>54</v>
      </c>
      <c r="AP154">
        <v>18.2531097890752</v>
      </c>
      <c r="AQ154" s="1" t="s">
        <v>16</v>
      </c>
      <c r="AR154" s="1" t="s">
        <v>16</v>
      </c>
      <c r="AS154" s="1">
        <v>45239</v>
      </c>
      <c r="AT154" s="1">
        <v>45242</v>
      </c>
      <c r="AU154" s="1">
        <v>45247</v>
      </c>
      <c r="AV154" s="1"/>
      <c r="AW154" s="1">
        <v>45239</v>
      </c>
      <c r="AX154" s="1" t="s">
        <v>16</v>
      </c>
      <c r="AY154" t="s">
        <v>21</v>
      </c>
      <c r="AZ154">
        <v>110</v>
      </c>
      <c r="BA154">
        <v>65</v>
      </c>
      <c r="BB154">
        <v>2</v>
      </c>
      <c r="BC154">
        <f t="shared" si="8"/>
        <v>18.687707641196074</v>
      </c>
      <c r="BD154">
        <v>136</v>
      </c>
      <c r="BE154">
        <v>4.4000000000000004</v>
      </c>
      <c r="BF154">
        <v>2.2000000000000002</v>
      </c>
      <c r="BG154">
        <v>9.6999999999999904</v>
      </c>
      <c r="BH154">
        <v>48</v>
      </c>
      <c r="BI154">
        <v>3.00999999999999</v>
      </c>
      <c r="BJ154">
        <v>6.7</v>
      </c>
      <c r="BK154">
        <v>2.5</v>
      </c>
      <c r="BL154">
        <v>3</v>
      </c>
      <c r="BM154">
        <v>18.219999999999899</v>
      </c>
      <c r="BN154">
        <v>4.0999999999999899</v>
      </c>
    </row>
    <row r="155" spans="1:66" x14ac:dyDescent="0.3">
      <c r="A155">
        <v>154</v>
      </c>
      <c r="B155" t="s">
        <v>430</v>
      </c>
      <c r="C155" s="2" t="s">
        <v>449</v>
      </c>
      <c r="D155">
        <v>65</v>
      </c>
      <c r="E155" s="1" t="s">
        <v>16</v>
      </c>
      <c r="F155" s="1">
        <v>45398</v>
      </c>
      <c r="G155" s="1">
        <v>45200.426030092596</v>
      </c>
      <c r="H155" t="s">
        <v>16</v>
      </c>
      <c r="I155" t="s">
        <v>16</v>
      </c>
      <c r="J155" t="s">
        <v>16</v>
      </c>
      <c r="K155" t="s">
        <v>74</v>
      </c>
      <c r="L155">
        <v>55</v>
      </c>
      <c r="M155" t="s">
        <v>16</v>
      </c>
      <c r="N155" t="s">
        <v>16</v>
      </c>
      <c r="O155" t="s">
        <v>17</v>
      </c>
      <c r="P155" t="s">
        <v>16</v>
      </c>
      <c r="Q155" t="s">
        <v>16</v>
      </c>
      <c r="R155" t="s">
        <v>153</v>
      </c>
      <c r="S155" t="s">
        <v>16</v>
      </c>
      <c r="T155" t="s">
        <v>18</v>
      </c>
      <c r="U155" t="s">
        <v>16</v>
      </c>
      <c r="V155" t="s">
        <v>16</v>
      </c>
      <c r="W155" t="s">
        <v>18</v>
      </c>
      <c r="X155" t="s">
        <v>15</v>
      </c>
      <c r="Y155">
        <v>5.2600002288818404</v>
      </c>
      <c r="Z155">
        <v>3.6700000762939502</v>
      </c>
      <c r="AA155">
        <v>1.1799999475479099</v>
      </c>
      <c r="AB155">
        <v>1.1599999666214</v>
      </c>
      <c r="AC155">
        <v>244.74575805664099</v>
      </c>
      <c r="AD155">
        <v>126</v>
      </c>
      <c r="AE155">
        <v>1</v>
      </c>
      <c r="AF155">
        <v>21</v>
      </c>
      <c r="AG155">
        <v>97.900001525878906</v>
      </c>
      <c r="AH155" t="s">
        <v>16</v>
      </c>
      <c r="AI155">
        <v>3.9200000762939502</v>
      </c>
      <c r="AJ155">
        <v>24.969999313354499</v>
      </c>
      <c r="AK155">
        <v>10</v>
      </c>
      <c r="AL155">
        <v>5.5500001907348597</v>
      </c>
      <c r="AM155">
        <v>17.639999389648398</v>
      </c>
      <c r="AN155" t="s">
        <v>312</v>
      </c>
      <c r="AO155">
        <v>90</v>
      </c>
      <c r="AP155">
        <v>33.874063758515597</v>
      </c>
      <c r="AQ155" s="1" t="s">
        <v>16</v>
      </c>
      <c r="AR155" s="1" t="s">
        <v>16</v>
      </c>
      <c r="AS155" s="1" t="s">
        <v>16</v>
      </c>
      <c r="AT155" s="1" t="s">
        <v>16</v>
      </c>
      <c r="AU155" s="1">
        <v>42820</v>
      </c>
      <c r="AV155" s="1"/>
      <c r="AW155" s="1" t="s">
        <v>16</v>
      </c>
      <c r="AX155" s="1" t="s">
        <v>16</v>
      </c>
      <c r="AY155" t="s">
        <v>16</v>
      </c>
      <c r="AZ155">
        <v>170</v>
      </c>
      <c r="BA155">
        <v>84</v>
      </c>
      <c r="BB155">
        <v>0</v>
      </c>
      <c r="BC155">
        <f t="shared" si="8"/>
        <v>12.112403100775195</v>
      </c>
      <c r="BD155">
        <v>139</v>
      </c>
      <c r="BE155">
        <v>4.5999999999999899</v>
      </c>
      <c r="BF155">
        <v>3.8999999999999901</v>
      </c>
      <c r="BG155">
        <v>12.6999999999999</v>
      </c>
      <c r="BH155">
        <v>177</v>
      </c>
      <c r="BI155">
        <v>7.74</v>
      </c>
      <c r="BJ155">
        <v>8.9</v>
      </c>
      <c r="BK155">
        <v>4.9000000000000004</v>
      </c>
      <c r="BL155">
        <v>6.7999999999999901</v>
      </c>
      <c r="BM155">
        <v>4.24</v>
      </c>
      <c r="BN155">
        <v>5.4</v>
      </c>
    </row>
    <row r="156" spans="1:66" x14ac:dyDescent="0.3">
      <c r="A156">
        <v>155</v>
      </c>
      <c r="B156" t="s">
        <v>430</v>
      </c>
      <c r="C156" s="2" t="s">
        <v>448</v>
      </c>
      <c r="D156">
        <v>53</v>
      </c>
      <c r="E156" s="1">
        <v>44736</v>
      </c>
      <c r="F156" s="1">
        <v>40864</v>
      </c>
      <c r="G156" s="1">
        <v>40805.641284722224</v>
      </c>
      <c r="H156" t="s">
        <v>31</v>
      </c>
      <c r="I156" t="s">
        <v>16</v>
      </c>
      <c r="J156" t="s">
        <v>30</v>
      </c>
      <c r="K156" t="s">
        <v>16</v>
      </c>
      <c r="L156">
        <v>30</v>
      </c>
      <c r="M156" t="s">
        <v>17</v>
      </c>
      <c r="N156" t="s">
        <v>15</v>
      </c>
      <c r="O156" t="s">
        <v>17</v>
      </c>
      <c r="P156" t="s">
        <v>75</v>
      </c>
      <c r="Q156" t="s">
        <v>29</v>
      </c>
      <c r="R156" t="s">
        <v>16</v>
      </c>
      <c r="S156" t="s">
        <v>92</v>
      </c>
      <c r="T156" t="s">
        <v>19</v>
      </c>
      <c r="U156" t="s">
        <v>16</v>
      </c>
      <c r="V156" t="s">
        <v>16</v>
      </c>
      <c r="W156" t="s">
        <v>19</v>
      </c>
      <c r="X156" t="s">
        <v>90</v>
      </c>
      <c r="Y156">
        <v>7.0999999046325701</v>
      </c>
      <c r="Z156">
        <v>5.5</v>
      </c>
      <c r="AA156">
        <v>1.20000004768372</v>
      </c>
      <c r="AB156">
        <v>1.20000004768372</v>
      </c>
      <c r="AC156">
        <v>416.154052734375</v>
      </c>
      <c r="AD156">
        <v>166</v>
      </c>
      <c r="AE156">
        <v>2.3099999427795401</v>
      </c>
      <c r="AF156">
        <v>59</v>
      </c>
      <c r="AG156">
        <v>139</v>
      </c>
      <c r="AH156" t="s">
        <v>16</v>
      </c>
      <c r="AI156" t="s">
        <v>16</v>
      </c>
      <c r="AJ156" t="s">
        <v>16</v>
      </c>
      <c r="AK156" t="s">
        <v>16</v>
      </c>
      <c r="AL156" t="s">
        <v>16</v>
      </c>
      <c r="AM156" t="s">
        <v>16</v>
      </c>
      <c r="AN156" t="s">
        <v>313</v>
      </c>
      <c r="AO156">
        <v>105</v>
      </c>
      <c r="AP156">
        <v>30.026594984128799</v>
      </c>
      <c r="AQ156" s="1" t="s">
        <v>16</v>
      </c>
      <c r="AR156" s="1" t="s">
        <v>16</v>
      </c>
      <c r="AS156" s="1" t="s">
        <v>16</v>
      </c>
      <c r="AT156" s="1">
        <v>40915</v>
      </c>
      <c r="AU156" s="1">
        <v>40818</v>
      </c>
      <c r="AV156" s="1">
        <v>40818.436795451387</v>
      </c>
      <c r="AW156" s="1">
        <v>40818</v>
      </c>
      <c r="AX156" s="1" t="s">
        <v>16</v>
      </c>
      <c r="AY156" t="s">
        <v>16</v>
      </c>
      <c r="AZ156">
        <v>116</v>
      </c>
      <c r="BA156">
        <v>74</v>
      </c>
      <c r="BB156">
        <v>3</v>
      </c>
      <c r="BC156">
        <f t="shared" si="8"/>
        <v>40.795819935691448</v>
      </c>
      <c r="BD156">
        <v>138</v>
      </c>
      <c r="BE156">
        <v>4.2</v>
      </c>
      <c r="BF156">
        <v>2.7</v>
      </c>
      <c r="BG156">
        <v>9.8000000000000007</v>
      </c>
      <c r="BH156">
        <v>88</v>
      </c>
      <c r="BI156">
        <v>3.1099999999999901</v>
      </c>
      <c r="BJ156">
        <v>8.4</v>
      </c>
      <c r="BK156">
        <v>2.8999999999999901</v>
      </c>
      <c r="BL156">
        <v>3.1</v>
      </c>
      <c r="BM156">
        <v>28.079999999999899</v>
      </c>
      <c r="BN156">
        <v>5.5</v>
      </c>
    </row>
    <row r="157" spans="1:66" x14ac:dyDescent="0.3">
      <c r="A157">
        <v>156</v>
      </c>
      <c r="B157" t="s">
        <v>430</v>
      </c>
      <c r="C157" s="2" t="s">
        <v>448</v>
      </c>
      <c r="D157">
        <v>56</v>
      </c>
      <c r="E157" s="1">
        <v>44368</v>
      </c>
      <c r="F157" s="1">
        <v>41639</v>
      </c>
      <c r="G157" s="1">
        <v>41652.395428240743</v>
      </c>
      <c r="H157" t="s">
        <v>15</v>
      </c>
      <c r="I157" t="s">
        <v>16</v>
      </c>
      <c r="J157" t="s">
        <v>22</v>
      </c>
      <c r="K157" t="s">
        <v>16</v>
      </c>
      <c r="L157">
        <v>40</v>
      </c>
      <c r="M157" t="s">
        <v>15</v>
      </c>
      <c r="N157" t="s">
        <v>15</v>
      </c>
      <c r="O157" t="s">
        <v>17</v>
      </c>
      <c r="P157" t="s">
        <v>75</v>
      </c>
      <c r="Q157" t="s">
        <v>18</v>
      </c>
      <c r="R157" t="s">
        <v>16</v>
      </c>
      <c r="S157" t="s">
        <v>16</v>
      </c>
      <c r="T157" t="s">
        <v>19</v>
      </c>
      <c r="U157" t="s">
        <v>16</v>
      </c>
      <c r="V157" t="s">
        <v>16</v>
      </c>
      <c r="W157" t="s">
        <v>16</v>
      </c>
      <c r="X157" t="s">
        <v>16</v>
      </c>
      <c r="Y157">
        <v>5.5</v>
      </c>
      <c r="Z157">
        <v>3.9000000953674299</v>
      </c>
      <c r="AA157">
        <v>1.20000004768372</v>
      </c>
      <c r="AB157">
        <v>1.1000000238418599</v>
      </c>
      <c r="AC157">
        <v>257.00326538085898</v>
      </c>
      <c r="AD157">
        <v>117</v>
      </c>
      <c r="AE157">
        <v>1.6900000572204601</v>
      </c>
      <c r="AF157" t="s">
        <v>16</v>
      </c>
      <c r="AG157">
        <v>95.339996337890597</v>
      </c>
      <c r="AH157">
        <v>6</v>
      </c>
      <c r="AI157">
        <v>5</v>
      </c>
      <c r="AJ157">
        <v>19.069999694824201</v>
      </c>
      <c r="AK157">
        <v>6</v>
      </c>
      <c r="AL157">
        <v>7</v>
      </c>
      <c r="AM157">
        <v>13.6199998855591</v>
      </c>
      <c r="AN157" t="s">
        <v>314</v>
      </c>
      <c r="AO157">
        <v>100</v>
      </c>
      <c r="AP157">
        <v>30.8641975308642</v>
      </c>
      <c r="AQ157" s="1">
        <v>41644</v>
      </c>
      <c r="AR157" s="1" t="s">
        <v>16</v>
      </c>
      <c r="AS157" s="1">
        <v>41640</v>
      </c>
      <c r="AT157" s="1">
        <v>43956</v>
      </c>
      <c r="AU157" s="1">
        <v>41640</v>
      </c>
      <c r="AV157" s="1"/>
      <c r="AW157" s="1">
        <v>41640</v>
      </c>
      <c r="AX157" s="1" t="s">
        <v>16</v>
      </c>
      <c r="AY157" t="s">
        <v>16</v>
      </c>
      <c r="AZ157">
        <v>129</v>
      </c>
      <c r="BA157">
        <v>77</v>
      </c>
      <c r="BB157">
        <v>2</v>
      </c>
      <c r="BC157">
        <f t="shared" si="8"/>
        <v>30.381944444444525</v>
      </c>
      <c r="BD157">
        <v>139</v>
      </c>
      <c r="BE157">
        <v>4.5999999999999899</v>
      </c>
      <c r="BF157">
        <v>3.6</v>
      </c>
      <c r="BG157">
        <v>9.3000000000000007</v>
      </c>
      <c r="BH157">
        <v>136</v>
      </c>
      <c r="BI157">
        <v>3.8399999999999901</v>
      </c>
      <c r="BJ157">
        <v>8.8000000000000007</v>
      </c>
      <c r="BK157">
        <v>4.9000000000000004</v>
      </c>
      <c r="BL157">
        <v>8.3000000000000007</v>
      </c>
      <c r="BM157">
        <v>62.35</v>
      </c>
      <c r="BN157">
        <v>6.9</v>
      </c>
    </row>
    <row r="158" spans="1:66" x14ac:dyDescent="0.3">
      <c r="A158">
        <v>157</v>
      </c>
      <c r="B158" t="s">
        <v>430</v>
      </c>
      <c r="C158" s="2" t="s">
        <v>448</v>
      </c>
      <c r="D158">
        <v>53</v>
      </c>
      <c r="E158" s="1">
        <v>42703</v>
      </c>
      <c r="F158" s="1">
        <v>40815</v>
      </c>
      <c r="G158" s="1">
        <v>40756.398958333331</v>
      </c>
      <c r="H158" t="s">
        <v>25</v>
      </c>
      <c r="I158" t="s">
        <v>78</v>
      </c>
      <c r="J158" t="s">
        <v>15</v>
      </c>
      <c r="K158" t="s">
        <v>16</v>
      </c>
      <c r="L158">
        <v>60</v>
      </c>
      <c r="M158" t="s">
        <v>15</v>
      </c>
      <c r="N158" t="s">
        <v>15</v>
      </c>
      <c r="O158" t="s">
        <v>25</v>
      </c>
      <c r="P158" t="s">
        <v>16</v>
      </c>
      <c r="Q158" t="s">
        <v>16</v>
      </c>
      <c r="R158" t="s">
        <v>16</v>
      </c>
      <c r="S158" t="s">
        <v>16</v>
      </c>
      <c r="T158" t="s">
        <v>19</v>
      </c>
      <c r="U158" t="s">
        <v>16</v>
      </c>
      <c r="V158" t="s">
        <v>16</v>
      </c>
      <c r="W158" t="s">
        <v>18</v>
      </c>
      <c r="X158" t="s">
        <v>78</v>
      </c>
      <c r="Y158">
        <v>6.8000001907348597</v>
      </c>
      <c r="Z158">
        <v>3.7999999523162802</v>
      </c>
      <c r="AA158">
        <v>1.29999995231628</v>
      </c>
      <c r="AB158">
        <v>1.20000004768372</v>
      </c>
      <c r="AC158">
        <v>408.21759033203102</v>
      </c>
      <c r="AD158">
        <v>172</v>
      </c>
      <c r="AE158">
        <v>1</v>
      </c>
      <c r="AF158">
        <v>45</v>
      </c>
      <c r="AG158">
        <v>94</v>
      </c>
      <c r="AH158">
        <v>8</v>
      </c>
      <c r="AI158">
        <v>6</v>
      </c>
      <c r="AJ158">
        <v>15.670000076293899</v>
      </c>
      <c r="AK158">
        <v>7</v>
      </c>
      <c r="AL158">
        <v>11</v>
      </c>
      <c r="AM158">
        <v>8.5500001907348597</v>
      </c>
      <c r="AN158" t="s">
        <v>315</v>
      </c>
      <c r="AO158">
        <v>112</v>
      </c>
      <c r="AP158">
        <v>34.567901234567898</v>
      </c>
      <c r="AQ158" s="1" t="s">
        <v>16</v>
      </c>
      <c r="AR158" s="1" t="s">
        <v>16</v>
      </c>
      <c r="AS158" s="1">
        <v>40856</v>
      </c>
      <c r="AT158" s="1" t="s">
        <v>16</v>
      </c>
      <c r="AU158" s="1">
        <v>40756</v>
      </c>
      <c r="AV158" s="1">
        <v>40762.702116400462</v>
      </c>
      <c r="AW158" s="1" t="s">
        <v>16</v>
      </c>
      <c r="AX158" s="1">
        <v>40762</v>
      </c>
      <c r="AY158" t="s">
        <v>21</v>
      </c>
      <c r="AZ158">
        <v>186</v>
      </c>
      <c r="BA158">
        <v>86</v>
      </c>
      <c r="BB158">
        <v>3</v>
      </c>
      <c r="BC158">
        <f t="shared" si="8"/>
        <v>41.386340468909275</v>
      </c>
      <c r="BD158">
        <v>134</v>
      </c>
      <c r="BE158">
        <v>5.5999999999999899</v>
      </c>
      <c r="BF158">
        <v>3.2</v>
      </c>
      <c r="BG158">
        <v>7.9</v>
      </c>
      <c r="BH158">
        <v>209</v>
      </c>
      <c r="BI158">
        <v>3.27</v>
      </c>
      <c r="BJ158">
        <v>8.1999999999999904</v>
      </c>
      <c r="BK158">
        <v>5.2</v>
      </c>
      <c r="BL158">
        <v>11.1999999999999</v>
      </c>
      <c r="BM158">
        <v>4.6100000000000003</v>
      </c>
      <c r="BN158">
        <v>5.2</v>
      </c>
    </row>
    <row r="159" spans="1:66" x14ac:dyDescent="0.3">
      <c r="A159">
        <v>158</v>
      </c>
      <c r="B159" t="s">
        <v>430</v>
      </c>
      <c r="C159" s="2" t="s">
        <v>448</v>
      </c>
      <c r="D159">
        <v>56</v>
      </c>
      <c r="E159" s="1" t="s">
        <v>16</v>
      </c>
      <c r="F159" s="1">
        <v>42094</v>
      </c>
      <c r="G159" s="1">
        <v>42002.535231481481</v>
      </c>
      <c r="H159" t="s">
        <v>17</v>
      </c>
      <c r="I159" t="s">
        <v>16</v>
      </c>
      <c r="J159" t="s">
        <v>15</v>
      </c>
      <c r="K159" t="s">
        <v>16</v>
      </c>
      <c r="L159">
        <v>55</v>
      </c>
      <c r="M159" t="s">
        <v>16</v>
      </c>
      <c r="N159" t="s">
        <v>16</v>
      </c>
      <c r="O159" t="s">
        <v>25</v>
      </c>
      <c r="P159" t="s">
        <v>85</v>
      </c>
      <c r="Q159" t="s">
        <v>33</v>
      </c>
      <c r="R159" t="s">
        <v>16</v>
      </c>
      <c r="S159" t="s">
        <v>16</v>
      </c>
      <c r="T159" t="s">
        <v>19</v>
      </c>
      <c r="U159" t="s">
        <v>16</v>
      </c>
      <c r="V159" t="s">
        <v>16</v>
      </c>
      <c r="W159" t="s">
        <v>19</v>
      </c>
      <c r="X159" t="s">
        <v>78</v>
      </c>
      <c r="Y159">
        <v>5.8000001907348597</v>
      </c>
      <c r="Z159">
        <v>3.4000000953674299</v>
      </c>
      <c r="AA159">
        <v>1.1000000238418599</v>
      </c>
      <c r="AB159">
        <v>1.1000000238418599</v>
      </c>
      <c r="AC159">
        <v>264.25082397460898</v>
      </c>
      <c r="AD159">
        <v>122</v>
      </c>
      <c r="AE159">
        <v>1.0599999427795399</v>
      </c>
      <c r="AF159">
        <v>38</v>
      </c>
      <c r="AG159">
        <v>96.300003051757798</v>
      </c>
      <c r="AH159">
        <v>7.8000001907348597</v>
      </c>
      <c r="AI159">
        <v>6.5</v>
      </c>
      <c r="AJ159">
        <v>14.819999694824199</v>
      </c>
      <c r="AK159">
        <v>7.1999998092651403</v>
      </c>
      <c r="AL159">
        <v>12.300000190734901</v>
      </c>
      <c r="AM159">
        <v>7.8299999237060502</v>
      </c>
      <c r="AN159" t="s">
        <v>316</v>
      </c>
      <c r="AO159">
        <v>110</v>
      </c>
      <c r="AP159">
        <v>34.717838656735303</v>
      </c>
      <c r="AQ159" s="1" t="s">
        <v>16</v>
      </c>
      <c r="AR159" s="1" t="s">
        <v>16</v>
      </c>
      <c r="AS159" s="1">
        <v>45530</v>
      </c>
      <c r="AT159" s="1">
        <v>45329</v>
      </c>
      <c r="AU159" s="1">
        <v>40268</v>
      </c>
      <c r="AV159" s="1">
        <v>40268.767153391207</v>
      </c>
      <c r="AW159" s="1">
        <v>45347</v>
      </c>
      <c r="AX159" s="1" t="s">
        <v>16</v>
      </c>
      <c r="AY159" t="s">
        <v>16</v>
      </c>
      <c r="AZ159">
        <v>150</v>
      </c>
      <c r="BA159">
        <v>62</v>
      </c>
      <c r="BB159">
        <v>0</v>
      </c>
      <c r="BC159">
        <f t="shared" si="8"/>
        <v>18.255097202465624</v>
      </c>
      <c r="BD159">
        <v>139</v>
      </c>
      <c r="BE159">
        <v>4.0999999999999899</v>
      </c>
      <c r="BF159">
        <v>3.3999999999999901</v>
      </c>
      <c r="BG159">
        <v>8</v>
      </c>
      <c r="BH159">
        <v>341</v>
      </c>
      <c r="BI159">
        <v>7.03</v>
      </c>
      <c r="BJ159">
        <v>7.7</v>
      </c>
      <c r="BK159">
        <v>7.5</v>
      </c>
      <c r="BL159">
        <v>11.4</v>
      </c>
      <c r="BM159">
        <v>89.519999999999897</v>
      </c>
      <c r="BN159">
        <v>7.5</v>
      </c>
    </row>
    <row r="160" spans="1:66" x14ac:dyDescent="0.3">
      <c r="A160">
        <v>159</v>
      </c>
      <c r="B160" t="s">
        <v>430</v>
      </c>
      <c r="C160" s="2" t="s">
        <v>448</v>
      </c>
      <c r="D160">
        <v>52</v>
      </c>
      <c r="E160" s="1" t="s">
        <v>16</v>
      </c>
      <c r="F160" s="1">
        <v>40633</v>
      </c>
      <c r="G160" s="1">
        <v>40634.345393518517</v>
      </c>
      <c r="H160" t="s">
        <v>15</v>
      </c>
      <c r="I160" t="s">
        <v>16</v>
      </c>
      <c r="J160" t="s">
        <v>24</v>
      </c>
      <c r="K160" t="s">
        <v>94</v>
      </c>
      <c r="L160">
        <v>50</v>
      </c>
      <c r="M160" t="s">
        <v>15</v>
      </c>
      <c r="N160" t="s">
        <v>15</v>
      </c>
      <c r="O160" t="s">
        <v>17</v>
      </c>
      <c r="P160" t="s">
        <v>16</v>
      </c>
      <c r="Q160" t="s">
        <v>18</v>
      </c>
      <c r="R160" t="s">
        <v>16</v>
      </c>
      <c r="S160" t="s">
        <v>16</v>
      </c>
      <c r="T160" t="s">
        <v>18</v>
      </c>
      <c r="U160" t="s">
        <v>16</v>
      </c>
      <c r="V160" t="s">
        <v>16</v>
      </c>
      <c r="W160" t="s">
        <v>18</v>
      </c>
      <c r="X160" t="s">
        <v>78</v>
      </c>
      <c r="Y160">
        <v>5.0999999046325701</v>
      </c>
      <c r="Z160">
        <v>3.7000000476837198</v>
      </c>
      <c r="AA160">
        <v>1.29999995231628</v>
      </c>
      <c r="AB160">
        <v>1.1000000238418599</v>
      </c>
      <c r="AC160">
        <v>241.234375</v>
      </c>
      <c r="AD160">
        <v>110</v>
      </c>
      <c r="AE160">
        <v>1</v>
      </c>
      <c r="AF160">
        <v>43</v>
      </c>
      <c r="AG160">
        <v>132</v>
      </c>
      <c r="AH160">
        <v>5.3000001907348597</v>
      </c>
      <c r="AI160">
        <v>4.5</v>
      </c>
      <c r="AJ160">
        <v>29.329999923706101</v>
      </c>
      <c r="AK160">
        <v>4.5999999046325701</v>
      </c>
      <c r="AL160">
        <v>5.5</v>
      </c>
      <c r="AM160">
        <v>24</v>
      </c>
      <c r="AN160" t="s">
        <v>317</v>
      </c>
      <c r="AO160">
        <v>61</v>
      </c>
      <c r="AP160">
        <v>23.828125</v>
      </c>
      <c r="AQ160" s="1" t="s">
        <v>16</v>
      </c>
      <c r="AR160" s="1">
        <v>41551</v>
      </c>
      <c r="AS160" s="1">
        <v>41550</v>
      </c>
      <c r="AT160" s="1" t="s">
        <v>16</v>
      </c>
      <c r="AU160" s="1">
        <v>40507</v>
      </c>
      <c r="AV160" s="1">
        <v>39431.775964733803</v>
      </c>
      <c r="AW160" s="1">
        <v>40507</v>
      </c>
      <c r="AX160" s="1" t="s">
        <v>16</v>
      </c>
      <c r="AY160" t="s">
        <v>16</v>
      </c>
      <c r="AZ160">
        <v>220</v>
      </c>
      <c r="BA160">
        <v>98</v>
      </c>
      <c r="BB160">
        <v>2</v>
      </c>
      <c r="BC160">
        <f t="shared" si="8"/>
        <v>13.935617860851533</v>
      </c>
      <c r="BD160">
        <v>141</v>
      </c>
      <c r="BE160">
        <v>4.7999999999999901</v>
      </c>
      <c r="BF160">
        <v>3.1</v>
      </c>
      <c r="BG160">
        <v>12.5</v>
      </c>
      <c r="BH160">
        <v>127</v>
      </c>
      <c r="BI160">
        <v>5.3499999999999899</v>
      </c>
      <c r="BJ160">
        <v>9.4</v>
      </c>
      <c r="BK160">
        <v>4.4000000000000004</v>
      </c>
      <c r="BL160">
        <v>8.4</v>
      </c>
      <c r="BM160">
        <v>2.77999999999999</v>
      </c>
      <c r="BN160">
        <v>5.7</v>
      </c>
    </row>
    <row r="161" spans="1:66" x14ac:dyDescent="0.3">
      <c r="A161">
        <v>160</v>
      </c>
      <c r="B161" t="s">
        <v>434</v>
      </c>
      <c r="C161" s="2" t="s">
        <v>448</v>
      </c>
      <c r="D161">
        <v>50</v>
      </c>
      <c r="E161" s="1">
        <v>41811</v>
      </c>
      <c r="F161" s="1">
        <v>40687</v>
      </c>
      <c r="G161" s="1">
        <v>40385.575590277775</v>
      </c>
      <c r="H161" t="s">
        <v>17</v>
      </c>
      <c r="I161" t="s">
        <v>16</v>
      </c>
      <c r="J161" t="s">
        <v>35</v>
      </c>
      <c r="K161" t="s">
        <v>16</v>
      </c>
      <c r="L161">
        <v>20</v>
      </c>
      <c r="M161" t="s">
        <v>16</v>
      </c>
      <c r="N161" t="s">
        <v>16</v>
      </c>
      <c r="O161" t="s">
        <v>17</v>
      </c>
      <c r="P161" t="s">
        <v>16</v>
      </c>
      <c r="Q161" t="s">
        <v>16</v>
      </c>
      <c r="R161" t="s">
        <v>16</v>
      </c>
      <c r="S161" t="s">
        <v>16</v>
      </c>
      <c r="T161" t="s">
        <v>20</v>
      </c>
      <c r="U161" t="s">
        <v>16</v>
      </c>
      <c r="V161" t="s">
        <v>16</v>
      </c>
      <c r="W161" t="s">
        <v>18</v>
      </c>
      <c r="X161" t="s">
        <v>16</v>
      </c>
      <c r="Y161">
        <v>5.4499998092651403</v>
      </c>
      <c r="Z161">
        <v>4.8699998855590803</v>
      </c>
      <c r="AA161">
        <v>1.12999999523163</v>
      </c>
      <c r="AB161">
        <v>0.95999997854232799</v>
      </c>
      <c r="AC161">
        <v>223</v>
      </c>
      <c r="AD161">
        <v>128</v>
      </c>
      <c r="AE161">
        <v>2.5599999427795401</v>
      </c>
      <c r="AF161" t="s">
        <v>16</v>
      </c>
      <c r="AG161">
        <v>98</v>
      </c>
      <c r="AH161">
        <v>7</v>
      </c>
      <c r="AI161">
        <v>6</v>
      </c>
      <c r="AJ161">
        <v>16.329999923706101</v>
      </c>
      <c r="AK161">
        <v>3</v>
      </c>
      <c r="AL161">
        <v>7</v>
      </c>
      <c r="AM161">
        <v>14</v>
      </c>
      <c r="AN161" t="s">
        <v>318</v>
      </c>
      <c r="AO161">
        <v>71.8</v>
      </c>
      <c r="AP161">
        <v>24.269875608437001</v>
      </c>
      <c r="AQ161" s="1">
        <v>40381</v>
      </c>
      <c r="AR161" s="1" t="s">
        <v>16</v>
      </c>
      <c r="AS161" s="1">
        <v>40387</v>
      </c>
      <c r="AT161" s="1" t="s">
        <v>16</v>
      </c>
      <c r="AU161" s="1">
        <v>40205</v>
      </c>
      <c r="AV161" s="1">
        <v>39838.437222222223</v>
      </c>
      <c r="AW161" s="1" t="s">
        <v>16</v>
      </c>
      <c r="AX161" s="1">
        <v>40205</v>
      </c>
      <c r="AY161" t="s">
        <v>16</v>
      </c>
      <c r="AZ161" s="5">
        <v>164</v>
      </c>
      <c r="BA161" s="5">
        <v>69</v>
      </c>
      <c r="BB161" s="5">
        <v>2</v>
      </c>
      <c r="BC161">
        <f t="shared" si="8"/>
        <v>20.351473922902496</v>
      </c>
      <c r="BD161">
        <v>134</v>
      </c>
      <c r="BE161">
        <v>3.6</v>
      </c>
      <c r="BF161">
        <v>2.6</v>
      </c>
      <c r="BG161">
        <v>9.8000000000000007</v>
      </c>
      <c r="BH161">
        <v>88</v>
      </c>
      <c r="BI161">
        <v>4.41</v>
      </c>
      <c r="BJ161">
        <v>8.1999999999999904</v>
      </c>
      <c r="BK161">
        <v>3.5</v>
      </c>
      <c r="BL161">
        <v>5.7999999999999901</v>
      </c>
      <c r="BM161">
        <v>16.170000000000002</v>
      </c>
      <c r="BN161">
        <v>7.7</v>
      </c>
    </row>
    <row r="162" spans="1:66" x14ac:dyDescent="0.3">
      <c r="A162">
        <v>161</v>
      </c>
      <c r="B162" t="s">
        <v>430</v>
      </c>
      <c r="C162" s="2" t="s">
        <v>449</v>
      </c>
      <c r="D162">
        <v>63</v>
      </c>
      <c r="E162" s="1" t="s">
        <v>16</v>
      </c>
      <c r="F162" s="1">
        <v>45340</v>
      </c>
      <c r="G162" s="1">
        <v>45135.335069444445</v>
      </c>
      <c r="H162" t="s">
        <v>16</v>
      </c>
      <c r="I162" t="s">
        <v>16</v>
      </c>
      <c r="J162" t="s">
        <v>16</v>
      </c>
      <c r="K162" t="s">
        <v>74</v>
      </c>
      <c r="L162">
        <v>60</v>
      </c>
      <c r="M162" t="s">
        <v>16</v>
      </c>
      <c r="N162" t="s">
        <v>16</v>
      </c>
      <c r="O162" t="s">
        <v>25</v>
      </c>
      <c r="P162" t="s">
        <v>85</v>
      </c>
      <c r="Q162" t="s">
        <v>18</v>
      </c>
      <c r="R162" t="s">
        <v>16</v>
      </c>
      <c r="S162" t="s">
        <v>92</v>
      </c>
      <c r="T162" t="s">
        <v>18</v>
      </c>
      <c r="U162" t="s">
        <v>16</v>
      </c>
      <c r="V162" t="s">
        <v>93</v>
      </c>
      <c r="W162" t="s">
        <v>18</v>
      </c>
      <c r="X162" t="s">
        <v>16</v>
      </c>
      <c r="Y162">
        <v>4.5</v>
      </c>
      <c r="Z162">
        <v>3</v>
      </c>
      <c r="AA162">
        <v>1</v>
      </c>
      <c r="AB162">
        <v>0.80000001192092896</v>
      </c>
      <c r="AC162">
        <v>132.82310485839801</v>
      </c>
      <c r="AD162">
        <v>76</v>
      </c>
      <c r="AE162">
        <v>1</v>
      </c>
      <c r="AF162" t="s">
        <v>16</v>
      </c>
      <c r="AG162">
        <v>69.800003051757798</v>
      </c>
      <c r="AH162" t="s">
        <v>16</v>
      </c>
      <c r="AI162">
        <v>4.3499999046325701</v>
      </c>
      <c r="AJ162">
        <v>16.049999237060501</v>
      </c>
      <c r="AK162">
        <v>7.28999996185303</v>
      </c>
      <c r="AL162">
        <v>4.5700001716613796</v>
      </c>
      <c r="AM162">
        <v>15.2700004577637</v>
      </c>
      <c r="AN162" t="s">
        <v>319</v>
      </c>
      <c r="AO162">
        <v>67</v>
      </c>
      <c r="AP162">
        <v>24.609733700642799</v>
      </c>
      <c r="AQ162" s="1">
        <v>45365</v>
      </c>
      <c r="AR162" s="1" t="s">
        <v>16</v>
      </c>
      <c r="AS162" s="1">
        <v>45130</v>
      </c>
      <c r="AT162" s="1">
        <v>45000</v>
      </c>
      <c r="AU162" s="1">
        <v>45025</v>
      </c>
      <c r="AV162" s="1">
        <v>41129.551467013887</v>
      </c>
      <c r="AW162" s="1">
        <v>45372</v>
      </c>
      <c r="AX162" s="1" t="s">
        <v>16</v>
      </c>
      <c r="AY162" t="s">
        <v>21</v>
      </c>
      <c r="AZ162" s="5">
        <v>140</v>
      </c>
      <c r="BA162" s="5">
        <v>73</v>
      </c>
      <c r="BB162" s="5">
        <v>1</v>
      </c>
      <c r="BC162">
        <f t="shared" si="8"/>
        <v>16.101747815230958</v>
      </c>
      <c r="BD162">
        <v>139</v>
      </c>
      <c r="BE162">
        <v>6.2</v>
      </c>
      <c r="BF162">
        <v>2.8999999999999901</v>
      </c>
      <c r="BG162">
        <v>9.5</v>
      </c>
      <c r="BH162">
        <v>155</v>
      </c>
      <c r="BI162">
        <v>4.45</v>
      </c>
      <c r="BJ162">
        <v>7.9</v>
      </c>
      <c r="BK162">
        <v>5</v>
      </c>
      <c r="BL162">
        <v>5.7</v>
      </c>
      <c r="BM162">
        <v>3</v>
      </c>
      <c r="BN162">
        <v>6.5</v>
      </c>
    </row>
    <row r="163" spans="1:66" x14ac:dyDescent="0.3">
      <c r="A163">
        <v>162</v>
      </c>
      <c r="B163" t="s">
        <v>434</v>
      </c>
      <c r="C163" s="2" t="s">
        <v>448</v>
      </c>
      <c r="D163">
        <v>60</v>
      </c>
      <c r="E163" s="1">
        <v>45039</v>
      </c>
      <c r="F163" s="1">
        <v>44211</v>
      </c>
      <c r="G163" s="1">
        <v>44188.524016203701</v>
      </c>
      <c r="H163" t="s">
        <v>25</v>
      </c>
      <c r="I163" t="s">
        <v>15</v>
      </c>
      <c r="J163" t="s">
        <v>22</v>
      </c>
      <c r="K163" t="s">
        <v>16</v>
      </c>
      <c r="L163">
        <v>40</v>
      </c>
      <c r="M163" t="s">
        <v>16</v>
      </c>
      <c r="N163" t="s">
        <v>16</v>
      </c>
      <c r="O163" t="s">
        <v>25</v>
      </c>
      <c r="P163" t="s">
        <v>16</v>
      </c>
      <c r="Q163" t="s">
        <v>16</v>
      </c>
      <c r="R163" t="s">
        <v>153</v>
      </c>
      <c r="S163" t="s">
        <v>15</v>
      </c>
      <c r="T163" t="s">
        <v>29</v>
      </c>
      <c r="U163" t="s">
        <v>16</v>
      </c>
      <c r="V163" t="s">
        <v>85</v>
      </c>
      <c r="W163" t="s">
        <v>18</v>
      </c>
      <c r="X163" t="s">
        <v>16</v>
      </c>
      <c r="Y163">
        <v>7.1300001144409197</v>
      </c>
      <c r="Z163">
        <v>5.0500001907348597</v>
      </c>
      <c r="AA163">
        <v>1.0900000333786</v>
      </c>
      <c r="AB163">
        <v>1.0900000333786</v>
      </c>
      <c r="AC163">
        <v>370.41351318359398</v>
      </c>
      <c r="AD163">
        <v>169</v>
      </c>
      <c r="AE163">
        <v>2</v>
      </c>
      <c r="AF163" t="s">
        <v>16</v>
      </c>
      <c r="AG163">
        <v>106</v>
      </c>
      <c r="AH163">
        <v>6.4800000190734899</v>
      </c>
      <c r="AI163">
        <v>6.4800000190734899</v>
      </c>
      <c r="AJ163">
        <v>16.360000610351602</v>
      </c>
      <c r="AK163">
        <v>8.1199998855590803</v>
      </c>
      <c r="AL163">
        <v>7.25</v>
      </c>
      <c r="AM163">
        <v>14.6199998855591</v>
      </c>
      <c r="AN163" t="s">
        <v>320</v>
      </c>
      <c r="AO163">
        <v>104</v>
      </c>
      <c r="AP163">
        <v>30.387143900657399</v>
      </c>
      <c r="AQ163" s="1" t="s">
        <v>16</v>
      </c>
      <c r="AR163" s="1" t="s">
        <v>16</v>
      </c>
      <c r="AS163" s="1">
        <v>44343</v>
      </c>
      <c r="AT163" s="1">
        <v>44997</v>
      </c>
      <c r="AU163" s="1">
        <v>43812</v>
      </c>
      <c r="AV163" s="1">
        <v>43812.530252777768</v>
      </c>
      <c r="AW163" s="1" t="s">
        <v>16</v>
      </c>
      <c r="AX163" s="1" t="s">
        <v>16</v>
      </c>
      <c r="AY163" t="s">
        <v>16</v>
      </c>
      <c r="AZ163" s="5">
        <v>159</v>
      </c>
      <c r="BA163" s="5">
        <v>71</v>
      </c>
      <c r="BB163" s="5">
        <v>1</v>
      </c>
      <c r="BC163">
        <f t="shared" si="8"/>
        <v>16.531553012239705</v>
      </c>
      <c r="BD163">
        <v>137</v>
      </c>
      <c r="BE163">
        <v>5.5999999999999899</v>
      </c>
      <c r="BF163">
        <v>3.5</v>
      </c>
      <c r="BG163">
        <v>6</v>
      </c>
      <c r="BH163">
        <v>160</v>
      </c>
      <c r="BI163">
        <v>6.99</v>
      </c>
      <c r="BJ163">
        <v>8</v>
      </c>
      <c r="BK163">
        <v>7.4</v>
      </c>
      <c r="BL163">
        <v>6.2999999999999901</v>
      </c>
      <c r="BM163">
        <v>3.33</v>
      </c>
      <c r="BN163">
        <v>5</v>
      </c>
    </row>
    <row r="164" spans="1:66" x14ac:dyDescent="0.3">
      <c r="A164">
        <v>163</v>
      </c>
      <c r="B164" t="s">
        <v>430</v>
      </c>
      <c r="C164" s="2" t="s">
        <v>448</v>
      </c>
      <c r="D164">
        <v>56</v>
      </c>
      <c r="E164" s="1" t="s">
        <v>16</v>
      </c>
      <c r="F164" s="1">
        <v>42771</v>
      </c>
      <c r="G164" s="1">
        <v>42772.37841435185</v>
      </c>
      <c r="H164" t="s">
        <v>17</v>
      </c>
      <c r="I164" t="s">
        <v>78</v>
      </c>
      <c r="J164" t="s">
        <v>30</v>
      </c>
      <c r="K164" t="s">
        <v>244</v>
      </c>
      <c r="L164">
        <v>30</v>
      </c>
      <c r="M164" t="s">
        <v>16</v>
      </c>
      <c r="N164" t="s">
        <v>16</v>
      </c>
      <c r="O164" t="s">
        <v>17</v>
      </c>
      <c r="P164" t="s">
        <v>16</v>
      </c>
      <c r="Q164" t="s">
        <v>16</v>
      </c>
      <c r="R164" t="s">
        <v>16</v>
      </c>
      <c r="S164" t="s">
        <v>16</v>
      </c>
      <c r="T164" t="s">
        <v>19</v>
      </c>
      <c r="U164" t="s">
        <v>16</v>
      </c>
      <c r="V164" t="s">
        <v>16</v>
      </c>
      <c r="W164" t="s">
        <v>18</v>
      </c>
      <c r="X164" t="s">
        <v>15</v>
      </c>
      <c r="Y164">
        <v>6.0100002288818404</v>
      </c>
      <c r="Z164">
        <v>4.46000003814697</v>
      </c>
      <c r="AA164">
        <v>1.29999995231628</v>
      </c>
      <c r="AB164">
        <v>1.16999995708466</v>
      </c>
      <c r="AC164">
        <v>327.34170532226602</v>
      </c>
      <c r="AD164">
        <v>167</v>
      </c>
      <c r="AE164">
        <v>2.1900000572204599</v>
      </c>
      <c r="AF164">
        <v>35</v>
      </c>
      <c r="AG164">
        <v>102</v>
      </c>
      <c r="AH164">
        <v>7.28999996185303</v>
      </c>
      <c r="AI164">
        <v>8.0500001907348597</v>
      </c>
      <c r="AJ164">
        <v>12.670000076293899</v>
      </c>
      <c r="AK164">
        <v>7.5100002288818404</v>
      </c>
      <c r="AL164">
        <v>7.6199998855590803</v>
      </c>
      <c r="AM164">
        <v>13.3900003433228</v>
      </c>
      <c r="AN164" t="s">
        <v>321</v>
      </c>
      <c r="AO164" t="s">
        <v>16</v>
      </c>
      <c r="AP164" t="s">
        <v>16</v>
      </c>
      <c r="AQ164" s="1" t="s">
        <v>16</v>
      </c>
      <c r="AR164" s="1">
        <v>42772</v>
      </c>
      <c r="AS164" s="1" t="s">
        <v>16</v>
      </c>
      <c r="AT164" s="1" t="s">
        <v>16</v>
      </c>
      <c r="AU164" s="1" t="s">
        <v>16</v>
      </c>
      <c r="AV164" s="1"/>
      <c r="AW164" s="1" t="s">
        <v>16</v>
      </c>
      <c r="AX164" s="1" t="s">
        <v>16</v>
      </c>
      <c r="AY164" t="s">
        <v>16</v>
      </c>
      <c r="AZ164" s="5">
        <v>148</v>
      </c>
      <c r="BA164" s="5">
        <v>104</v>
      </c>
      <c r="BB164" s="5">
        <v>0</v>
      </c>
      <c r="BC164" s="5">
        <v>5.0999999999999996</v>
      </c>
      <c r="BD164">
        <v>143</v>
      </c>
      <c r="BE164">
        <v>4.4000000000000004</v>
      </c>
      <c r="BF164">
        <v>3.7</v>
      </c>
      <c r="BG164">
        <v>6.7999999999999901</v>
      </c>
      <c r="BH164">
        <v>135</v>
      </c>
      <c r="BI164">
        <v>10.6099999999999</v>
      </c>
      <c r="BJ164">
        <v>8.4</v>
      </c>
      <c r="BK164">
        <v>7.2999999999999901</v>
      </c>
      <c r="BL164">
        <v>8.8000000000000007</v>
      </c>
      <c r="BM164">
        <v>31.6</v>
      </c>
      <c r="BN164">
        <v>5.5</v>
      </c>
    </row>
    <row r="165" spans="1:66" x14ac:dyDescent="0.3">
      <c r="A165">
        <v>164</v>
      </c>
      <c r="B165" t="s">
        <v>430</v>
      </c>
      <c r="C165" s="2" t="s">
        <v>448</v>
      </c>
      <c r="D165">
        <v>49</v>
      </c>
      <c r="E165" s="1">
        <v>41117</v>
      </c>
      <c r="F165" s="1">
        <v>40254</v>
      </c>
      <c r="G165" s="1">
        <v>40286.420405092591</v>
      </c>
      <c r="H165" t="s">
        <v>17</v>
      </c>
      <c r="I165" t="s">
        <v>16</v>
      </c>
      <c r="J165" t="s">
        <v>28</v>
      </c>
      <c r="K165" t="s">
        <v>16</v>
      </c>
      <c r="L165">
        <v>38</v>
      </c>
      <c r="M165" t="s">
        <v>15</v>
      </c>
      <c r="N165" t="s">
        <v>15</v>
      </c>
      <c r="O165" t="s">
        <v>17</v>
      </c>
      <c r="P165" t="s">
        <v>85</v>
      </c>
      <c r="Q165" t="s">
        <v>16</v>
      </c>
      <c r="R165" t="s">
        <v>16</v>
      </c>
      <c r="S165" t="s">
        <v>16</v>
      </c>
      <c r="T165" t="s">
        <v>39</v>
      </c>
      <c r="U165" t="s">
        <v>16</v>
      </c>
      <c r="V165" t="s">
        <v>16</v>
      </c>
      <c r="W165" t="s">
        <v>19</v>
      </c>
      <c r="X165" t="s">
        <v>87</v>
      </c>
      <c r="Y165">
        <v>5.8000001907348597</v>
      </c>
      <c r="Z165">
        <v>4.1999998092651403</v>
      </c>
      <c r="AA165">
        <v>1</v>
      </c>
      <c r="AB165">
        <v>1</v>
      </c>
      <c r="AC165">
        <v>233</v>
      </c>
      <c r="AD165">
        <v>111</v>
      </c>
      <c r="AE165">
        <v>1.62000000476837</v>
      </c>
      <c r="AF165">
        <v>50</v>
      </c>
      <c r="AG165" t="s">
        <v>16</v>
      </c>
      <c r="AH165" t="s">
        <v>16</v>
      </c>
      <c r="AI165">
        <v>4.5</v>
      </c>
      <c r="AJ165" t="s">
        <v>16</v>
      </c>
      <c r="AK165" t="s">
        <v>16</v>
      </c>
      <c r="AL165">
        <v>6</v>
      </c>
      <c r="AM165" t="s">
        <v>16</v>
      </c>
      <c r="AN165" t="s">
        <v>322</v>
      </c>
      <c r="AO165">
        <v>90</v>
      </c>
      <c r="AP165">
        <v>27.7777777777778</v>
      </c>
      <c r="AQ165" s="1">
        <v>39497</v>
      </c>
      <c r="AR165" s="1" t="s">
        <v>16</v>
      </c>
      <c r="AS165" s="1">
        <v>39886</v>
      </c>
      <c r="AT165" s="1">
        <v>40728</v>
      </c>
      <c r="AU165" s="1">
        <v>39497</v>
      </c>
      <c r="AV165" s="1">
        <v>39497.704043634258</v>
      </c>
      <c r="AW165" s="1">
        <v>39497</v>
      </c>
      <c r="AX165" s="1" t="s">
        <v>16</v>
      </c>
      <c r="AY165" t="s">
        <v>16</v>
      </c>
      <c r="AZ165" s="5">
        <v>122</v>
      </c>
      <c r="BA165" s="5">
        <v>61</v>
      </c>
      <c r="BB165" s="5">
        <v>5</v>
      </c>
      <c r="BC165">
        <f t="shared" ref="BC165:BC171" si="9">(140-D165)*AO165/(72*BI165)</f>
        <v>36.226114649681527</v>
      </c>
      <c r="BD165">
        <v>134</v>
      </c>
      <c r="BE165">
        <v>5.7999999999999901</v>
      </c>
      <c r="BF165">
        <v>2.7</v>
      </c>
      <c r="BG165">
        <v>10.3</v>
      </c>
      <c r="BH165">
        <v>176</v>
      </c>
      <c r="BI165">
        <v>3.14</v>
      </c>
      <c r="BJ165">
        <v>7.0999999999999899</v>
      </c>
      <c r="BK165">
        <v>6.99</v>
      </c>
      <c r="BL165">
        <v>7</v>
      </c>
      <c r="BM165">
        <v>167.099999999999</v>
      </c>
      <c r="BN165">
        <v>10</v>
      </c>
    </row>
    <row r="166" spans="1:66" x14ac:dyDescent="0.3">
      <c r="A166">
        <v>165</v>
      </c>
      <c r="B166" t="s">
        <v>430</v>
      </c>
      <c r="C166" s="2" t="s">
        <v>448</v>
      </c>
      <c r="D166">
        <v>55</v>
      </c>
      <c r="E166" s="1">
        <v>44757</v>
      </c>
      <c r="F166" s="1">
        <v>44539</v>
      </c>
      <c r="G166" s="1">
        <v>44547.380324074074</v>
      </c>
      <c r="H166" t="s">
        <v>17</v>
      </c>
      <c r="I166" t="s">
        <v>15</v>
      </c>
      <c r="J166" t="s">
        <v>35</v>
      </c>
      <c r="K166" t="s">
        <v>16</v>
      </c>
      <c r="L166">
        <v>25</v>
      </c>
      <c r="M166" t="s">
        <v>17</v>
      </c>
      <c r="N166" t="s">
        <v>14</v>
      </c>
      <c r="O166" t="s">
        <v>17</v>
      </c>
      <c r="P166" t="s">
        <v>15</v>
      </c>
      <c r="Q166" t="s">
        <v>18</v>
      </c>
      <c r="R166" t="s">
        <v>16</v>
      </c>
      <c r="S166" t="s">
        <v>16</v>
      </c>
      <c r="T166" t="s">
        <v>19</v>
      </c>
      <c r="U166" t="s">
        <v>16</v>
      </c>
      <c r="V166" t="s">
        <v>16</v>
      </c>
      <c r="W166" t="s">
        <v>19</v>
      </c>
      <c r="X166" t="s">
        <v>78</v>
      </c>
      <c r="Y166">
        <v>5.8200001716613796</v>
      </c>
      <c r="Z166">
        <v>5.2600002288818404</v>
      </c>
      <c r="AA166">
        <v>1.04999995231628</v>
      </c>
      <c r="AB166">
        <v>1</v>
      </c>
      <c r="AC166">
        <v>242.13462829589801</v>
      </c>
      <c r="AD166">
        <v>122</v>
      </c>
      <c r="AE166">
        <v>2</v>
      </c>
      <c r="AF166">
        <v>42</v>
      </c>
      <c r="AG166">
        <v>81</v>
      </c>
      <c r="AH166" t="s">
        <v>16</v>
      </c>
      <c r="AI166">
        <v>3.0499999523162802</v>
      </c>
      <c r="AJ166">
        <v>26.559999465942401</v>
      </c>
      <c r="AK166">
        <v>4.9000000953674299</v>
      </c>
      <c r="AL166">
        <v>6.3099999427795401</v>
      </c>
      <c r="AM166">
        <v>12.8400001525879</v>
      </c>
      <c r="AN166" t="s">
        <v>323</v>
      </c>
      <c r="AO166">
        <v>91.2</v>
      </c>
      <c r="AP166">
        <v>30.827474310438099</v>
      </c>
      <c r="AQ166" s="1" t="s">
        <v>16</v>
      </c>
      <c r="AR166" s="1" t="s">
        <v>16</v>
      </c>
      <c r="AS166" s="1">
        <v>42402</v>
      </c>
      <c r="AT166" s="1" t="s">
        <v>16</v>
      </c>
      <c r="AU166" s="1">
        <v>42402</v>
      </c>
      <c r="AV166" s="1">
        <v>42402.437399965267</v>
      </c>
      <c r="AW166" s="1">
        <v>42402</v>
      </c>
      <c r="AX166" s="1" t="s">
        <v>16</v>
      </c>
      <c r="AY166" t="s">
        <v>16</v>
      </c>
      <c r="AZ166" s="5">
        <v>116</v>
      </c>
      <c r="BA166" s="5">
        <v>69</v>
      </c>
      <c r="BB166" s="5">
        <v>3</v>
      </c>
      <c r="BC166">
        <f t="shared" si="9"/>
        <v>27.606837606837679</v>
      </c>
      <c r="BD166">
        <v>135</v>
      </c>
      <c r="BE166">
        <v>4.5</v>
      </c>
      <c r="BF166">
        <v>2.5</v>
      </c>
      <c r="BG166">
        <v>7.7</v>
      </c>
      <c r="BH166">
        <v>291</v>
      </c>
      <c r="BI166">
        <v>3.8999999999999901</v>
      </c>
      <c r="BJ166">
        <v>8.3000000000000007</v>
      </c>
      <c r="BK166">
        <v>3.7</v>
      </c>
      <c r="BL166">
        <v>13.1</v>
      </c>
      <c r="BM166">
        <v>104.239999999999</v>
      </c>
      <c r="BN166">
        <v>7.5</v>
      </c>
    </row>
    <row r="167" spans="1:66" x14ac:dyDescent="0.3">
      <c r="A167">
        <v>166</v>
      </c>
      <c r="B167" t="s">
        <v>430</v>
      </c>
      <c r="C167" s="2" t="s">
        <v>448</v>
      </c>
      <c r="D167">
        <v>52</v>
      </c>
      <c r="E167" s="1">
        <v>42737</v>
      </c>
      <c r="F167" s="1">
        <v>42232</v>
      </c>
      <c r="G167" s="1">
        <v>42226.55568287037</v>
      </c>
      <c r="H167" t="s">
        <v>17</v>
      </c>
      <c r="I167" t="s">
        <v>78</v>
      </c>
      <c r="J167" t="s">
        <v>35</v>
      </c>
      <c r="K167" t="s">
        <v>16</v>
      </c>
      <c r="L167">
        <v>23</v>
      </c>
      <c r="M167" t="s">
        <v>79</v>
      </c>
      <c r="N167" t="s">
        <v>35</v>
      </c>
      <c r="O167" t="s">
        <v>17</v>
      </c>
      <c r="P167" t="s">
        <v>15</v>
      </c>
      <c r="Q167" t="s">
        <v>18</v>
      </c>
      <c r="R167" t="s">
        <v>16</v>
      </c>
      <c r="S167" t="s">
        <v>75</v>
      </c>
      <c r="T167" t="s">
        <v>18</v>
      </c>
      <c r="U167" t="s">
        <v>16</v>
      </c>
      <c r="V167" t="s">
        <v>16</v>
      </c>
      <c r="W167" t="s">
        <v>19</v>
      </c>
      <c r="X167" t="s">
        <v>90</v>
      </c>
      <c r="Y167">
        <v>5.9699997901916504</v>
      </c>
      <c r="Z167">
        <v>4.8000001907348597</v>
      </c>
      <c r="AA167">
        <v>1.1599999666214</v>
      </c>
      <c r="AB167">
        <v>1.12000000476837</v>
      </c>
      <c r="AC167">
        <v>290.751220703125</v>
      </c>
      <c r="AD167">
        <v>128</v>
      </c>
      <c r="AE167">
        <v>2.6900000572204599</v>
      </c>
      <c r="AF167">
        <v>59</v>
      </c>
      <c r="AG167">
        <v>116</v>
      </c>
      <c r="AH167">
        <v>4.8299999237060502</v>
      </c>
      <c r="AI167">
        <v>4.0500001907348597</v>
      </c>
      <c r="AJ167">
        <v>28.639999389648398</v>
      </c>
      <c r="AK167">
        <v>3.9800000190734899</v>
      </c>
      <c r="AL167">
        <v>5.53999996185303</v>
      </c>
      <c r="AM167">
        <v>20.940000534057599</v>
      </c>
      <c r="AN167" t="s">
        <v>324</v>
      </c>
      <c r="AO167">
        <v>123.5</v>
      </c>
      <c r="AP167">
        <v>44.282692100828299</v>
      </c>
      <c r="AQ167" s="1" t="s">
        <v>16</v>
      </c>
      <c r="AR167" s="1">
        <v>36892</v>
      </c>
      <c r="AS167" s="1">
        <v>42225</v>
      </c>
      <c r="AT167" s="1">
        <v>42359</v>
      </c>
      <c r="AU167" s="1">
        <v>42225</v>
      </c>
      <c r="AV167" s="1">
        <v>42225.926315127312</v>
      </c>
      <c r="AW167" s="1">
        <v>42225</v>
      </c>
      <c r="AX167" s="1" t="s">
        <v>16</v>
      </c>
      <c r="AY167" t="s">
        <v>16</v>
      </c>
      <c r="AZ167" s="5">
        <v>116</v>
      </c>
      <c r="BA167" s="5">
        <v>73</v>
      </c>
      <c r="BB167" s="5">
        <v>2</v>
      </c>
      <c r="BC167">
        <f t="shared" si="9"/>
        <v>22.870370370370406</v>
      </c>
      <c r="BD167">
        <v>133</v>
      </c>
      <c r="BE167">
        <v>5.2</v>
      </c>
      <c r="BF167">
        <v>3.2</v>
      </c>
      <c r="BH167">
        <v>200</v>
      </c>
      <c r="BI167">
        <v>6.5999999999999899</v>
      </c>
      <c r="BJ167">
        <v>8.6999999999999904</v>
      </c>
      <c r="BK167">
        <v>6.7999999999999901</v>
      </c>
      <c r="BL167">
        <v>16.600000000000001</v>
      </c>
      <c r="BM167">
        <v>38.06</v>
      </c>
      <c r="BN167">
        <v>7.0999999999999899</v>
      </c>
    </row>
    <row r="168" spans="1:66" x14ac:dyDescent="0.3">
      <c r="A168">
        <v>167</v>
      </c>
      <c r="B168" t="s">
        <v>430</v>
      </c>
      <c r="C168" s="2" t="s">
        <v>448</v>
      </c>
      <c r="D168">
        <v>52</v>
      </c>
      <c r="E168" s="1" t="s">
        <v>16</v>
      </c>
      <c r="F168" s="1">
        <v>42445</v>
      </c>
      <c r="G168" s="1">
        <v>42135.513090277775</v>
      </c>
      <c r="H168" t="s">
        <v>15</v>
      </c>
      <c r="I168" t="s">
        <v>87</v>
      </c>
      <c r="J168" t="s">
        <v>28</v>
      </c>
      <c r="K168" t="s">
        <v>16</v>
      </c>
      <c r="L168">
        <v>38</v>
      </c>
      <c r="M168" t="s">
        <v>15</v>
      </c>
      <c r="N168" t="s">
        <v>15</v>
      </c>
      <c r="O168" t="s">
        <v>17</v>
      </c>
      <c r="P168" t="s">
        <v>16</v>
      </c>
      <c r="Q168" t="s">
        <v>19</v>
      </c>
      <c r="R168" t="s">
        <v>16</v>
      </c>
      <c r="S168" t="s">
        <v>16</v>
      </c>
      <c r="T168" t="s">
        <v>29</v>
      </c>
      <c r="U168" t="s">
        <v>16</v>
      </c>
      <c r="V168" t="s">
        <v>16</v>
      </c>
      <c r="W168" t="s">
        <v>19</v>
      </c>
      <c r="X168" t="s">
        <v>87</v>
      </c>
      <c r="Y168">
        <v>4.75</v>
      </c>
      <c r="Z168">
        <v>3.9300000667571999</v>
      </c>
      <c r="AA168">
        <v>0.95999997854232799</v>
      </c>
      <c r="AB168">
        <v>1.4400000572204601</v>
      </c>
      <c r="AC168">
        <v>215.55052185058599</v>
      </c>
      <c r="AD168">
        <v>113</v>
      </c>
      <c r="AE168">
        <v>2.1199998855590798</v>
      </c>
      <c r="AF168">
        <v>49.970001220703097</v>
      </c>
      <c r="AG168">
        <v>149.55999755859401</v>
      </c>
      <c r="AH168">
        <v>5</v>
      </c>
      <c r="AI168">
        <v>8</v>
      </c>
      <c r="AJ168">
        <v>18.700000762939499</v>
      </c>
      <c r="AK168">
        <v>6</v>
      </c>
      <c r="AL168">
        <v>11</v>
      </c>
      <c r="AM168">
        <v>13.6000003814697</v>
      </c>
      <c r="AN168" t="s">
        <v>325</v>
      </c>
      <c r="AO168">
        <v>84</v>
      </c>
      <c r="AP168">
        <v>30.853994490358101</v>
      </c>
      <c r="AQ168" s="1" t="s">
        <v>16</v>
      </c>
      <c r="AR168" s="1" t="s">
        <v>16</v>
      </c>
      <c r="AS168" s="1" t="s">
        <v>16</v>
      </c>
      <c r="AT168" s="1" t="s">
        <v>16</v>
      </c>
      <c r="AU168" s="1">
        <v>42135</v>
      </c>
      <c r="AV168" s="1">
        <v>42135.020855439812</v>
      </c>
      <c r="AW168" s="1">
        <v>42135</v>
      </c>
      <c r="AX168" s="1" t="s">
        <v>16</v>
      </c>
      <c r="AY168" t="s">
        <v>16</v>
      </c>
      <c r="AZ168" s="5">
        <v>139</v>
      </c>
      <c r="BA168" s="5">
        <v>86</v>
      </c>
      <c r="BB168" s="5">
        <v>0</v>
      </c>
      <c r="BC168">
        <f t="shared" si="9"/>
        <v>23.123123123123122</v>
      </c>
      <c r="BD168">
        <v>132</v>
      </c>
      <c r="BE168">
        <v>4.2999999999999901</v>
      </c>
      <c r="BF168">
        <v>2.5</v>
      </c>
      <c r="BH168">
        <v>243</v>
      </c>
      <c r="BI168">
        <v>4.4400000000000004</v>
      </c>
      <c r="BJ168">
        <v>7.0999999999999899</v>
      </c>
      <c r="BK168">
        <v>6.4</v>
      </c>
      <c r="BL168">
        <v>9.3000000000000007</v>
      </c>
      <c r="BM168">
        <v>36.3599999999999</v>
      </c>
      <c r="BN168">
        <v>5.5999999999999899</v>
      </c>
    </row>
    <row r="169" spans="1:66" x14ac:dyDescent="0.3">
      <c r="A169">
        <v>168</v>
      </c>
      <c r="B169" t="s">
        <v>434</v>
      </c>
      <c r="C169" s="2" t="s">
        <v>448</v>
      </c>
      <c r="D169">
        <v>48</v>
      </c>
      <c r="E169" s="1">
        <v>41132</v>
      </c>
      <c r="F169" s="1">
        <v>41010</v>
      </c>
      <c r="G169" s="1">
        <v>40772.333668981482</v>
      </c>
      <c r="H169" t="s">
        <v>17</v>
      </c>
      <c r="I169" t="s">
        <v>15</v>
      </c>
      <c r="J169" t="s">
        <v>35</v>
      </c>
      <c r="K169" t="s">
        <v>16</v>
      </c>
      <c r="L169">
        <v>25</v>
      </c>
      <c r="M169" t="s">
        <v>17</v>
      </c>
      <c r="N169" t="s">
        <v>28</v>
      </c>
      <c r="O169" t="s">
        <v>25</v>
      </c>
      <c r="P169" t="s">
        <v>16</v>
      </c>
      <c r="Q169" t="s">
        <v>16</v>
      </c>
      <c r="R169" t="s">
        <v>16</v>
      </c>
      <c r="S169" t="s">
        <v>16</v>
      </c>
      <c r="T169" t="s">
        <v>23</v>
      </c>
      <c r="U169" t="s">
        <v>16</v>
      </c>
      <c r="V169" t="s">
        <v>16</v>
      </c>
      <c r="W169" t="s">
        <v>19</v>
      </c>
      <c r="X169" t="s">
        <v>90</v>
      </c>
      <c r="Y169">
        <v>5.7800002098083496</v>
      </c>
      <c r="Z169">
        <v>4.2800002098083496</v>
      </c>
      <c r="AA169">
        <v>1.0099999904632599</v>
      </c>
      <c r="AB169">
        <v>1.03999996185303</v>
      </c>
      <c r="AC169">
        <v>239.34085083007801</v>
      </c>
      <c r="AD169">
        <v>115</v>
      </c>
      <c r="AE169">
        <v>2.6900000572204599</v>
      </c>
      <c r="AF169">
        <v>63</v>
      </c>
      <c r="AG169">
        <v>118</v>
      </c>
      <c r="AH169">
        <v>5</v>
      </c>
      <c r="AI169">
        <v>4</v>
      </c>
      <c r="AJ169">
        <v>29.5</v>
      </c>
      <c r="AK169">
        <v>6</v>
      </c>
      <c r="AL169">
        <v>9</v>
      </c>
      <c r="AM169">
        <v>13.1099996566772</v>
      </c>
      <c r="AN169" t="s">
        <v>326</v>
      </c>
      <c r="AO169">
        <v>92</v>
      </c>
      <c r="AP169">
        <v>28.395061728395099</v>
      </c>
      <c r="AQ169" s="1">
        <v>40780</v>
      </c>
      <c r="AR169" s="1" t="s">
        <v>16</v>
      </c>
      <c r="AS169" s="1">
        <v>40778</v>
      </c>
      <c r="AT169" s="1" t="s">
        <v>16</v>
      </c>
      <c r="AU169" s="1">
        <v>40665</v>
      </c>
      <c r="AV169" s="1">
        <v>40665.551713425928</v>
      </c>
      <c r="AW169" s="1">
        <v>40826</v>
      </c>
      <c r="AX169" s="1" t="s">
        <v>16</v>
      </c>
      <c r="AY169" t="s">
        <v>16</v>
      </c>
      <c r="AZ169" s="5">
        <v>146</v>
      </c>
      <c r="BA169" s="5">
        <v>76</v>
      </c>
      <c r="BB169" s="5">
        <v>0</v>
      </c>
      <c r="BC169">
        <f t="shared" si="9"/>
        <v>82.785602503912955</v>
      </c>
      <c r="BD169">
        <v>136</v>
      </c>
      <c r="BE169">
        <v>5.2</v>
      </c>
      <c r="BF169">
        <v>3.7999999999999901</v>
      </c>
      <c r="BG169">
        <v>16</v>
      </c>
      <c r="BH169">
        <v>111</v>
      </c>
      <c r="BI169">
        <v>1.4199999999999899</v>
      </c>
      <c r="BJ169">
        <v>8.5</v>
      </c>
      <c r="BK169">
        <v>5</v>
      </c>
      <c r="BL169">
        <v>10.3</v>
      </c>
      <c r="BM169">
        <v>7.65</v>
      </c>
      <c r="BN169">
        <v>6.2</v>
      </c>
    </row>
    <row r="170" spans="1:66" x14ac:dyDescent="0.3">
      <c r="A170">
        <v>169</v>
      </c>
      <c r="B170" t="s">
        <v>430</v>
      </c>
      <c r="C170" s="2" t="s">
        <v>449</v>
      </c>
      <c r="D170">
        <v>51</v>
      </c>
      <c r="E170" s="1" t="s">
        <v>16</v>
      </c>
      <c r="F170" s="1">
        <v>42928</v>
      </c>
      <c r="G170" s="1">
        <v>42767.403067129628</v>
      </c>
      <c r="H170" t="s">
        <v>17</v>
      </c>
      <c r="I170" t="s">
        <v>78</v>
      </c>
      <c r="J170" t="s">
        <v>30</v>
      </c>
      <c r="K170" t="s">
        <v>16</v>
      </c>
      <c r="L170">
        <v>32</v>
      </c>
      <c r="M170" t="s">
        <v>16</v>
      </c>
      <c r="N170" t="s">
        <v>16</v>
      </c>
      <c r="O170" t="s">
        <v>25</v>
      </c>
      <c r="P170" t="s">
        <v>16</v>
      </c>
      <c r="Q170" t="s">
        <v>16</v>
      </c>
      <c r="R170" t="s">
        <v>16</v>
      </c>
      <c r="S170" t="s">
        <v>16</v>
      </c>
      <c r="T170" t="s">
        <v>18</v>
      </c>
      <c r="U170" t="s">
        <v>16</v>
      </c>
      <c r="V170" t="s">
        <v>16</v>
      </c>
      <c r="W170" t="s">
        <v>16</v>
      </c>
      <c r="X170" t="s">
        <v>16</v>
      </c>
      <c r="Y170">
        <v>5.8000001907348597</v>
      </c>
      <c r="Z170">
        <v>4.5999999046325701</v>
      </c>
      <c r="AA170">
        <v>1</v>
      </c>
      <c r="AB170">
        <v>1</v>
      </c>
      <c r="AC170">
        <v>233.09408569335901</v>
      </c>
      <c r="AD170">
        <v>134</v>
      </c>
      <c r="AE170">
        <v>1</v>
      </c>
      <c r="AF170" t="s">
        <v>16</v>
      </c>
      <c r="AG170">
        <v>66</v>
      </c>
      <c r="AH170">
        <v>6</v>
      </c>
      <c r="AI170">
        <v>6</v>
      </c>
      <c r="AJ170">
        <v>11</v>
      </c>
      <c r="AK170">
        <v>6</v>
      </c>
      <c r="AL170">
        <v>12</v>
      </c>
      <c r="AM170">
        <v>5.5</v>
      </c>
      <c r="AN170" t="s">
        <v>327</v>
      </c>
      <c r="AO170">
        <v>66.2</v>
      </c>
      <c r="AP170">
        <v>22.9065743944637</v>
      </c>
      <c r="AQ170" s="1" t="s">
        <v>16</v>
      </c>
      <c r="AR170" s="1" t="s">
        <v>16</v>
      </c>
      <c r="AS170" s="1" t="s">
        <v>16</v>
      </c>
      <c r="AT170" s="1" t="s">
        <v>16</v>
      </c>
      <c r="AU170" s="1">
        <v>42768</v>
      </c>
      <c r="AV170" s="1"/>
      <c r="AW170" s="1">
        <v>42768</v>
      </c>
      <c r="AX170" s="1">
        <v>42768</v>
      </c>
      <c r="AY170" t="s">
        <v>16</v>
      </c>
      <c r="AZ170" s="5">
        <v>126</v>
      </c>
      <c r="BA170" s="5">
        <v>69</v>
      </c>
      <c r="BB170" s="5">
        <v>0</v>
      </c>
      <c r="BC170">
        <f t="shared" si="9"/>
        <v>16.045206971677594</v>
      </c>
      <c r="BD170">
        <v>144</v>
      </c>
      <c r="BE170">
        <v>4.0999999999999899</v>
      </c>
      <c r="BF170">
        <v>2</v>
      </c>
      <c r="BH170">
        <v>134</v>
      </c>
      <c r="BI170">
        <v>5.0999999999999899</v>
      </c>
      <c r="BJ170">
        <v>5.5999999999999899</v>
      </c>
      <c r="BK170">
        <v>6.7999999999999901</v>
      </c>
      <c r="BL170">
        <v>7.2999999999999901</v>
      </c>
      <c r="BM170">
        <v>34.31</v>
      </c>
      <c r="BN170">
        <v>4.9000000000000004</v>
      </c>
    </row>
    <row r="171" spans="1:66" x14ac:dyDescent="0.3">
      <c r="A171">
        <v>170</v>
      </c>
      <c r="B171" t="s">
        <v>430</v>
      </c>
      <c r="C171" s="2" t="s">
        <v>448</v>
      </c>
      <c r="D171">
        <v>56</v>
      </c>
      <c r="E171" s="1">
        <v>45349</v>
      </c>
      <c r="F171" s="1">
        <v>45333</v>
      </c>
      <c r="G171" s="1">
        <v>45341.405439814815</v>
      </c>
      <c r="H171" t="s">
        <v>16</v>
      </c>
      <c r="I171" t="s">
        <v>16</v>
      </c>
      <c r="J171" t="s">
        <v>16</v>
      </c>
      <c r="K171" t="s">
        <v>74</v>
      </c>
      <c r="L171">
        <v>55</v>
      </c>
      <c r="M171" t="s">
        <v>16</v>
      </c>
      <c r="N171" t="s">
        <v>16</v>
      </c>
      <c r="O171" t="s">
        <v>17</v>
      </c>
      <c r="P171" t="s">
        <v>16</v>
      </c>
      <c r="Q171" t="s">
        <v>16</v>
      </c>
      <c r="R171" t="s">
        <v>153</v>
      </c>
      <c r="S171" t="s">
        <v>16</v>
      </c>
      <c r="T171" t="s">
        <v>18</v>
      </c>
      <c r="U171" t="s">
        <v>16</v>
      </c>
      <c r="V171" t="s">
        <v>16</v>
      </c>
      <c r="W171" t="s">
        <v>19</v>
      </c>
      <c r="X171" t="s">
        <v>15</v>
      </c>
      <c r="Y171">
        <v>5.03999996185303</v>
      </c>
      <c r="Z171">
        <v>3.7200000286102299</v>
      </c>
      <c r="AA171">
        <v>1.1399999856948899</v>
      </c>
      <c r="AB171">
        <v>1.25</v>
      </c>
      <c r="AC171">
        <v>235.34742736816401</v>
      </c>
      <c r="AD171">
        <v>88</v>
      </c>
      <c r="AE171">
        <v>1</v>
      </c>
      <c r="AF171">
        <v>34</v>
      </c>
      <c r="AG171">
        <v>117</v>
      </c>
      <c r="AH171" t="s">
        <v>16</v>
      </c>
      <c r="AI171">
        <v>8.0299997329711896</v>
      </c>
      <c r="AJ171">
        <v>14.569999694824199</v>
      </c>
      <c r="AK171">
        <v>7.3499999046325701</v>
      </c>
      <c r="AL171">
        <v>8.8000001907348597</v>
      </c>
      <c r="AM171">
        <v>13.300000190734901</v>
      </c>
      <c r="AN171" t="s">
        <v>329</v>
      </c>
      <c r="AO171">
        <v>159</v>
      </c>
      <c r="AP171">
        <v>49.074074074074097</v>
      </c>
      <c r="AQ171" s="1" t="s">
        <v>16</v>
      </c>
      <c r="AR171" s="1" t="s">
        <v>16</v>
      </c>
      <c r="AS171" s="1" t="s">
        <v>16</v>
      </c>
      <c r="AT171" s="1">
        <v>45340</v>
      </c>
      <c r="AU171" s="1" t="s">
        <v>16</v>
      </c>
      <c r="AV171" s="1"/>
      <c r="AW171" s="1" t="s">
        <v>16</v>
      </c>
      <c r="AX171" s="1" t="s">
        <v>16</v>
      </c>
      <c r="AY171" t="s">
        <v>16</v>
      </c>
      <c r="AZ171">
        <v>138</v>
      </c>
      <c r="BA171">
        <v>79</v>
      </c>
      <c r="BB171">
        <v>1</v>
      </c>
      <c r="BC171">
        <f t="shared" si="9"/>
        <v>24.407894736842138</v>
      </c>
      <c r="BD171">
        <v>137</v>
      </c>
      <c r="BE171">
        <v>4</v>
      </c>
      <c r="BF171">
        <v>3.2</v>
      </c>
      <c r="BG171">
        <v>10</v>
      </c>
      <c r="BH171">
        <v>171</v>
      </c>
      <c r="BI171">
        <v>7.5999999999999899</v>
      </c>
      <c r="BJ171">
        <v>6.0999999999999899</v>
      </c>
      <c r="BK171">
        <v>6.7</v>
      </c>
      <c r="BL171">
        <v>15.1999999999999</v>
      </c>
      <c r="BM171">
        <v>167.91999999999899</v>
      </c>
    </row>
    <row r="172" spans="1:66" x14ac:dyDescent="0.3">
      <c r="A172">
        <v>171</v>
      </c>
      <c r="B172" t="s">
        <v>430</v>
      </c>
      <c r="C172" s="2" t="s">
        <v>449</v>
      </c>
      <c r="D172">
        <v>49</v>
      </c>
      <c r="E172" s="1">
        <v>43076</v>
      </c>
      <c r="F172" s="1">
        <v>42418</v>
      </c>
      <c r="G172" s="1">
        <v>42349.320648148147</v>
      </c>
      <c r="H172" t="s">
        <v>25</v>
      </c>
      <c r="I172" t="s">
        <v>15</v>
      </c>
      <c r="J172" t="s">
        <v>35</v>
      </c>
      <c r="K172" t="s">
        <v>16</v>
      </c>
      <c r="L172">
        <v>10</v>
      </c>
      <c r="M172" t="s">
        <v>15</v>
      </c>
      <c r="N172" t="s">
        <v>14</v>
      </c>
      <c r="O172" t="s">
        <v>31</v>
      </c>
      <c r="P172" t="s">
        <v>15</v>
      </c>
      <c r="Q172" t="s">
        <v>33</v>
      </c>
      <c r="R172" t="s">
        <v>16</v>
      </c>
      <c r="S172" t="s">
        <v>16</v>
      </c>
      <c r="T172" t="s">
        <v>34</v>
      </c>
      <c r="U172" t="s">
        <v>16</v>
      </c>
      <c r="V172" t="s">
        <v>16</v>
      </c>
      <c r="W172" t="s">
        <v>29</v>
      </c>
      <c r="X172" t="s">
        <v>90</v>
      </c>
      <c r="Y172">
        <v>6.3000001907348597</v>
      </c>
      <c r="Z172">
        <v>5.9000000953674299</v>
      </c>
      <c r="AA172">
        <v>0.89999997615814198</v>
      </c>
      <c r="AB172">
        <v>0.69999998807907104</v>
      </c>
      <c r="AC172">
        <v>202.76934814453099</v>
      </c>
      <c r="AD172">
        <v>102</v>
      </c>
      <c r="AE172">
        <v>2</v>
      </c>
      <c r="AF172">
        <v>60</v>
      </c>
      <c r="AG172">
        <v>133</v>
      </c>
      <c r="AH172">
        <v>5.4000000953674299</v>
      </c>
      <c r="AI172">
        <v>6</v>
      </c>
      <c r="AJ172">
        <v>22.170000076293899</v>
      </c>
      <c r="AK172">
        <v>8.8000001907348597</v>
      </c>
      <c r="AL172">
        <v>8.6999998092651403</v>
      </c>
      <c r="AM172">
        <v>15.289999961853001</v>
      </c>
      <c r="AN172" t="s">
        <v>330</v>
      </c>
      <c r="AO172" t="s">
        <v>16</v>
      </c>
      <c r="AP172" t="s">
        <v>16</v>
      </c>
      <c r="AQ172" s="1" t="s">
        <v>16</v>
      </c>
      <c r="AR172" s="1" t="s">
        <v>16</v>
      </c>
      <c r="AS172" s="1" t="s">
        <v>16</v>
      </c>
      <c r="AT172" s="1">
        <v>42359</v>
      </c>
      <c r="AU172" s="1" t="s">
        <v>16</v>
      </c>
      <c r="AV172" s="1"/>
      <c r="AW172" s="1" t="s">
        <v>16</v>
      </c>
      <c r="AX172" s="1" t="s">
        <v>16</v>
      </c>
      <c r="AY172" t="s">
        <v>16</v>
      </c>
      <c r="AZ172">
        <v>102</v>
      </c>
      <c r="BA172">
        <v>35</v>
      </c>
      <c r="BB172">
        <v>0</v>
      </c>
      <c r="BC172">
        <v>9.8000000000000007</v>
      </c>
      <c r="BD172">
        <v>135.5</v>
      </c>
      <c r="BE172">
        <v>4.3600000000000003</v>
      </c>
      <c r="BF172">
        <v>3.6</v>
      </c>
      <c r="BH172">
        <v>239</v>
      </c>
      <c r="BI172">
        <v>4.75</v>
      </c>
      <c r="BJ172">
        <v>10.3</v>
      </c>
      <c r="BK172">
        <v>6.5999999999999899</v>
      </c>
      <c r="BL172">
        <v>6.2999999999999901</v>
      </c>
      <c r="BM172">
        <v>60.159999999999897</v>
      </c>
      <c r="BN172">
        <v>4.7</v>
      </c>
    </row>
    <row r="173" spans="1:66" x14ac:dyDescent="0.3">
      <c r="A173">
        <v>172</v>
      </c>
      <c r="B173" t="s">
        <v>430</v>
      </c>
      <c r="C173" s="2" t="s">
        <v>448</v>
      </c>
      <c r="D173">
        <v>54</v>
      </c>
      <c r="E173" s="1">
        <v>45050</v>
      </c>
      <c r="F173" s="1">
        <v>43755</v>
      </c>
      <c r="G173" s="1">
        <v>43760.536203703705</v>
      </c>
      <c r="H173" t="s">
        <v>15</v>
      </c>
      <c r="I173" t="s">
        <v>78</v>
      </c>
      <c r="J173" t="s">
        <v>15</v>
      </c>
      <c r="K173" t="s">
        <v>16</v>
      </c>
      <c r="L173">
        <v>60</v>
      </c>
      <c r="M173" t="s">
        <v>16</v>
      </c>
      <c r="N173" t="s">
        <v>16</v>
      </c>
      <c r="O173" t="s">
        <v>17</v>
      </c>
      <c r="P173" t="s">
        <v>112</v>
      </c>
      <c r="Q173" t="s">
        <v>33</v>
      </c>
      <c r="R173" t="s">
        <v>16</v>
      </c>
      <c r="S173" t="s">
        <v>16</v>
      </c>
      <c r="T173" t="s">
        <v>18</v>
      </c>
      <c r="U173" t="s">
        <v>96</v>
      </c>
      <c r="V173" t="s">
        <v>93</v>
      </c>
      <c r="W173" t="s">
        <v>18</v>
      </c>
      <c r="X173" t="s">
        <v>16</v>
      </c>
      <c r="Y173">
        <v>6</v>
      </c>
      <c r="Z173">
        <v>4.0599999427795401</v>
      </c>
      <c r="AA173">
        <v>1.20000004768372</v>
      </c>
      <c r="AB173">
        <v>1.1000000238418599</v>
      </c>
      <c r="AC173">
        <v>296.61477661132801</v>
      </c>
      <c r="AD173">
        <v>122</v>
      </c>
      <c r="AE173">
        <v>1</v>
      </c>
      <c r="AF173" t="s">
        <v>16</v>
      </c>
      <c r="AG173">
        <v>82.599998474121094</v>
      </c>
      <c r="AH173">
        <v>6.7399997711181596</v>
      </c>
      <c r="AI173">
        <v>6.1999998092651403</v>
      </c>
      <c r="AJ173">
        <v>13.319999694824199</v>
      </c>
      <c r="AK173">
        <v>6.1999998092651403</v>
      </c>
      <c r="AL173">
        <v>5.7699999809265101</v>
      </c>
      <c r="AM173">
        <v>14.319999694824199</v>
      </c>
      <c r="AN173" t="s">
        <v>331</v>
      </c>
      <c r="AO173">
        <v>122.8</v>
      </c>
      <c r="AP173">
        <v>35.880204528853199</v>
      </c>
      <c r="AQ173" s="1">
        <v>44420</v>
      </c>
      <c r="AR173" s="1">
        <v>43761</v>
      </c>
      <c r="AS173" s="1">
        <v>44481</v>
      </c>
      <c r="AT173" s="1">
        <v>43773</v>
      </c>
      <c r="AU173" s="1">
        <v>43754</v>
      </c>
      <c r="AV173" s="1">
        <v>43754.083222835638</v>
      </c>
      <c r="AW173" s="1">
        <v>43773</v>
      </c>
      <c r="AX173" s="1" t="s">
        <v>16</v>
      </c>
      <c r="AY173" t="s">
        <v>16</v>
      </c>
      <c r="AZ173">
        <v>203</v>
      </c>
      <c r="BA173">
        <v>80</v>
      </c>
      <c r="BB173">
        <v>1</v>
      </c>
      <c r="BC173">
        <f>(140-D173)*AO173/(72*BI173)</f>
        <v>18.019383019383017</v>
      </c>
      <c r="BD173">
        <v>137</v>
      </c>
      <c r="BE173">
        <v>4.5</v>
      </c>
      <c r="BF173">
        <v>3.6</v>
      </c>
      <c r="BG173">
        <v>11.1</v>
      </c>
      <c r="BH173">
        <v>153</v>
      </c>
      <c r="BI173">
        <v>8.14</v>
      </c>
      <c r="BJ173">
        <v>8.4</v>
      </c>
      <c r="BK173">
        <v>6.2</v>
      </c>
      <c r="BL173">
        <v>9</v>
      </c>
      <c r="BM173">
        <v>7.69</v>
      </c>
      <c r="BN173">
        <v>5.2999999999999901</v>
      </c>
    </row>
    <row r="174" spans="1:66" x14ac:dyDescent="0.3">
      <c r="A174">
        <v>173</v>
      </c>
      <c r="B174" t="s">
        <v>430</v>
      </c>
      <c r="C174" s="2" t="s">
        <v>449</v>
      </c>
      <c r="D174">
        <v>57</v>
      </c>
      <c r="E174" s="1" t="s">
        <v>16</v>
      </c>
      <c r="F174" s="1">
        <v>44753</v>
      </c>
      <c r="G174" s="1">
        <v>44592.471388888887</v>
      </c>
      <c r="H174" t="s">
        <v>15</v>
      </c>
      <c r="I174" t="s">
        <v>15</v>
      </c>
      <c r="J174" t="s">
        <v>15</v>
      </c>
      <c r="K174" t="s">
        <v>16</v>
      </c>
      <c r="L174">
        <v>60</v>
      </c>
      <c r="M174" t="s">
        <v>16</v>
      </c>
      <c r="N174" t="s">
        <v>16</v>
      </c>
      <c r="O174" t="s">
        <v>15</v>
      </c>
      <c r="P174" t="s">
        <v>16</v>
      </c>
      <c r="Q174" t="s">
        <v>16</v>
      </c>
      <c r="R174" t="s">
        <v>16</v>
      </c>
      <c r="S174" t="s">
        <v>16</v>
      </c>
      <c r="T174" t="s">
        <v>18</v>
      </c>
      <c r="U174" t="s">
        <v>16</v>
      </c>
      <c r="V174" t="s">
        <v>16</v>
      </c>
      <c r="W174" t="s">
        <v>18</v>
      </c>
      <c r="X174" t="s">
        <v>15</v>
      </c>
      <c r="Y174">
        <v>4.3299999237060502</v>
      </c>
      <c r="Z174">
        <v>2.5899999141693102</v>
      </c>
      <c r="AA174">
        <v>1.1000000238418599</v>
      </c>
      <c r="AB174">
        <v>1.0900000333786</v>
      </c>
      <c r="AC174">
        <v>163.65957641601599</v>
      </c>
      <c r="AD174">
        <v>84</v>
      </c>
      <c r="AE174">
        <v>1</v>
      </c>
      <c r="AF174">
        <v>29</v>
      </c>
      <c r="AG174">
        <v>103</v>
      </c>
      <c r="AH174" t="s">
        <v>16</v>
      </c>
      <c r="AI174">
        <v>7.9400000572204599</v>
      </c>
      <c r="AJ174">
        <v>12.9700002670288</v>
      </c>
      <c r="AK174">
        <v>9.0299997329711896</v>
      </c>
      <c r="AL174">
        <v>8.3800001144409197</v>
      </c>
      <c r="AM174">
        <v>12.289999961853001</v>
      </c>
      <c r="AN174" t="s">
        <v>332</v>
      </c>
      <c r="AO174">
        <v>80</v>
      </c>
      <c r="AP174">
        <v>31.25</v>
      </c>
      <c r="AQ174" s="1" t="s">
        <v>16</v>
      </c>
      <c r="AR174" s="1" t="s">
        <v>16</v>
      </c>
      <c r="AS174" s="1" t="s">
        <v>16</v>
      </c>
      <c r="AT174" s="1" t="s">
        <v>16</v>
      </c>
      <c r="AU174" s="1">
        <v>44073</v>
      </c>
      <c r="AV174" s="1"/>
      <c r="AW174" s="1">
        <v>44073</v>
      </c>
      <c r="AX174" s="1" t="s">
        <v>16</v>
      </c>
      <c r="AY174" t="s">
        <v>16</v>
      </c>
      <c r="AZ174">
        <v>181</v>
      </c>
      <c r="BA174">
        <v>90</v>
      </c>
      <c r="BB174">
        <v>2</v>
      </c>
      <c r="BC174">
        <f>(140-D174)*AO174/(72*BI174)</f>
        <v>11.763038548752847</v>
      </c>
      <c r="BD174">
        <v>140</v>
      </c>
      <c r="BE174">
        <v>5.2</v>
      </c>
      <c r="BF174">
        <v>3.6</v>
      </c>
      <c r="BG174">
        <v>8.0999999999999908</v>
      </c>
      <c r="BH174">
        <v>177</v>
      </c>
      <c r="BI174">
        <v>7.8399999999999901</v>
      </c>
      <c r="BJ174">
        <v>6.0999999999999899</v>
      </c>
      <c r="BK174">
        <v>6.5999999999999899</v>
      </c>
      <c r="BL174">
        <v>6.7</v>
      </c>
      <c r="BM174">
        <v>4.46999999999999</v>
      </c>
      <c r="BN174">
        <v>6.9</v>
      </c>
    </row>
    <row r="175" spans="1:66" x14ac:dyDescent="0.3">
      <c r="A175">
        <v>174</v>
      </c>
      <c r="B175" t="s">
        <v>430</v>
      </c>
      <c r="C175" s="2" t="s">
        <v>448</v>
      </c>
      <c r="D175">
        <v>51</v>
      </c>
      <c r="E175" s="1">
        <v>44751</v>
      </c>
      <c r="F175" s="1">
        <v>43152</v>
      </c>
      <c r="G175" s="1">
        <v>43051.502465277779</v>
      </c>
      <c r="H175" t="s">
        <v>15</v>
      </c>
      <c r="I175" t="s">
        <v>16</v>
      </c>
      <c r="J175" t="s">
        <v>15</v>
      </c>
      <c r="K175" t="s">
        <v>16</v>
      </c>
      <c r="L175">
        <v>60</v>
      </c>
      <c r="M175" t="s">
        <v>15</v>
      </c>
      <c r="N175" t="s">
        <v>15</v>
      </c>
      <c r="O175" t="s">
        <v>17</v>
      </c>
      <c r="P175" t="s">
        <v>16</v>
      </c>
      <c r="Q175" t="s">
        <v>18</v>
      </c>
      <c r="R175" t="s">
        <v>16</v>
      </c>
      <c r="S175" t="s">
        <v>16</v>
      </c>
      <c r="T175" t="s">
        <v>19</v>
      </c>
      <c r="U175" t="s">
        <v>16</v>
      </c>
      <c r="V175" t="s">
        <v>16</v>
      </c>
      <c r="W175" t="s">
        <v>18</v>
      </c>
      <c r="X175" t="s">
        <v>15</v>
      </c>
      <c r="Y175">
        <v>4.9299998283386204</v>
      </c>
      <c r="Z175">
        <v>3.1800000667571999</v>
      </c>
      <c r="AA175">
        <v>1.12999999523163</v>
      </c>
      <c r="AB175">
        <v>1.0199999809265099</v>
      </c>
      <c r="AC175">
        <v>196.17970275878901</v>
      </c>
      <c r="AD175">
        <v>99</v>
      </c>
      <c r="AE175">
        <v>1</v>
      </c>
      <c r="AF175">
        <v>33</v>
      </c>
      <c r="AG175">
        <v>80</v>
      </c>
      <c r="AH175">
        <v>6.7399997711181596</v>
      </c>
      <c r="AI175">
        <v>5.3299999237060502</v>
      </c>
      <c r="AJ175">
        <v>15.0100002288818</v>
      </c>
      <c r="AK175">
        <v>10.800000190734901</v>
      </c>
      <c r="AL175">
        <v>6.6399998664856001</v>
      </c>
      <c r="AM175">
        <v>12.050000190734901</v>
      </c>
      <c r="AN175" t="s">
        <v>333</v>
      </c>
      <c r="AO175">
        <v>73</v>
      </c>
      <c r="AP175">
        <v>22.530864197530899</v>
      </c>
      <c r="AQ175" s="1" t="s">
        <v>16</v>
      </c>
      <c r="AR175" s="1" t="s">
        <v>16</v>
      </c>
      <c r="AS175" s="1" t="s">
        <v>16</v>
      </c>
      <c r="AT175" s="1" t="s">
        <v>16</v>
      </c>
      <c r="AU175" s="1">
        <v>39989</v>
      </c>
      <c r="AV175" s="1"/>
      <c r="AW175" s="1" t="s">
        <v>16</v>
      </c>
      <c r="AX175" s="1" t="s">
        <v>16</v>
      </c>
      <c r="AY175" t="s">
        <v>21</v>
      </c>
      <c r="AZ175">
        <v>148</v>
      </c>
      <c r="BA175">
        <v>91</v>
      </c>
      <c r="BB175">
        <v>1</v>
      </c>
      <c r="BC175">
        <f>(140-D175)*AO175/(72*BI175)</f>
        <v>19.363972341440153</v>
      </c>
      <c r="BD175">
        <v>133</v>
      </c>
      <c r="BE175">
        <v>5</v>
      </c>
      <c r="BF175">
        <v>1.5</v>
      </c>
      <c r="BG175">
        <v>10.6999999999999</v>
      </c>
      <c r="BH175">
        <v>156</v>
      </c>
      <c r="BI175">
        <v>4.66</v>
      </c>
      <c r="BJ175">
        <v>7.9</v>
      </c>
      <c r="BK175">
        <v>9</v>
      </c>
      <c r="BL175">
        <v>9.5999999999999908</v>
      </c>
      <c r="BM175">
        <v>76.189999999999898</v>
      </c>
    </row>
    <row r="176" spans="1:66" x14ac:dyDescent="0.3">
      <c r="A176">
        <v>175</v>
      </c>
      <c r="B176" t="s">
        <v>434</v>
      </c>
      <c r="C176" s="2" t="s">
        <v>448</v>
      </c>
      <c r="D176">
        <v>65</v>
      </c>
      <c r="E176" s="1">
        <v>44404</v>
      </c>
      <c r="F176" s="1">
        <v>43630</v>
      </c>
      <c r="G176" s="1">
        <v>43341.437615740739</v>
      </c>
      <c r="H176" t="s">
        <v>15</v>
      </c>
      <c r="I176" t="s">
        <v>15</v>
      </c>
      <c r="J176" t="s">
        <v>35</v>
      </c>
      <c r="K176" t="s">
        <v>16</v>
      </c>
      <c r="L176">
        <v>18</v>
      </c>
      <c r="M176" t="s">
        <v>16</v>
      </c>
      <c r="N176" t="s">
        <v>16</v>
      </c>
      <c r="O176" t="s">
        <v>16</v>
      </c>
      <c r="P176" t="s">
        <v>16</v>
      </c>
      <c r="Q176" t="s">
        <v>16</v>
      </c>
      <c r="R176" t="s">
        <v>153</v>
      </c>
      <c r="S176" t="s">
        <v>16</v>
      </c>
      <c r="T176" t="s">
        <v>19</v>
      </c>
      <c r="U176" t="s">
        <v>16</v>
      </c>
      <c r="V176" t="s">
        <v>16</v>
      </c>
      <c r="W176" t="s">
        <v>19</v>
      </c>
      <c r="X176" t="s">
        <v>78</v>
      </c>
      <c r="Y176">
        <v>5.2800002098083496</v>
      </c>
      <c r="Z176">
        <v>4.6300001144409197</v>
      </c>
      <c r="AA176">
        <v>1.08000004291534</v>
      </c>
      <c r="AB176">
        <v>0.95999997854232799</v>
      </c>
      <c r="AC176">
        <v>204.46098327636699</v>
      </c>
      <c r="AD176">
        <v>122</v>
      </c>
      <c r="AE176">
        <v>1</v>
      </c>
      <c r="AF176">
        <v>37</v>
      </c>
      <c r="AG176">
        <v>114</v>
      </c>
      <c r="AH176">
        <v>3.4500000476837198</v>
      </c>
      <c r="AI176">
        <v>3.8299999237060498</v>
      </c>
      <c r="AJ176">
        <v>29.7700004577637</v>
      </c>
      <c r="AK176">
        <v>4.8000001907348597</v>
      </c>
      <c r="AL176">
        <v>7.5</v>
      </c>
      <c r="AM176">
        <v>15.199999809265099</v>
      </c>
      <c r="AN176" t="s">
        <v>334</v>
      </c>
      <c r="AO176" t="s">
        <v>16</v>
      </c>
      <c r="AP176" t="s">
        <v>16</v>
      </c>
      <c r="AQ176" s="1" t="s">
        <v>16</v>
      </c>
      <c r="AR176" s="1">
        <v>42407</v>
      </c>
      <c r="AS176" s="1">
        <v>42558</v>
      </c>
      <c r="AT176" s="1" t="s">
        <v>16</v>
      </c>
      <c r="AU176" s="1">
        <v>40882</v>
      </c>
      <c r="AV176" s="1">
        <v>40882.538621793981</v>
      </c>
      <c r="AW176" s="1">
        <v>40882</v>
      </c>
      <c r="AX176" s="1">
        <v>42414</v>
      </c>
      <c r="AY176" t="s">
        <v>16</v>
      </c>
      <c r="AZ176">
        <v>116</v>
      </c>
      <c r="BA176">
        <v>67</v>
      </c>
      <c r="BB176">
        <v>0</v>
      </c>
      <c r="BC176">
        <v>32</v>
      </c>
      <c r="BD176">
        <v>139</v>
      </c>
      <c r="BE176">
        <v>4.4000000000000004</v>
      </c>
      <c r="BF176">
        <v>2.6</v>
      </c>
      <c r="BG176">
        <v>11.6999999999999</v>
      </c>
      <c r="BH176">
        <v>132</v>
      </c>
      <c r="BI176">
        <v>2.0899999999999901</v>
      </c>
      <c r="BJ176">
        <v>8.5</v>
      </c>
      <c r="BK176">
        <v>3</v>
      </c>
      <c r="BL176">
        <v>11.4</v>
      </c>
      <c r="BM176">
        <v>77.930000000000007</v>
      </c>
      <c r="BN176">
        <v>5.5999999999999899</v>
      </c>
    </row>
    <row r="177" spans="1:66" x14ac:dyDescent="0.3">
      <c r="A177">
        <v>176</v>
      </c>
      <c r="B177" t="s">
        <v>434</v>
      </c>
      <c r="C177" s="2" t="s">
        <v>448</v>
      </c>
      <c r="D177">
        <v>74</v>
      </c>
      <c r="E177" s="1">
        <v>43222</v>
      </c>
      <c r="F177" s="1">
        <v>43179</v>
      </c>
      <c r="G177" s="1">
        <v>43124.54420138889</v>
      </c>
      <c r="H177" t="s">
        <v>15</v>
      </c>
      <c r="I177" t="s">
        <v>87</v>
      </c>
      <c r="J177" t="s">
        <v>35</v>
      </c>
      <c r="K177" t="s">
        <v>16</v>
      </c>
      <c r="L177">
        <v>28</v>
      </c>
      <c r="M177" t="s">
        <v>15</v>
      </c>
      <c r="N177" t="s">
        <v>35</v>
      </c>
      <c r="O177" t="s">
        <v>17</v>
      </c>
      <c r="P177" t="s">
        <v>75</v>
      </c>
      <c r="Q177" t="s">
        <v>16</v>
      </c>
      <c r="R177" t="s">
        <v>335</v>
      </c>
      <c r="S177" t="s">
        <v>92</v>
      </c>
      <c r="T177" t="s">
        <v>34</v>
      </c>
      <c r="U177" t="s">
        <v>16</v>
      </c>
      <c r="V177" t="s">
        <v>16</v>
      </c>
      <c r="W177" t="s">
        <v>34</v>
      </c>
      <c r="X177" t="s">
        <v>78</v>
      </c>
      <c r="Y177">
        <v>5</v>
      </c>
      <c r="Z177">
        <v>4.0999999046325701</v>
      </c>
      <c r="AA177">
        <v>1.3600000143051101</v>
      </c>
      <c r="AB177">
        <v>1.3999999761581401</v>
      </c>
      <c r="AC177">
        <v>285.38409423828102</v>
      </c>
      <c r="AD177">
        <v>172</v>
      </c>
      <c r="AE177">
        <v>2.4400000572204599</v>
      </c>
      <c r="AF177">
        <v>39</v>
      </c>
      <c r="AG177">
        <v>117</v>
      </c>
      <c r="AH177">
        <v>3.2799999713897701</v>
      </c>
      <c r="AI177">
        <v>3.0699999332428001</v>
      </c>
      <c r="AJ177">
        <v>38.110000610351598</v>
      </c>
      <c r="AK177">
        <v>5.6799998283386204</v>
      </c>
      <c r="AL177">
        <v>5.0799999237060502</v>
      </c>
      <c r="AM177">
        <v>23.030000686645501</v>
      </c>
      <c r="AN177" t="s">
        <v>336</v>
      </c>
      <c r="AO177">
        <v>72</v>
      </c>
      <c r="AP177">
        <v>29.210109943608298</v>
      </c>
      <c r="AQ177" s="1" t="s">
        <v>16</v>
      </c>
      <c r="AR177" s="1" t="s">
        <v>16</v>
      </c>
      <c r="AS177" s="1">
        <v>43122</v>
      </c>
      <c r="AT177" s="1" t="s">
        <v>16</v>
      </c>
      <c r="AU177" s="1" t="s">
        <v>16</v>
      </c>
      <c r="AV177" s="1">
        <v>43122.813283877324</v>
      </c>
      <c r="AW177" s="1" t="s">
        <v>16</v>
      </c>
      <c r="AX177" s="1" t="s">
        <v>16</v>
      </c>
      <c r="AY177" t="s">
        <v>16</v>
      </c>
      <c r="AZ177">
        <v>99</v>
      </c>
      <c r="BA177">
        <v>51</v>
      </c>
      <c r="BB177">
        <v>3</v>
      </c>
      <c r="BC177">
        <f t="shared" ref="BC177:BC182" si="10">(140-D177)*AO177/(72*BI177)</f>
        <v>40.000000000000242</v>
      </c>
      <c r="BD177">
        <v>142</v>
      </c>
      <c r="BE177">
        <v>4.0999999999999899</v>
      </c>
      <c r="BF177">
        <v>3.3999999999999901</v>
      </c>
      <c r="BH177">
        <v>119</v>
      </c>
      <c r="BI177">
        <v>1.6499999999999899</v>
      </c>
      <c r="BJ177">
        <v>8.4</v>
      </c>
      <c r="BK177">
        <v>2.3999999999999901</v>
      </c>
      <c r="BL177">
        <v>12.4</v>
      </c>
      <c r="BM177">
        <v>23.62</v>
      </c>
      <c r="BN177">
        <v>5.7999999999999901</v>
      </c>
    </row>
    <row r="178" spans="1:66" x14ac:dyDescent="0.3">
      <c r="A178">
        <v>177</v>
      </c>
      <c r="B178" t="s">
        <v>430</v>
      </c>
      <c r="C178" s="2" t="s">
        <v>449</v>
      </c>
      <c r="D178">
        <v>68</v>
      </c>
      <c r="E178" s="1">
        <v>42406</v>
      </c>
      <c r="F178" s="1">
        <v>41195</v>
      </c>
      <c r="G178" s="1">
        <v>41248.559282407405</v>
      </c>
      <c r="H178" t="s">
        <v>15</v>
      </c>
      <c r="I178" t="s">
        <v>87</v>
      </c>
      <c r="J178" t="s">
        <v>15</v>
      </c>
      <c r="K178" t="s">
        <v>94</v>
      </c>
      <c r="L178">
        <v>60</v>
      </c>
      <c r="M178" t="s">
        <v>16</v>
      </c>
      <c r="N178" t="s">
        <v>16</v>
      </c>
      <c r="O178" t="s">
        <v>25</v>
      </c>
      <c r="P178" t="s">
        <v>112</v>
      </c>
      <c r="Q178" t="s">
        <v>16</v>
      </c>
      <c r="R178" t="s">
        <v>16</v>
      </c>
      <c r="S178" t="s">
        <v>16</v>
      </c>
      <c r="T178" t="s">
        <v>19</v>
      </c>
      <c r="U178" t="s">
        <v>191</v>
      </c>
      <c r="V178" t="s">
        <v>16</v>
      </c>
      <c r="W178" t="s">
        <v>19</v>
      </c>
      <c r="X178" t="s">
        <v>87</v>
      </c>
      <c r="Y178">
        <v>5.1999998092651403</v>
      </c>
      <c r="Z178">
        <v>3.5</v>
      </c>
      <c r="AA178">
        <v>1.5</v>
      </c>
      <c r="AB178">
        <v>1.20000004768372</v>
      </c>
      <c r="AC178">
        <v>293.82260131835898</v>
      </c>
      <c r="AD178">
        <v>147</v>
      </c>
      <c r="AE178">
        <v>1</v>
      </c>
      <c r="AF178">
        <v>58</v>
      </c>
      <c r="AG178">
        <v>137</v>
      </c>
      <c r="AH178">
        <v>5.5</v>
      </c>
      <c r="AI178">
        <v>4.5999999046325701</v>
      </c>
      <c r="AJ178">
        <v>29.780000686645501</v>
      </c>
      <c r="AK178">
        <v>5.6999998092651403</v>
      </c>
      <c r="AL178">
        <v>5.4000000953674299</v>
      </c>
      <c r="AM178">
        <v>25.370000839233398</v>
      </c>
      <c r="AN178" t="s">
        <v>337</v>
      </c>
      <c r="AO178">
        <v>96</v>
      </c>
      <c r="AP178">
        <v>34.013605442176903</v>
      </c>
      <c r="AQ178" s="1" t="s">
        <v>16</v>
      </c>
      <c r="AR178" s="1" t="s">
        <v>16</v>
      </c>
      <c r="AS178" s="1">
        <v>40958</v>
      </c>
      <c r="AT178" s="1" t="s">
        <v>16</v>
      </c>
      <c r="AU178" s="1">
        <v>39861</v>
      </c>
      <c r="AV178" s="1">
        <v>39861.148839930553</v>
      </c>
      <c r="AW178" s="1">
        <v>41021</v>
      </c>
      <c r="AX178" s="1" t="s">
        <v>16</v>
      </c>
      <c r="AY178" t="s">
        <v>16</v>
      </c>
      <c r="AZ178">
        <v>202</v>
      </c>
      <c r="BA178">
        <v>60</v>
      </c>
      <c r="BB178">
        <v>2</v>
      </c>
      <c r="BC178">
        <f t="shared" si="10"/>
        <v>21.192052980132448</v>
      </c>
      <c r="BD178">
        <v>141</v>
      </c>
      <c r="BE178">
        <v>4</v>
      </c>
      <c r="BF178">
        <v>3.2</v>
      </c>
      <c r="BG178">
        <v>10.1999999999999</v>
      </c>
      <c r="BH178">
        <v>165</v>
      </c>
      <c r="BI178">
        <v>4.53</v>
      </c>
      <c r="BJ178">
        <v>7.5999999999999899</v>
      </c>
      <c r="BK178">
        <v>5.7999999999999901</v>
      </c>
      <c r="BL178">
        <v>9.0999999999999908</v>
      </c>
      <c r="BM178">
        <v>16.969999999999899</v>
      </c>
      <c r="BN178">
        <v>6.2</v>
      </c>
    </row>
    <row r="179" spans="1:66" x14ac:dyDescent="0.3">
      <c r="A179">
        <v>178</v>
      </c>
      <c r="B179" t="s">
        <v>430</v>
      </c>
      <c r="C179" s="2" t="s">
        <v>448</v>
      </c>
      <c r="D179">
        <v>62</v>
      </c>
      <c r="E179" s="1">
        <v>43821</v>
      </c>
      <c r="F179" s="1">
        <v>42449</v>
      </c>
      <c r="G179" s="1">
        <v>42208.432604166665</v>
      </c>
      <c r="H179" t="s">
        <v>15</v>
      </c>
      <c r="I179" t="s">
        <v>78</v>
      </c>
      <c r="J179" t="s">
        <v>15</v>
      </c>
      <c r="K179" t="s">
        <v>16</v>
      </c>
      <c r="L179">
        <v>60</v>
      </c>
      <c r="M179" t="s">
        <v>15</v>
      </c>
      <c r="N179" t="s">
        <v>15</v>
      </c>
      <c r="O179" t="s">
        <v>15</v>
      </c>
      <c r="P179" t="s">
        <v>16</v>
      </c>
      <c r="Q179" t="s">
        <v>16</v>
      </c>
      <c r="R179" t="s">
        <v>16</v>
      </c>
      <c r="S179" t="s">
        <v>16</v>
      </c>
      <c r="T179" t="s">
        <v>18</v>
      </c>
      <c r="U179" t="s">
        <v>16</v>
      </c>
      <c r="V179" t="s">
        <v>16</v>
      </c>
      <c r="W179" t="s">
        <v>18</v>
      </c>
      <c r="X179" t="s">
        <v>15</v>
      </c>
      <c r="Y179">
        <v>4.5</v>
      </c>
      <c r="Z179">
        <v>2.9000000953674299</v>
      </c>
      <c r="AA179">
        <v>1.20000004768372</v>
      </c>
      <c r="AB179">
        <v>1</v>
      </c>
      <c r="AC179">
        <v>175.01881408691401</v>
      </c>
      <c r="AD179">
        <v>93</v>
      </c>
      <c r="AE179">
        <v>1</v>
      </c>
      <c r="AF179">
        <v>22</v>
      </c>
      <c r="AG179">
        <v>80</v>
      </c>
      <c r="AH179">
        <v>8.1099996566772496</v>
      </c>
      <c r="AI179">
        <v>4.8299999237060502</v>
      </c>
      <c r="AJ179">
        <v>16.559999465942401</v>
      </c>
      <c r="AK179">
        <v>7.25</v>
      </c>
      <c r="AL179">
        <v>7.6399998664856001</v>
      </c>
      <c r="AM179">
        <v>10.4700002670288</v>
      </c>
      <c r="AN179" t="s">
        <v>338</v>
      </c>
      <c r="AO179">
        <v>74</v>
      </c>
      <c r="AP179">
        <v>24.725182932941301</v>
      </c>
      <c r="AQ179" s="1" t="s">
        <v>16</v>
      </c>
      <c r="AR179" s="1" t="s">
        <v>16</v>
      </c>
      <c r="AS179" s="1" t="s">
        <v>16</v>
      </c>
      <c r="AT179" s="1" t="s">
        <v>16</v>
      </c>
      <c r="AU179" s="1">
        <v>41948</v>
      </c>
      <c r="AV179" s="1">
        <v>41659.641772141207</v>
      </c>
      <c r="AW179" s="1">
        <v>41948</v>
      </c>
      <c r="AX179" s="1" t="s">
        <v>16</v>
      </c>
      <c r="AY179" t="s">
        <v>16</v>
      </c>
      <c r="AZ179">
        <v>140</v>
      </c>
      <c r="BA179">
        <v>73</v>
      </c>
      <c r="BB179">
        <v>0</v>
      </c>
      <c r="BC179">
        <f t="shared" si="10"/>
        <v>9.6007984031936235</v>
      </c>
      <c r="BD179">
        <v>138</v>
      </c>
      <c r="BE179">
        <v>5.2999999999999901</v>
      </c>
      <c r="BF179">
        <v>3.7</v>
      </c>
      <c r="BG179">
        <v>7.5999999999999899</v>
      </c>
      <c r="BH179">
        <v>175</v>
      </c>
      <c r="BI179">
        <v>8.3499999999999908</v>
      </c>
      <c r="BJ179">
        <v>8.8000000000000007</v>
      </c>
      <c r="BK179">
        <v>5.66</v>
      </c>
      <c r="BL179">
        <v>7.4</v>
      </c>
      <c r="BM179">
        <v>23.42</v>
      </c>
      <c r="BN179">
        <v>6.5999999999999899</v>
      </c>
    </row>
    <row r="180" spans="1:66" x14ac:dyDescent="0.3">
      <c r="A180">
        <v>179</v>
      </c>
      <c r="B180" t="s">
        <v>430</v>
      </c>
      <c r="C180" s="2" t="s">
        <v>448</v>
      </c>
      <c r="D180">
        <v>73</v>
      </c>
      <c r="E180" s="1">
        <v>41798</v>
      </c>
      <c r="F180" s="1">
        <v>41753</v>
      </c>
      <c r="G180" s="1">
        <v>41759.338055555556</v>
      </c>
      <c r="H180" t="s">
        <v>25</v>
      </c>
      <c r="I180" t="s">
        <v>78</v>
      </c>
      <c r="J180" t="s">
        <v>35</v>
      </c>
      <c r="K180" t="s">
        <v>116</v>
      </c>
      <c r="L180">
        <v>25</v>
      </c>
      <c r="M180" t="s">
        <v>16</v>
      </c>
      <c r="N180" t="s">
        <v>14</v>
      </c>
      <c r="O180" t="s">
        <v>17</v>
      </c>
      <c r="P180" t="s">
        <v>16</v>
      </c>
      <c r="Q180" t="s">
        <v>18</v>
      </c>
      <c r="R180" t="s">
        <v>16</v>
      </c>
      <c r="S180" t="s">
        <v>196</v>
      </c>
      <c r="T180" t="s">
        <v>34</v>
      </c>
      <c r="U180" t="s">
        <v>16</v>
      </c>
      <c r="V180" t="s">
        <v>16</v>
      </c>
      <c r="W180" t="s">
        <v>19</v>
      </c>
      <c r="X180" t="s">
        <v>90</v>
      </c>
      <c r="Y180">
        <v>6.9000000953674299</v>
      </c>
      <c r="Z180">
        <v>5.5999999046325701</v>
      </c>
      <c r="AA180">
        <v>1.29999995231628</v>
      </c>
      <c r="AB180">
        <v>1.20000004768372</v>
      </c>
      <c r="AC180">
        <v>418.32638549804699</v>
      </c>
      <c r="AD180">
        <v>201</v>
      </c>
      <c r="AE180">
        <v>2.5599999427795401</v>
      </c>
      <c r="AF180">
        <v>65</v>
      </c>
      <c r="AG180">
        <v>113.029998779297</v>
      </c>
      <c r="AH180">
        <v>3</v>
      </c>
      <c r="AI180">
        <v>7</v>
      </c>
      <c r="AJ180">
        <v>16.149999618530298</v>
      </c>
      <c r="AK180">
        <v>2</v>
      </c>
      <c r="AL180">
        <v>5</v>
      </c>
      <c r="AM180">
        <v>22.610000610351602</v>
      </c>
      <c r="AN180" t="s">
        <v>339</v>
      </c>
      <c r="AO180">
        <v>92</v>
      </c>
      <c r="AP180">
        <v>31.097890751757699</v>
      </c>
      <c r="AQ180" s="1" t="s">
        <v>16</v>
      </c>
      <c r="AR180" s="1">
        <v>41758</v>
      </c>
      <c r="AS180" s="1">
        <v>41758</v>
      </c>
      <c r="AT180" s="1">
        <v>41777</v>
      </c>
      <c r="AU180" s="1">
        <v>41758</v>
      </c>
      <c r="AV180" s="1"/>
      <c r="AW180" s="1" t="s">
        <v>16</v>
      </c>
      <c r="AX180" s="1">
        <v>41760</v>
      </c>
      <c r="AY180" t="s">
        <v>16</v>
      </c>
      <c r="AZ180">
        <v>122</v>
      </c>
      <c r="BA180">
        <v>74</v>
      </c>
      <c r="BB180">
        <v>0</v>
      </c>
      <c r="BC180">
        <f t="shared" si="10"/>
        <v>27.977487291212782</v>
      </c>
      <c r="BD180">
        <v>133</v>
      </c>
      <c r="BE180">
        <v>4.5999999999999899</v>
      </c>
      <c r="BF180">
        <v>3.7</v>
      </c>
      <c r="BG180">
        <v>12.6</v>
      </c>
      <c r="BH180">
        <v>238</v>
      </c>
      <c r="BI180">
        <v>3.06</v>
      </c>
      <c r="BJ180">
        <v>9.9</v>
      </c>
      <c r="BK180">
        <v>6.5</v>
      </c>
      <c r="BL180">
        <v>16.5</v>
      </c>
      <c r="BM180">
        <v>22.21</v>
      </c>
      <c r="BN180">
        <v>6.0999999999999899</v>
      </c>
    </row>
    <row r="181" spans="1:66" x14ac:dyDescent="0.3">
      <c r="A181">
        <v>180</v>
      </c>
      <c r="B181" t="s">
        <v>430</v>
      </c>
      <c r="C181" s="2" t="s">
        <v>448</v>
      </c>
      <c r="D181">
        <v>64</v>
      </c>
      <c r="E181" s="1">
        <v>42673</v>
      </c>
      <c r="F181" s="1">
        <v>40064</v>
      </c>
      <c r="G181" s="1">
        <v>40023.538668981484</v>
      </c>
      <c r="H181" t="s">
        <v>16</v>
      </c>
      <c r="I181" t="s">
        <v>16</v>
      </c>
      <c r="J181" t="s">
        <v>16</v>
      </c>
      <c r="K181" t="s">
        <v>16</v>
      </c>
      <c r="L181">
        <v>55</v>
      </c>
      <c r="M181" t="s">
        <v>16</v>
      </c>
      <c r="N181" t="s">
        <v>16</v>
      </c>
      <c r="O181" t="s">
        <v>16</v>
      </c>
      <c r="P181" t="s">
        <v>16</v>
      </c>
      <c r="Q181" t="s">
        <v>16</v>
      </c>
      <c r="R181" t="s">
        <v>16</v>
      </c>
      <c r="S181" t="s">
        <v>16</v>
      </c>
      <c r="T181" t="s">
        <v>16</v>
      </c>
      <c r="U181" t="s">
        <v>16</v>
      </c>
      <c r="V181" t="s">
        <v>16</v>
      </c>
      <c r="W181" t="s">
        <v>16</v>
      </c>
      <c r="X181" t="s">
        <v>16</v>
      </c>
      <c r="Y181">
        <v>6</v>
      </c>
      <c r="Z181">
        <v>4.1999998092651403</v>
      </c>
      <c r="AA181">
        <v>1.20000004768372</v>
      </c>
      <c r="AB181">
        <v>1.1000000238418599</v>
      </c>
      <c r="AC181">
        <v>297</v>
      </c>
      <c r="AD181" t="s">
        <v>16</v>
      </c>
      <c r="AE181">
        <v>1.12000000476837</v>
      </c>
      <c r="AF181" t="s">
        <v>16</v>
      </c>
      <c r="AG181" t="s">
        <v>16</v>
      </c>
      <c r="AH181" t="s">
        <v>16</v>
      </c>
      <c r="AI181" t="s">
        <v>16</v>
      </c>
      <c r="AJ181" t="s">
        <v>16</v>
      </c>
      <c r="AK181" t="s">
        <v>16</v>
      </c>
      <c r="AL181" t="s">
        <v>16</v>
      </c>
      <c r="AM181" t="s">
        <v>16</v>
      </c>
      <c r="AN181" t="s">
        <v>340</v>
      </c>
      <c r="AO181">
        <v>102</v>
      </c>
      <c r="AP181">
        <v>31.1345807515033</v>
      </c>
      <c r="AQ181" s="1">
        <v>40934</v>
      </c>
      <c r="AR181" s="1">
        <v>35796</v>
      </c>
      <c r="AS181" s="1">
        <v>40023</v>
      </c>
      <c r="AT181" s="1" t="s">
        <v>16</v>
      </c>
      <c r="AU181" s="1">
        <v>40386</v>
      </c>
      <c r="AV181" s="1">
        <v>39748.024359490737</v>
      </c>
      <c r="AW181" s="1">
        <v>40937</v>
      </c>
      <c r="AX181" s="1" t="s">
        <v>16</v>
      </c>
      <c r="AY181" t="s">
        <v>16</v>
      </c>
      <c r="AZ181">
        <v>143</v>
      </c>
      <c r="BA181">
        <v>81</v>
      </c>
      <c r="BB181">
        <v>5</v>
      </c>
      <c r="BC181">
        <f t="shared" si="10"/>
        <v>32.235528942115863</v>
      </c>
      <c r="BD181">
        <v>137</v>
      </c>
      <c r="BE181">
        <v>4.5999999999999899</v>
      </c>
      <c r="BF181">
        <v>3.5</v>
      </c>
      <c r="BG181">
        <v>14.9</v>
      </c>
      <c r="BH181">
        <v>67</v>
      </c>
      <c r="BI181">
        <v>3.3399999999999901</v>
      </c>
      <c r="BJ181">
        <v>9</v>
      </c>
      <c r="BK181">
        <v>4.58</v>
      </c>
      <c r="BL181">
        <v>5.5</v>
      </c>
      <c r="BM181">
        <v>3.1</v>
      </c>
      <c r="BN181">
        <v>6.5</v>
      </c>
    </row>
    <row r="182" spans="1:66" x14ac:dyDescent="0.3">
      <c r="A182">
        <v>181</v>
      </c>
      <c r="B182" t="s">
        <v>430</v>
      </c>
      <c r="C182" s="2" t="s">
        <v>448</v>
      </c>
      <c r="D182">
        <v>88</v>
      </c>
      <c r="E182" s="1">
        <v>44935</v>
      </c>
      <c r="F182" s="1">
        <v>44567</v>
      </c>
      <c r="G182" s="1">
        <v>44248.353298611109</v>
      </c>
      <c r="H182" t="s">
        <v>15</v>
      </c>
      <c r="I182" t="s">
        <v>15</v>
      </c>
      <c r="J182" t="s">
        <v>22</v>
      </c>
      <c r="K182" t="s">
        <v>16</v>
      </c>
      <c r="L182">
        <v>40</v>
      </c>
      <c r="M182" t="s">
        <v>16</v>
      </c>
      <c r="N182" t="s">
        <v>16</v>
      </c>
      <c r="O182" t="s">
        <v>17</v>
      </c>
      <c r="P182" t="s">
        <v>75</v>
      </c>
      <c r="Q182" t="s">
        <v>18</v>
      </c>
      <c r="R182" t="s">
        <v>16</v>
      </c>
      <c r="S182" t="s">
        <v>16</v>
      </c>
      <c r="T182" t="s">
        <v>19</v>
      </c>
      <c r="U182" t="s">
        <v>16</v>
      </c>
      <c r="V182" t="s">
        <v>16</v>
      </c>
      <c r="W182" t="s">
        <v>23</v>
      </c>
      <c r="X182" t="s">
        <v>87</v>
      </c>
      <c r="Y182">
        <v>5.5999999046325701</v>
      </c>
      <c r="Z182">
        <v>3.7699999809265101</v>
      </c>
      <c r="AA182">
        <v>1.1000000238418599</v>
      </c>
      <c r="AB182">
        <v>1</v>
      </c>
      <c r="AC182">
        <v>234.32293701171901</v>
      </c>
      <c r="AD182">
        <v>116</v>
      </c>
      <c r="AE182">
        <v>1.62000000476837</v>
      </c>
      <c r="AF182">
        <v>56</v>
      </c>
      <c r="AG182">
        <v>98.199996948242202</v>
      </c>
      <c r="AH182">
        <v>4.5100002288818404</v>
      </c>
      <c r="AI182">
        <v>5.9299998283386204</v>
      </c>
      <c r="AJ182">
        <v>16.559999465942401</v>
      </c>
      <c r="AK182">
        <v>5.9299998283386204</v>
      </c>
      <c r="AL182">
        <v>5.0999999046325701</v>
      </c>
      <c r="AM182">
        <v>19.25</v>
      </c>
      <c r="AN182" t="s">
        <v>341</v>
      </c>
      <c r="AO182">
        <v>85</v>
      </c>
      <c r="AP182">
        <v>27.755102040816301</v>
      </c>
      <c r="AQ182" s="1">
        <v>44595</v>
      </c>
      <c r="AR182" s="1" t="s">
        <v>16</v>
      </c>
      <c r="AS182" s="1">
        <v>43224</v>
      </c>
      <c r="AT182" s="1">
        <v>44304</v>
      </c>
      <c r="AU182" s="1">
        <v>43224</v>
      </c>
      <c r="AV182" s="1">
        <v>43224.570522256938</v>
      </c>
      <c r="AW182" s="1">
        <v>43224</v>
      </c>
      <c r="AX182" s="1" t="s">
        <v>16</v>
      </c>
      <c r="AY182" t="s">
        <v>16</v>
      </c>
      <c r="AZ182">
        <v>127</v>
      </c>
      <c r="BA182">
        <v>73</v>
      </c>
      <c r="BB182">
        <v>2</v>
      </c>
      <c r="BC182">
        <f t="shared" si="10"/>
        <v>10.713593174326157</v>
      </c>
      <c r="BD182">
        <v>133</v>
      </c>
      <c r="BE182">
        <v>3.5</v>
      </c>
      <c r="BF182">
        <v>2.5</v>
      </c>
      <c r="BG182">
        <v>10.4</v>
      </c>
      <c r="BH182">
        <v>294</v>
      </c>
      <c r="BI182">
        <v>5.73</v>
      </c>
      <c r="BJ182">
        <v>7.2</v>
      </c>
      <c r="BK182">
        <v>7.2</v>
      </c>
      <c r="BL182">
        <v>16.899999999999899</v>
      </c>
      <c r="BM182">
        <v>141.84</v>
      </c>
      <c r="BN182">
        <v>6.9</v>
      </c>
    </row>
    <row r="183" spans="1:66" x14ac:dyDescent="0.3">
      <c r="A183">
        <v>182</v>
      </c>
      <c r="B183" t="s">
        <v>430</v>
      </c>
      <c r="C183" s="2" t="s">
        <v>448</v>
      </c>
      <c r="D183">
        <v>76</v>
      </c>
      <c r="E183" s="1">
        <v>43823</v>
      </c>
      <c r="F183" s="1">
        <v>43803</v>
      </c>
      <c r="G183" s="1">
        <v>43779.414201388892</v>
      </c>
      <c r="H183" t="s">
        <v>17</v>
      </c>
      <c r="I183" t="s">
        <v>16</v>
      </c>
      <c r="J183" t="s">
        <v>35</v>
      </c>
      <c r="K183" t="s">
        <v>16</v>
      </c>
      <c r="L183">
        <v>15</v>
      </c>
      <c r="M183" t="s">
        <v>15</v>
      </c>
      <c r="N183" t="s">
        <v>28</v>
      </c>
      <c r="O183" t="s">
        <v>17</v>
      </c>
      <c r="P183" t="s">
        <v>75</v>
      </c>
      <c r="Q183" t="s">
        <v>33</v>
      </c>
      <c r="R183" t="s">
        <v>16</v>
      </c>
      <c r="S183" t="s">
        <v>16</v>
      </c>
      <c r="T183" t="s">
        <v>29</v>
      </c>
      <c r="U183" t="s">
        <v>96</v>
      </c>
      <c r="V183" t="s">
        <v>16</v>
      </c>
      <c r="W183" t="s">
        <v>19</v>
      </c>
      <c r="X183" t="s">
        <v>16</v>
      </c>
      <c r="Y183">
        <v>6.1999998092651403</v>
      </c>
      <c r="Z183">
        <v>5.4000000953674299</v>
      </c>
      <c r="AA183">
        <v>1.1000000238418599</v>
      </c>
      <c r="AB183">
        <v>1</v>
      </c>
      <c r="AC183">
        <v>278.03790283203102</v>
      </c>
      <c r="AD183">
        <v>148</v>
      </c>
      <c r="AE183">
        <v>2.6199998855590798</v>
      </c>
      <c r="AF183" t="s">
        <v>16</v>
      </c>
      <c r="AG183">
        <v>125</v>
      </c>
      <c r="AH183">
        <v>4.0799999237060502</v>
      </c>
      <c r="AI183">
        <v>3.3800001144409202</v>
      </c>
      <c r="AJ183">
        <v>36.9799995422363</v>
      </c>
      <c r="AK183">
        <v>3.0599999427795401</v>
      </c>
      <c r="AL183">
        <v>3.7699999809265101</v>
      </c>
      <c r="AM183">
        <v>33.159999847412102</v>
      </c>
      <c r="AN183" t="s">
        <v>342</v>
      </c>
      <c r="AO183" t="s">
        <v>16</v>
      </c>
      <c r="AP183" t="s">
        <v>16</v>
      </c>
      <c r="AQ183" s="1">
        <v>43780</v>
      </c>
      <c r="AR183" s="1">
        <v>40646</v>
      </c>
      <c r="AS183" s="1">
        <v>40659</v>
      </c>
      <c r="AT183" s="1">
        <v>43157</v>
      </c>
      <c r="AU183" s="1">
        <v>40659</v>
      </c>
      <c r="AV183" s="1">
        <v>40659.510471377318</v>
      </c>
      <c r="AW183" s="1">
        <v>40659</v>
      </c>
      <c r="AX183" s="1" t="s">
        <v>16</v>
      </c>
      <c r="AY183" t="s">
        <v>21</v>
      </c>
      <c r="AZ183">
        <v>137</v>
      </c>
      <c r="BA183">
        <v>87</v>
      </c>
      <c r="BB183">
        <v>0</v>
      </c>
      <c r="BC183">
        <v>9.3000000000000007</v>
      </c>
      <c r="BD183">
        <v>141</v>
      </c>
      <c r="BE183">
        <v>4.2999999999999901</v>
      </c>
      <c r="BF183">
        <v>2.7</v>
      </c>
      <c r="BH183">
        <v>310</v>
      </c>
      <c r="BI183">
        <v>6.4</v>
      </c>
      <c r="BJ183">
        <v>9.4</v>
      </c>
      <c r="BK183">
        <v>8.4</v>
      </c>
      <c r="BL183">
        <v>9.8000000000000007</v>
      </c>
      <c r="BM183">
        <v>60.299999999999898</v>
      </c>
      <c r="BN183">
        <v>8.1999999999999904</v>
      </c>
    </row>
    <row r="184" spans="1:66" x14ac:dyDescent="0.3">
      <c r="A184">
        <v>183</v>
      </c>
      <c r="B184" t="s">
        <v>430</v>
      </c>
      <c r="C184" s="2" t="s">
        <v>449</v>
      </c>
      <c r="D184">
        <v>78</v>
      </c>
      <c r="E184" s="1">
        <v>42264</v>
      </c>
      <c r="F184" s="1">
        <v>40065</v>
      </c>
      <c r="G184" s="1">
        <v>39873.528171296297</v>
      </c>
      <c r="H184" t="s">
        <v>16</v>
      </c>
      <c r="I184" t="s">
        <v>16</v>
      </c>
      <c r="J184" t="s">
        <v>16</v>
      </c>
      <c r="K184" t="s">
        <v>74</v>
      </c>
      <c r="L184" t="s">
        <v>16</v>
      </c>
      <c r="M184" t="s">
        <v>16</v>
      </c>
      <c r="N184" t="s">
        <v>16</v>
      </c>
      <c r="O184" t="s">
        <v>17</v>
      </c>
      <c r="P184" t="s">
        <v>16</v>
      </c>
      <c r="Q184" t="s">
        <v>18</v>
      </c>
      <c r="R184" t="s">
        <v>16</v>
      </c>
      <c r="S184" t="s">
        <v>16</v>
      </c>
      <c r="T184" t="s">
        <v>39</v>
      </c>
      <c r="U184" t="s">
        <v>16</v>
      </c>
      <c r="V184" t="s">
        <v>16</v>
      </c>
      <c r="W184" t="s">
        <v>19</v>
      </c>
      <c r="X184" t="s">
        <v>87</v>
      </c>
      <c r="Y184">
        <v>5.5999999046325701</v>
      </c>
      <c r="Z184">
        <v>2.7000000476837198</v>
      </c>
      <c r="AA184">
        <v>0.80000001192092896</v>
      </c>
      <c r="AB184">
        <v>0.80000001192092896</v>
      </c>
      <c r="AC184">
        <v>165</v>
      </c>
      <c r="AD184">
        <v>90</v>
      </c>
      <c r="AE184">
        <v>1</v>
      </c>
      <c r="AF184">
        <v>49</v>
      </c>
      <c r="AG184">
        <v>129</v>
      </c>
      <c r="AH184">
        <v>6</v>
      </c>
      <c r="AI184">
        <v>5</v>
      </c>
      <c r="AJ184">
        <v>25.799999237060501</v>
      </c>
      <c r="AK184">
        <v>8</v>
      </c>
      <c r="AL184">
        <v>5</v>
      </c>
      <c r="AM184">
        <v>25.799999237060501</v>
      </c>
      <c r="AN184" t="s">
        <v>343</v>
      </c>
      <c r="AO184">
        <v>94</v>
      </c>
      <c r="AP184">
        <v>34.527089072543603</v>
      </c>
      <c r="AQ184" s="1">
        <v>39820</v>
      </c>
      <c r="AR184" s="1" t="s">
        <v>16</v>
      </c>
      <c r="AS184" s="1" t="s">
        <v>16</v>
      </c>
      <c r="AT184" s="1">
        <v>40413</v>
      </c>
      <c r="AU184" s="1">
        <v>39314</v>
      </c>
      <c r="AV184" s="1">
        <v>39314.745882986113</v>
      </c>
      <c r="AW184" s="1">
        <v>39314</v>
      </c>
      <c r="AX184" s="1" t="s">
        <v>16</v>
      </c>
      <c r="AY184" t="s">
        <v>21</v>
      </c>
      <c r="AZ184">
        <v>145</v>
      </c>
      <c r="BA184">
        <v>56</v>
      </c>
      <c r="BB184">
        <v>9</v>
      </c>
      <c r="BC184">
        <f>(140-D184)*AO184/(72*BI184)</f>
        <v>13.35716905023838</v>
      </c>
      <c r="BD184">
        <v>135</v>
      </c>
      <c r="BE184">
        <v>5</v>
      </c>
      <c r="BF184">
        <v>3.5</v>
      </c>
      <c r="BG184">
        <v>13.1999999999999</v>
      </c>
      <c r="BH184">
        <v>41</v>
      </c>
      <c r="BI184">
        <v>6.0599999999999898</v>
      </c>
      <c r="BJ184">
        <v>8.6999999999999904</v>
      </c>
      <c r="BK184">
        <v>5.21999999999999</v>
      </c>
      <c r="BL184">
        <v>6.2</v>
      </c>
      <c r="BM184">
        <v>13.16</v>
      </c>
      <c r="BN184">
        <v>10.4</v>
      </c>
    </row>
    <row r="185" spans="1:66" x14ac:dyDescent="0.3">
      <c r="A185">
        <v>184</v>
      </c>
      <c r="B185" t="s">
        <v>434</v>
      </c>
      <c r="C185" s="2" t="s">
        <v>448</v>
      </c>
      <c r="D185">
        <v>71</v>
      </c>
      <c r="E185" s="1">
        <v>44161</v>
      </c>
      <c r="F185" s="1">
        <v>43335</v>
      </c>
      <c r="G185" s="1">
        <v>43327.499930555554</v>
      </c>
      <c r="H185" t="s">
        <v>15</v>
      </c>
      <c r="I185" t="s">
        <v>16</v>
      </c>
      <c r="J185" t="s">
        <v>15</v>
      </c>
      <c r="K185" t="s">
        <v>344</v>
      </c>
      <c r="L185">
        <v>60</v>
      </c>
      <c r="M185" t="s">
        <v>16</v>
      </c>
      <c r="N185" t="s">
        <v>16</v>
      </c>
      <c r="O185" t="s">
        <v>25</v>
      </c>
      <c r="P185" t="s">
        <v>75</v>
      </c>
      <c r="Q185" t="s">
        <v>16</v>
      </c>
      <c r="R185" t="s">
        <v>102</v>
      </c>
      <c r="S185" t="s">
        <v>75</v>
      </c>
      <c r="T185" t="s">
        <v>19</v>
      </c>
      <c r="U185" t="s">
        <v>266</v>
      </c>
      <c r="V185" t="s">
        <v>16</v>
      </c>
      <c r="W185" t="s">
        <v>19</v>
      </c>
      <c r="X185" t="s">
        <v>78</v>
      </c>
      <c r="Y185">
        <v>4.3000001907348597</v>
      </c>
      <c r="Z185">
        <v>3.3900001049041699</v>
      </c>
      <c r="AA185">
        <v>1.45000004768372</v>
      </c>
      <c r="AB185">
        <v>1.0199999809265099</v>
      </c>
      <c r="AC185">
        <v>192.61039733886699</v>
      </c>
      <c r="AD185">
        <v>97</v>
      </c>
      <c r="AE185">
        <v>1</v>
      </c>
      <c r="AF185">
        <v>47</v>
      </c>
      <c r="AG185">
        <v>156</v>
      </c>
      <c r="AH185" t="s">
        <v>16</v>
      </c>
      <c r="AI185" t="s">
        <v>16</v>
      </c>
      <c r="AJ185" t="s">
        <v>16</v>
      </c>
      <c r="AK185" t="s">
        <v>16</v>
      </c>
      <c r="AL185" t="s">
        <v>16</v>
      </c>
      <c r="AM185" t="s">
        <v>16</v>
      </c>
      <c r="AN185" t="s">
        <v>345</v>
      </c>
      <c r="AO185">
        <v>88</v>
      </c>
      <c r="AP185">
        <v>30.4498269896194</v>
      </c>
      <c r="AQ185" s="1">
        <v>39306</v>
      </c>
      <c r="AR185" s="1">
        <v>40579</v>
      </c>
      <c r="AS185" s="1">
        <v>40575</v>
      </c>
      <c r="AT185" s="1">
        <v>44150</v>
      </c>
      <c r="AU185" s="1">
        <v>40477</v>
      </c>
      <c r="AV185" s="1">
        <v>40477.45502947917</v>
      </c>
      <c r="AW185" s="1">
        <v>40477</v>
      </c>
      <c r="AX185" s="1" t="s">
        <v>16</v>
      </c>
      <c r="AY185" t="s">
        <v>16</v>
      </c>
      <c r="AZ185">
        <v>119</v>
      </c>
      <c r="BA185">
        <v>55</v>
      </c>
      <c r="BB185">
        <v>2</v>
      </c>
      <c r="BC185">
        <f>(140-D185)*AO185/(72*BI185)</f>
        <v>13.77995642701525</v>
      </c>
      <c r="BD185">
        <v>139</v>
      </c>
      <c r="BE185">
        <v>4.2999999999999901</v>
      </c>
      <c r="BF185">
        <v>2.7999999999999901</v>
      </c>
      <c r="BG185">
        <v>8.5</v>
      </c>
      <c r="BH185">
        <v>168</v>
      </c>
      <c r="BI185">
        <v>6.12</v>
      </c>
      <c r="BJ185">
        <v>8.1999999999999904</v>
      </c>
      <c r="BK185">
        <v>4.96999999999999</v>
      </c>
      <c r="BL185">
        <v>9.5999999999999908</v>
      </c>
      <c r="BM185">
        <v>60.409999999999897</v>
      </c>
      <c r="BN185">
        <v>6.5</v>
      </c>
    </row>
    <row r="186" spans="1:66" x14ac:dyDescent="0.3">
      <c r="A186">
        <v>185</v>
      </c>
      <c r="B186" t="s">
        <v>434</v>
      </c>
      <c r="C186" s="2" t="s">
        <v>448</v>
      </c>
      <c r="D186">
        <v>63</v>
      </c>
      <c r="E186" s="1">
        <v>42322</v>
      </c>
      <c r="F186" s="1">
        <v>40653</v>
      </c>
      <c r="G186" s="1">
        <v>40475.599965277775</v>
      </c>
      <c r="H186" t="s">
        <v>17</v>
      </c>
      <c r="I186" t="s">
        <v>78</v>
      </c>
      <c r="J186" t="s">
        <v>35</v>
      </c>
      <c r="K186" t="s">
        <v>16</v>
      </c>
      <c r="L186">
        <v>15</v>
      </c>
      <c r="M186" t="s">
        <v>79</v>
      </c>
      <c r="N186" t="s">
        <v>28</v>
      </c>
      <c r="O186" t="s">
        <v>17</v>
      </c>
      <c r="P186" t="s">
        <v>16</v>
      </c>
      <c r="Q186" t="s">
        <v>19</v>
      </c>
      <c r="R186" t="s">
        <v>16</v>
      </c>
      <c r="S186" t="s">
        <v>16</v>
      </c>
      <c r="T186" t="s">
        <v>32</v>
      </c>
      <c r="U186" t="s">
        <v>16</v>
      </c>
      <c r="V186" t="s">
        <v>16</v>
      </c>
      <c r="W186" t="s">
        <v>23</v>
      </c>
      <c r="X186" t="s">
        <v>78</v>
      </c>
      <c r="Y186">
        <v>6.0999999046325701</v>
      </c>
      <c r="Z186">
        <v>5.3000001907348597</v>
      </c>
      <c r="AA186">
        <v>1.29999995231628</v>
      </c>
      <c r="AB186">
        <v>1.20000004768372</v>
      </c>
      <c r="AC186">
        <v>341</v>
      </c>
      <c r="AD186">
        <v>195</v>
      </c>
      <c r="AE186">
        <v>2.8099999427795401</v>
      </c>
      <c r="AF186">
        <v>45</v>
      </c>
      <c r="AG186">
        <v>62</v>
      </c>
      <c r="AH186" t="s">
        <v>16</v>
      </c>
      <c r="AI186" t="s">
        <v>16</v>
      </c>
      <c r="AJ186" t="s">
        <v>16</v>
      </c>
      <c r="AK186" t="s">
        <v>16</v>
      </c>
      <c r="AL186" t="s">
        <v>16</v>
      </c>
      <c r="AM186" t="s">
        <v>16</v>
      </c>
      <c r="AN186" t="s">
        <v>346</v>
      </c>
      <c r="AO186">
        <v>59</v>
      </c>
      <c r="AP186">
        <v>20.904195011337901</v>
      </c>
      <c r="AQ186" s="1">
        <v>37571</v>
      </c>
      <c r="AR186" s="1" t="s">
        <v>16</v>
      </c>
      <c r="AS186" s="1">
        <v>40505</v>
      </c>
      <c r="AT186" s="1" t="s">
        <v>16</v>
      </c>
      <c r="AU186" s="1">
        <v>40490</v>
      </c>
      <c r="AV186" s="1">
        <v>40490.232988773147</v>
      </c>
      <c r="AW186" s="1">
        <v>40490</v>
      </c>
      <c r="AX186" s="1" t="s">
        <v>16</v>
      </c>
      <c r="AY186" t="s">
        <v>21</v>
      </c>
      <c r="AZ186">
        <v>130</v>
      </c>
      <c r="BA186">
        <v>76</v>
      </c>
      <c r="BB186">
        <v>3</v>
      </c>
      <c r="BC186">
        <f>(140-D186)*AO186/(72*BI186)</f>
        <v>16.137396987780619</v>
      </c>
      <c r="BD186">
        <v>140</v>
      </c>
      <c r="BE186">
        <v>3.8999999999999901</v>
      </c>
      <c r="BF186">
        <v>3.5</v>
      </c>
      <c r="BG186">
        <v>13.6999999999999</v>
      </c>
      <c r="BH186">
        <v>91</v>
      </c>
      <c r="BI186">
        <v>3.91</v>
      </c>
      <c r="BJ186">
        <v>9</v>
      </c>
      <c r="BK186">
        <v>3.2</v>
      </c>
      <c r="BL186">
        <v>6.7</v>
      </c>
      <c r="BM186">
        <v>18.809999999999899</v>
      </c>
      <c r="BN186">
        <v>6.4</v>
      </c>
    </row>
    <row r="187" spans="1:66" x14ac:dyDescent="0.3">
      <c r="A187">
        <v>186</v>
      </c>
      <c r="B187" t="s">
        <v>430</v>
      </c>
      <c r="C187" s="2" t="s">
        <v>448</v>
      </c>
      <c r="D187">
        <v>65</v>
      </c>
      <c r="E187" s="1" t="s">
        <v>16</v>
      </c>
      <c r="F187" s="1">
        <v>42157</v>
      </c>
      <c r="G187" s="1">
        <v>42115.342094907406</v>
      </c>
      <c r="H187" t="s">
        <v>17</v>
      </c>
      <c r="I187" t="s">
        <v>78</v>
      </c>
      <c r="J187" t="s">
        <v>30</v>
      </c>
      <c r="K187" t="s">
        <v>16</v>
      </c>
      <c r="L187">
        <v>28</v>
      </c>
      <c r="M187" t="s">
        <v>16</v>
      </c>
      <c r="N187" t="s">
        <v>14</v>
      </c>
      <c r="O187" t="s">
        <v>17</v>
      </c>
      <c r="P187" t="s">
        <v>16</v>
      </c>
      <c r="Q187" t="s">
        <v>16</v>
      </c>
      <c r="R187" t="s">
        <v>16</v>
      </c>
      <c r="S187" t="s">
        <v>16</v>
      </c>
      <c r="T187" t="s">
        <v>19</v>
      </c>
      <c r="U187" t="s">
        <v>16</v>
      </c>
      <c r="V187" t="s">
        <v>16</v>
      </c>
      <c r="W187" t="s">
        <v>19</v>
      </c>
      <c r="X187" t="s">
        <v>15</v>
      </c>
      <c r="Y187">
        <v>6.0999999046325701</v>
      </c>
      <c r="Z187">
        <v>5.5799999237060502</v>
      </c>
      <c r="AA187">
        <v>1.29999995231628</v>
      </c>
      <c r="AB187">
        <v>0.87999999523162797</v>
      </c>
      <c r="AC187">
        <v>284.04788208007801</v>
      </c>
      <c r="AD187">
        <v>135</v>
      </c>
      <c r="AE187">
        <v>2</v>
      </c>
      <c r="AF187">
        <v>29</v>
      </c>
      <c r="AG187">
        <v>104.610000610352</v>
      </c>
      <c r="AH187">
        <v>9</v>
      </c>
      <c r="AI187">
        <v>7</v>
      </c>
      <c r="AJ187">
        <v>14.939999580383301</v>
      </c>
      <c r="AK187">
        <v>3</v>
      </c>
      <c r="AL187">
        <v>6</v>
      </c>
      <c r="AM187">
        <v>17.440000534057599</v>
      </c>
      <c r="AN187" t="s">
        <v>347</v>
      </c>
      <c r="AO187">
        <v>96</v>
      </c>
      <c r="AP187">
        <v>29.629629629629601</v>
      </c>
      <c r="AQ187" s="1">
        <v>35796</v>
      </c>
      <c r="AR187" s="1">
        <v>42124</v>
      </c>
      <c r="AS187" s="1">
        <v>42115</v>
      </c>
      <c r="AT187" s="1">
        <v>43632</v>
      </c>
      <c r="AU187" s="1">
        <v>42255</v>
      </c>
      <c r="AV187" s="1">
        <v>42114.86006496528</v>
      </c>
      <c r="AW187" s="1">
        <v>42255</v>
      </c>
      <c r="AX187" s="1" t="s">
        <v>16</v>
      </c>
      <c r="AY187" t="s">
        <v>21</v>
      </c>
      <c r="AZ187">
        <v>104</v>
      </c>
      <c r="BA187">
        <v>60</v>
      </c>
      <c r="BB187">
        <v>3</v>
      </c>
      <c r="BC187">
        <f>(140-D187)*AO187/(72*BI187)</f>
        <v>12.004801920768308</v>
      </c>
      <c r="BD187">
        <v>139</v>
      </c>
      <c r="BE187">
        <v>4.4000000000000004</v>
      </c>
      <c r="BF187">
        <v>3</v>
      </c>
      <c r="BH187">
        <v>133</v>
      </c>
      <c r="BI187">
        <v>8.33</v>
      </c>
      <c r="BJ187">
        <v>8.5999999999999908</v>
      </c>
      <c r="BK187">
        <v>7.7999999999999901</v>
      </c>
      <c r="BL187">
        <v>7.5</v>
      </c>
      <c r="BM187">
        <v>42.49</v>
      </c>
      <c r="BN187">
        <v>5.5</v>
      </c>
    </row>
    <row r="188" spans="1:66" x14ac:dyDescent="0.3">
      <c r="A188">
        <v>187</v>
      </c>
      <c r="B188" t="s">
        <v>430</v>
      </c>
      <c r="C188" s="2" t="s">
        <v>448</v>
      </c>
      <c r="D188">
        <v>73</v>
      </c>
      <c r="E188" s="1">
        <v>44129</v>
      </c>
      <c r="F188" s="1">
        <v>44021</v>
      </c>
      <c r="G188" s="1">
        <v>43741.497534722221</v>
      </c>
      <c r="H188" t="s">
        <v>17</v>
      </c>
      <c r="I188" t="s">
        <v>16</v>
      </c>
      <c r="J188" t="s">
        <v>15</v>
      </c>
      <c r="K188" t="s">
        <v>16</v>
      </c>
      <c r="L188">
        <v>50</v>
      </c>
      <c r="M188" t="s">
        <v>79</v>
      </c>
      <c r="N188" t="s">
        <v>28</v>
      </c>
      <c r="O188" t="s">
        <v>25</v>
      </c>
      <c r="P188" t="s">
        <v>16</v>
      </c>
      <c r="Q188" t="s">
        <v>16</v>
      </c>
      <c r="R188" t="s">
        <v>16</v>
      </c>
      <c r="S188" t="s">
        <v>16</v>
      </c>
      <c r="T188" t="s">
        <v>19</v>
      </c>
      <c r="U188" t="s">
        <v>16</v>
      </c>
      <c r="V188" t="s">
        <v>16</v>
      </c>
      <c r="W188" t="s">
        <v>23</v>
      </c>
      <c r="X188" t="s">
        <v>90</v>
      </c>
      <c r="Y188">
        <v>5.7199997901916504</v>
      </c>
      <c r="Z188">
        <v>4.96000003814697</v>
      </c>
      <c r="AA188">
        <v>1.2200000286102299</v>
      </c>
      <c r="AB188">
        <v>1.1799999475479099</v>
      </c>
      <c r="AC188">
        <v>290.33407592773398</v>
      </c>
      <c r="AD188">
        <v>117</v>
      </c>
      <c r="AE188">
        <v>1</v>
      </c>
      <c r="AF188">
        <v>60</v>
      </c>
      <c r="AG188">
        <v>86.900001525878906</v>
      </c>
      <c r="AH188">
        <v>5.75</v>
      </c>
      <c r="AI188">
        <v>7.1199998855590803</v>
      </c>
      <c r="AJ188">
        <v>12.210000038146999</v>
      </c>
      <c r="AK188">
        <v>5.5599999427795401</v>
      </c>
      <c r="AL188">
        <v>9.2600002288818395</v>
      </c>
      <c r="AM188">
        <v>9.3800001144409197</v>
      </c>
      <c r="AN188" t="s">
        <v>348</v>
      </c>
      <c r="AO188" t="s">
        <v>16</v>
      </c>
      <c r="AP188" t="s">
        <v>16</v>
      </c>
      <c r="AQ188" s="1" t="s">
        <v>16</v>
      </c>
      <c r="AR188" s="1" t="s">
        <v>16</v>
      </c>
      <c r="AS188" s="1" t="s">
        <v>16</v>
      </c>
      <c r="AT188" s="1">
        <v>43163</v>
      </c>
      <c r="AU188" s="1">
        <v>43734</v>
      </c>
      <c r="AV188" s="1"/>
      <c r="AW188" s="1" t="s">
        <v>16</v>
      </c>
      <c r="AX188" s="1" t="s">
        <v>16</v>
      </c>
      <c r="AY188" t="s">
        <v>16</v>
      </c>
      <c r="AZ188">
        <v>146</v>
      </c>
      <c r="BA188">
        <v>49</v>
      </c>
      <c r="BB188">
        <v>1</v>
      </c>
      <c r="BC188">
        <v>13.8</v>
      </c>
      <c r="BD188">
        <v>140</v>
      </c>
      <c r="BE188">
        <v>5.2999999999999901</v>
      </c>
      <c r="BF188">
        <v>2.3999999999999901</v>
      </c>
      <c r="BG188">
        <v>8</v>
      </c>
      <c r="BH188">
        <v>198</v>
      </c>
      <c r="BI188">
        <v>4.25999999999999</v>
      </c>
      <c r="BJ188">
        <v>8.4</v>
      </c>
      <c r="BK188">
        <v>5.7</v>
      </c>
      <c r="BL188">
        <v>13.1999999999999</v>
      </c>
      <c r="BM188">
        <v>83.239999999999895</v>
      </c>
      <c r="BN188">
        <v>5.7</v>
      </c>
    </row>
    <row r="189" spans="1:66" x14ac:dyDescent="0.3">
      <c r="A189">
        <v>188</v>
      </c>
      <c r="B189" t="s">
        <v>434</v>
      </c>
      <c r="C189" s="2" t="s">
        <v>448</v>
      </c>
      <c r="D189">
        <v>72</v>
      </c>
      <c r="E189" s="1">
        <v>44402</v>
      </c>
      <c r="F189" s="1">
        <v>42564</v>
      </c>
      <c r="G189" s="1">
        <v>42536.650462962964</v>
      </c>
      <c r="H189" t="s">
        <v>15</v>
      </c>
      <c r="I189" t="s">
        <v>16</v>
      </c>
      <c r="J189" t="s">
        <v>15</v>
      </c>
      <c r="K189" t="s">
        <v>244</v>
      </c>
      <c r="L189">
        <v>60</v>
      </c>
      <c r="M189" t="s">
        <v>15</v>
      </c>
      <c r="N189" t="s">
        <v>15</v>
      </c>
      <c r="O189" t="s">
        <v>17</v>
      </c>
      <c r="P189" t="s">
        <v>16</v>
      </c>
      <c r="Q189" t="s">
        <v>16</v>
      </c>
      <c r="R189" t="s">
        <v>16</v>
      </c>
      <c r="S189" t="s">
        <v>16</v>
      </c>
      <c r="T189" t="s">
        <v>19</v>
      </c>
      <c r="U189" t="s">
        <v>16</v>
      </c>
      <c r="V189" t="s">
        <v>16</v>
      </c>
      <c r="W189" t="s">
        <v>19</v>
      </c>
      <c r="X189" t="s">
        <v>15</v>
      </c>
      <c r="Y189">
        <v>5.03999996185303</v>
      </c>
      <c r="Z189">
        <v>2.8099999427795401</v>
      </c>
      <c r="AA189">
        <v>1.0900000333786</v>
      </c>
      <c r="AB189">
        <v>0.980000019073486</v>
      </c>
      <c r="AC189">
        <v>193.12593078613301</v>
      </c>
      <c r="AD189">
        <v>108</v>
      </c>
      <c r="AE189">
        <v>1</v>
      </c>
      <c r="AF189">
        <v>25</v>
      </c>
      <c r="AG189">
        <v>64.199996948242202</v>
      </c>
      <c r="AH189">
        <v>6.0999999046325701</v>
      </c>
      <c r="AI189">
        <v>6.3499999046325701</v>
      </c>
      <c r="AJ189">
        <v>10.1099996566772</v>
      </c>
      <c r="AK189">
        <v>8.5200004577636701</v>
      </c>
      <c r="AL189">
        <v>11.199999809265099</v>
      </c>
      <c r="AM189">
        <v>5.7300000190734899</v>
      </c>
      <c r="AN189" t="s">
        <v>349</v>
      </c>
      <c r="AO189">
        <v>75</v>
      </c>
      <c r="AP189">
        <v>29.296875</v>
      </c>
      <c r="AQ189" s="1" t="s">
        <v>16</v>
      </c>
      <c r="AR189" s="1" t="s">
        <v>16</v>
      </c>
      <c r="AS189" s="1">
        <v>43865</v>
      </c>
      <c r="AT189" s="1" t="s">
        <v>16</v>
      </c>
      <c r="AU189" s="1">
        <v>43957</v>
      </c>
      <c r="AV189" s="1">
        <v>44908.658577858798</v>
      </c>
      <c r="AW189" s="1">
        <v>43954</v>
      </c>
      <c r="AX189" s="1" t="s">
        <v>16</v>
      </c>
      <c r="AY189" t="s">
        <v>16</v>
      </c>
      <c r="AZ189">
        <v>135</v>
      </c>
      <c r="BA189">
        <v>71</v>
      </c>
      <c r="BB189">
        <v>1</v>
      </c>
      <c r="BC189">
        <f t="shared" ref="BC189:BC195" si="11">(140-D189)*AO189/(72*BI189)</f>
        <v>8.0675778283978836</v>
      </c>
      <c r="BD189">
        <v>139</v>
      </c>
      <c r="BE189">
        <v>5</v>
      </c>
      <c r="BF189">
        <v>3.7999999999999901</v>
      </c>
      <c r="BG189">
        <v>9.5</v>
      </c>
      <c r="BH189">
        <v>249</v>
      </c>
      <c r="BI189">
        <v>8.7799999999999905</v>
      </c>
      <c r="BJ189">
        <v>11.6999999999999</v>
      </c>
      <c r="BK189">
        <v>7.5999999999999899</v>
      </c>
      <c r="BL189">
        <v>9.6999999999999904</v>
      </c>
      <c r="BN189">
        <v>5.4</v>
      </c>
    </row>
    <row r="190" spans="1:66" x14ac:dyDescent="0.3">
      <c r="A190">
        <v>189</v>
      </c>
      <c r="B190" t="s">
        <v>434</v>
      </c>
      <c r="C190" s="2" t="s">
        <v>449</v>
      </c>
      <c r="D190">
        <v>74</v>
      </c>
      <c r="E190" s="1" t="s">
        <v>16</v>
      </c>
      <c r="F190" s="1">
        <v>44916</v>
      </c>
      <c r="G190" s="1">
        <v>44909.450821759259</v>
      </c>
      <c r="H190" t="s">
        <v>15</v>
      </c>
      <c r="I190" t="s">
        <v>87</v>
      </c>
      <c r="J190" t="s">
        <v>15</v>
      </c>
      <c r="K190" t="s">
        <v>16</v>
      </c>
      <c r="L190">
        <v>65</v>
      </c>
      <c r="M190" t="s">
        <v>16</v>
      </c>
      <c r="N190" t="s">
        <v>16</v>
      </c>
      <c r="O190" t="s">
        <v>17</v>
      </c>
      <c r="P190" t="s">
        <v>75</v>
      </c>
      <c r="Q190" t="s">
        <v>19</v>
      </c>
      <c r="R190" t="s">
        <v>102</v>
      </c>
      <c r="S190" t="s">
        <v>16</v>
      </c>
      <c r="T190" t="s">
        <v>29</v>
      </c>
      <c r="U190" t="s">
        <v>96</v>
      </c>
      <c r="V190" t="s">
        <v>16</v>
      </c>
      <c r="W190" t="s">
        <v>19</v>
      </c>
      <c r="X190" t="s">
        <v>87</v>
      </c>
      <c r="Y190">
        <v>4.5999999046325701</v>
      </c>
      <c r="Z190">
        <v>2.7999999523162802</v>
      </c>
      <c r="AA190">
        <v>1.5</v>
      </c>
      <c r="AB190">
        <v>1.29999995231628</v>
      </c>
      <c r="AC190">
        <v>256.76281738281301</v>
      </c>
      <c r="AD190">
        <v>140</v>
      </c>
      <c r="AE190">
        <v>1</v>
      </c>
      <c r="AF190">
        <v>50</v>
      </c>
      <c r="AG190">
        <v>185</v>
      </c>
      <c r="AH190" t="s">
        <v>16</v>
      </c>
      <c r="AI190">
        <v>5.1300001144409197</v>
      </c>
      <c r="AJ190">
        <v>36.060001373291001</v>
      </c>
      <c r="AK190" t="s">
        <v>16</v>
      </c>
      <c r="AL190">
        <v>9.3199996948242205</v>
      </c>
      <c r="AM190">
        <v>19.850000381469702</v>
      </c>
      <c r="AN190" t="s">
        <v>350</v>
      </c>
      <c r="AO190">
        <v>80</v>
      </c>
      <c r="AP190">
        <v>31.25</v>
      </c>
      <c r="AQ190" s="1">
        <v>44908</v>
      </c>
      <c r="AR190" s="1" t="s">
        <v>16</v>
      </c>
      <c r="AS190" s="1">
        <v>44908</v>
      </c>
      <c r="AT190" s="1">
        <v>44908</v>
      </c>
      <c r="AU190" s="1">
        <v>44908</v>
      </c>
      <c r="AV190" s="1"/>
      <c r="AW190" s="1" t="s">
        <v>16</v>
      </c>
      <c r="AX190" s="1" t="s">
        <v>16</v>
      </c>
      <c r="AY190" t="s">
        <v>21</v>
      </c>
      <c r="AZ190">
        <v>128</v>
      </c>
      <c r="BA190">
        <v>70</v>
      </c>
      <c r="BB190">
        <v>0</v>
      </c>
      <c r="BC190">
        <f t="shared" si="11"/>
        <v>13.237063778580024</v>
      </c>
      <c r="BD190">
        <v>138</v>
      </c>
      <c r="BE190">
        <v>4.5999999999999899</v>
      </c>
      <c r="BF190">
        <v>3.1</v>
      </c>
      <c r="BG190">
        <v>7.0999999999999899</v>
      </c>
      <c r="BH190">
        <v>268</v>
      </c>
      <c r="BI190">
        <v>5.54</v>
      </c>
      <c r="BJ190">
        <v>8.0999999999999908</v>
      </c>
      <c r="BK190">
        <v>5.5</v>
      </c>
      <c r="BL190">
        <v>8.9</v>
      </c>
      <c r="BN190">
        <v>4.7</v>
      </c>
    </row>
    <row r="191" spans="1:66" x14ac:dyDescent="0.3">
      <c r="A191">
        <v>190</v>
      </c>
      <c r="B191" t="s">
        <v>430</v>
      </c>
      <c r="C191" s="2" t="s">
        <v>448</v>
      </c>
      <c r="D191">
        <v>69</v>
      </c>
      <c r="E191" s="1">
        <v>44771</v>
      </c>
      <c r="F191" s="1">
        <v>43686</v>
      </c>
      <c r="G191" s="1">
        <v>43711.500844907408</v>
      </c>
      <c r="H191" t="s">
        <v>15</v>
      </c>
      <c r="I191" t="s">
        <v>78</v>
      </c>
      <c r="J191" t="s">
        <v>37</v>
      </c>
      <c r="K191" t="s">
        <v>16</v>
      </c>
      <c r="L191">
        <v>70</v>
      </c>
      <c r="M191" t="s">
        <v>16</v>
      </c>
      <c r="N191" t="s">
        <v>16</v>
      </c>
      <c r="O191" t="s">
        <v>15</v>
      </c>
      <c r="P191" t="s">
        <v>16</v>
      </c>
      <c r="Q191" t="s">
        <v>18</v>
      </c>
      <c r="R191" t="s">
        <v>102</v>
      </c>
      <c r="S191" t="s">
        <v>75</v>
      </c>
      <c r="T191" t="s">
        <v>18</v>
      </c>
      <c r="U191" t="s">
        <v>96</v>
      </c>
      <c r="V191" t="s">
        <v>16</v>
      </c>
      <c r="W191" t="s">
        <v>18</v>
      </c>
      <c r="X191" t="s">
        <v>16</v>
      </c>
      <c r="Y191">
        <v>4.4000000953674299</v>
      </c>
      <c r="Z191">
        <v>3</v>
      </c>
      <c r="AA191">
        <v>1.29999995231628</v>
      </c>
      <c r="AB191">
        <v>4</v>
      </c>
      <c r="AC191">
        <v>689.07086181640602</v>
      </c>
      <c r="AD191">
        <v>365</v>
      </c>
      <c r="AE191">
        <v>1</v>
      </c>
      <c r="AF191" t="s">
        <v>16</v>
      </c>
      <c r="AG191">
        <v>111</v>
      </c>
      <c r="AH191">
        <v>10</v>
      </c>
      <c r="AI191">
        <v>6</v>
      </c>
      <c r="AJ191">
        <v>18.5</v>
      </c>
      <c r="AK191">
        <v>8</v>
      </c>
      <c r="AL191">
        <v>5</v>
      </c>
      <c r="AM191">
        <v>22.200000762939499</v>
      </c>
      <c r="AN191" t="s">
        <v>351</v>
      </c>
      <c r="AO191">
        <v>75</v>
      </c>
      <c r="AP191">
        <v>26.259584748433198</v>
      </c>
      <c r="AQ191" s="1" t="s">
        <v>16</v>
      </c>
      <c r="AR191" s="1" t="s">
        <v>16</v>
      </c>
      <c r="AS191" s="1">
        <v>43712</v>
      </c>
      <c r="AT191" s="1">
        <v>43712</v>
      </c>
      <c r="AU191" s="1">
        <v>43712</v>
      </c>
      <c r="AV191" s="1"/>
      <c r="AW191" s="1">
        <v>43712</v>
      </c>
      <c r="AX191" s="1" t="s">
        <v>16</v>
      </c>
      <c r="AY191" t="s">
        <v>16</v>
      </c>
      <c r="AZ191">
        <v>137</v>
      </c>
      <c r="BA191">
        <v>87</v>
      </c>
      <c r="BB191">
        <v>0</v>
      </c>
      <c r="BC191">
        <f t="shared" si="11"/>
        <v>10.475684608120885</v>
      </c>
      <c r="BD191">
        <v>139</v>
      </c>
      <c r="BE191">
        <v>2.8999999999999901</v>
      </c>
      <c r="BF191">
        <v>3.1</v>
      </c>
      <c r="BH191">
        <v>249</v>
      </c>
      <c r="BI191">
        <v>7.0599999999999898</v>
      </c>
      <c r="BJ191">
        <v>8.0999999999999908</v>
      </c>
      <c r="BK191">
        <v>8.6999999999999904</v>
      </c>
      <c r="BL191">
        <v>9.5999999999999908</v>
      </c>
      <c r="BM191">
        <v>141.83000000000001</v>
      </c>
      <c r="BN191">
        <v>6.5999999999999899</v>
      </c>
    </row>
    <row r="192" spans="1:66" x14ac:dyDescent="0.3">
      <c r="A192">
        <v>191</v>
      </c>
      <c r="B192" t="s">
        <v>434</v>
      </c>
      <c r="C192" s="2" t="s">
        <v>448</v>
      </c>
      <c r="D192">
        <v>66</v>
      </c>
      <c r="E192" s="1">
        <v>42500</v>
      </c>
      <c r="F192" s="1">
        <v>41816</v>
      </c>
      <c r="G192" s="1">
        <v>41782.38521990741</v>
      </c>
      <c r="H192" t="s">
        <v>17</v>
      </c>
      <c r="I192" t="s">
        <v>16</v>
      </c>
      <c r="J192" t="s">
        <v>35</v>
      </c>
      <c r="K192" t="s">
        <v>16</v>
      </c>
      <c r="L192">
        <v>25</v>
      </c>
      <c r="M192" t="s">
        <v>17</v>
      </c>
      <c r="N192" t="s">
        <v>14</v>
      </c>
      <c r="O192" t="s">
        <v>17</v>
      </c>
      <c r="P192" t="s">
        <v>16</v>
      </c>
      <c r="Q192" t="s">
        <v>18</v>
      </c>
      <c r="R192" t="s">
        <v>16</v>
      </c>
      <c r="S192" t="s">
        <v>16</v>
      </c>
      <c r="T192" t="s">
        <v>19</v>
      </c>
      <c r="U192" t="s">
        <v>16</v>
      </c>
      <c r="V192" t="s">
        <v>16</v>
      </c>
      <c r="W192" t="s">
        <v>29</v>
      </c>
      <c r="X192" t="s">
        <v>87</v>
      </c>
      <c r="Y192">
        <v>5.9800000190734899</v>
      </c>
      <c r="Z192">
        <v>4.7699999809265101</v>
      </c>
      <c r="AA192">
        <v>1.0199999809265099</v>
      </c>
      <c r="AB192">
        <v>0.94999998807907104</v>
      </c>
      <c r="AC192">
        <v>240.72575378418</v>
      </c>
      <c r="AD192">
        <v>114</v>
      </c>
      <c r="AE192">
        <v>2</v>
      </c>
      <c r="AF192">
        <v>55</v>
      </c>
      <c r="AG192">
        <v>99.199996948242202</v>
      </c>
      <c r="AH192">
        <v>3.3099999427795401</v>
      </c>
      <c r="AI192">
        <v>3.4900000095367401</v>
      </c>
      <c r="AJ192">
        <v>28.420000076293899</v>
      </c>
      <c r="AK192">
        <v>4.1100001335143999</v>
      </c>
      <c r="AL192">
        <v>6.5599999427795401</v>
      </c>
      <c r="AM192">
        <v>15.1199998855591</v>
      </c>
      <c r="AN192" t="s">
        <v>352</v>
      </c>
      <c r="AO192">
        <v>94</v>
      </c>
      <c r="AP192">
        <v>29.6679712157556</v>
      </c>
      <c r="AQ192" s="1">
        <v>41814</v>
      </c>
      <c r="AR192" s="1" t="s">
        <v>16</v>
      </c>
      <c r="AS192" s="1">
        <v>41782</v>
      </c>
      <c r="AT192" s="1" t="s">
        <v>16</v>
      </c>
      <c r="AU192" s="1">
        <v>41782</v>
      </c>
      <c r="AV192" s="1">
        <v>41782.522116087966</v>
      </c>
      <c r="AW192" s="1">
        <v>41782</v>
      </c>
      <c r="AX192" s="1">
        <v>41782</v>
      </c>
      <c r="AY192" t="s">
        <v>16</v>
      </c>
      <c r="AZ192">
        <v>143</v>
      </c>
      <c r="BA192">
        <v>55</v>
      </c>
      <c r="BB192">
        <v>3</v>
      </c>
      <c r="BC192">
        <f t="shared" si="11"/>
        <v>25.290866783013445</v>
      </c>
      <c r="BD192">
        <v>135</v>
      </c>
      <c r="BE192">
        <v>3.5</v>
      </c>
      <c r="BF192">
        <v>4</v>
      </c>
      <c r="BG192">
        <v>10.1999999999999</v>
      </c>
      <c r="BH192">
        <v>189</v>
      </c>
      <c r="BI192">
        <v>3.8199999999999901</v>
      </c>
      <c r="BJ192">
        <v>9.4</v>
      </c>
      <c r="BK192">
        <v>4.2999999999999901</v>
      </c>
      <c r="BL192">
        <v>13.1999999999999</v>
      </c>
      <c r="BM192">
        <v>67.629999999999896</v>
      </c>
      <c r="BN192">
        <v>7.2999999999999901</v>
      </c>
    </row>
    <row r="193" spans="1:66" x14ac:dyDescent="0.3">
      <c r="A193">
        <v>192</v>
      </c>
      <c r="B193" t="s">
        <v>434</v>
      </c>
      <c r="C193" s="2" t="s">
        <v>448</v>
      </c>
      <c r="D193">
        <v>75</v>
      </c>
      <c r="E193" s="1">
        <v>43862</v>
      </c>
      <c r="F193" s="1">
        <v>43586</v>
      </c>
      <c r="G193" s="1">
        <v>43425.491469907407</v>
      </c>
      <c r="H193" t="s">
        <v>15</v>
      </c>
      <c r="I193" t="s">
        <v>15</v>
      </c>
      <c r="J193" t="s">
        <v>14</v>
      </c>
      <c r="K193" t="s">
        <v>157</v>
      </c>
      <c r="L193">
        <v>45</v>
      </c>
      <c r="M193" t="s">
        <v>79</v>
      </c>
      <c r="N193" t="s">
        <v>28</v>
      </c>
      <c r="O193" t="s">
        <v>17</v>
      </c>
      <c r="P193" t="s">
        <v>16</v>
      </c>
      <c r="Q193" t="s">
        <v>19</v>
      </c>
      <c r="R193" t="s">
        <v>16</v>
      </c>
      <c r="S193" t="s">
        <v>16</v>
      </c>
      <c r="T193" t="s">
        <v>29</v>
      </c>
      <c r="U193" t="s">
        <v>16</v>
      </c>
      <c r="V193" t="s">
        <v>16</v>
      </c>
      <c r="W193" t="s">
        <v>34</v>
      </c>
      <c r="X193" t="s">
        <v>16</v>
      </c>
      <c r="Y193">
        <v>5.2699999809265101</v>
      </c>
      <c r="Z193">
        <v>4.5100002288818404</v>
      </c>
      <c r="AA193">
        <v>0.92000001668930098</v>
      </c>
      <c r="AB193">
        <v>0.93999999761581399</v>
      </c>
      <c r="AC193">
        <v>180.39845275878901</v>
      </c>
      <c r="AD193">
        <v>104</v>
      </c>
      <c r="AE193">
        <v>1.5</v>
      </c>
      <c r="AF193">
        <v>47</v>
      </c>
      <c r="AG193">
        <v>115</v>
      </c>
      <c r="AH193">
        <v>4.4499998092651403</v>
      </c>
      <c r="AI193">
        <v>5.5100002288818404</v>
      </c>
      <c r="AJ193">
        <v>20.870000839233398</v>
      </c>
      <c r="AK193">
        <v>6.4800000190734899</v>
      </c>
      <c r="AL193">
        <v>12.6000003814697</v>
      </c>
      <c r="AM193">
        <v>9.1300001144409197</v>
      </c>
      <c r="AN193" t="s">
        <v>353</v>
      </c>
      <c r="AO193">
        <v>66</v>
      </c>
      <c r="AP193">
        <v>25.78125</v>
      </c>
      <c r="AQ193" s="1">
        <v>43424</v>
      </c>
      <c r="AR193" s="1">
        <v>43424</v>
      </c>
      <c r="AS193" s="1">
        <v>43478</v>
      </c>
      <c r="AT193" s="1">
        <v>43424</v>
      </c>
      <c r="AU193" s="1">
        <v>43424</v>
      </c>
      <c r="AV193" s="1"/>
      <c r="AW193" s="1">
        <v>43424</v>
      </c>
      <c r="AX193" s="1" t="s">
        <v>16</v>
      </c>
      <c r="AY193" t="s">
        <v>16</v>
      </c>
      <c r="AZ193">
        <v>112</v>
      </c>
      <c r="BA193">
        <v>67</v>
      </c>
      <c r="BB193">
        <v>0</v>
      </c>
      <c r="BC193">
        <f t="shared" si="11"/>
        <v>13.697318007662869</v>
      </c>
      <c r="BD193">
        <v>139</v>
      </c>
      <c r="BE193">
        <v>5.5</v>
      </c>
      <c r="BF193">
        <v>3.1</v>
      </c>
      <c r="BG193">
        <v>9.6999999999999904</v>
      </c>
      <c r="BH193">
        <v>284</v>
      </c>
      <c r="BI193">
        <v>4.3499999999999899</v>
      </c>
      <c r="BJ193">
        <v>8.5999999999999908</v>
      </c>
      <c r="BK193">
        <v>5.4</v>
      </c>
      <c r="BL193">
        <v>11.1</v>
      </c>
      <c r="BM193">
        <v>13.33</v>
      </c>
      <c r="BN193">
        <v>6.0999999999999899</v>
      </c>
    </row>
    <row r="194" spans="1:66" s="2" customFormat="1" x14ac:dyDescent="0.3">
      <c r="A194">
        <v>193</v>
      </c>
      <c r="B194" s="2" t="s">
        <v>430</v>
      </c>
      <c r="C194" s="2" t="s">
        <v>448</v>
      </c>
      <c r="D194" s="2">
        <v>74</v>
      </c>
      <c r="E194" s="3" t="s">
        <v>16</v>
      </c>
      <c r="F194" s="3">
        <v>43185</v>
      </c>
      <c r="G194" s="3">
        <v>43184.430231481485</v>
      </c>
      <c r="H194" s="2" t="s">
        <v>15</v>
      </c>
      <c r="I194" s="2" t="s">
        <v>16</v>
      </c>
      <c r="J194" s="2" t="s">
        <v>15</v>
      </c>
      <c r="K194" s="2" t="s">
        <v>16</v>
      </c>
      <c r="L194" s="2">
        <v>60</v>
      </c>
      <c r="M194" s="2" t="s">
        <v>16</v>
      </c>
      <c r="N194" s="2" t="s">
        <v>16</v>
      </c>
      <c r="O194" s="2" t="s">
        <v>15</v>
      </c>
      <c r="P194" s="2" t="s">
        <v>16</v>
      </c>
      <c r="Q194" s="2" t="s">
        <v>16</v>
      </c>
      <c r="R194" s="2" t="s">
        <v>16</v>
      </c>
      <c r="S194" s="2" t="s">
        <v>16</v>
      </c>
      <c r="T194" s="2" t="s">
        <v>19</v>
      </c>
      <c r="U194" s="2" t="s">
        <v>16</v>
      </c>
      <c r="V194" s="2" t="s">
        <v>16</v>
      </c>
      <c r="W194" s="2" t="s">
        <v>18</v>
      </c>
      <c r="X194" s="2" t="s">
        <v>15</v>
      </c>
      <c r="Y194" s="2">
        <v>5.3699998855590803</v>
      </c>
      <c r="Z194" s="2">
        <v>3.28999996185303</v>
      </c>
      <c r="AA194" s="2">
        <v>1.03999996185303</v>
      </c>
      <c r="AB194" s="2">
        <v>0.81000000238418601</v>
      </c>
      <c r="AC194" s="2">
        <v>184.89872741699199</v>
      </c>
      <c r="AD194" s="2">
        <v>96</v>
      </c>
      <c r="AE194" s="2">
        <v>1</v>
      </c>
      <c r="AF194" s="2">
        <v>31</v>
      </c>
      <c r="AG194" s="2">
        <v>90</v>
      </c>
      <c r="AH194" s="2">
        <v>8</v>
      </c>
      <c r="AI194" s="2">
        <v>7</v>
      </c>
      <c r="AJ194" s="2">
        <v>12.8599996566772</v>
      </c>
      <c r="AK194" s="2">
        <v>8</v>
      </c>
      <c r="AL194" s="2">
        <v>7</v>
      </c>
      <c r="AM194" s="2">
        <v>12.8599996566772</v>
      </c>
      <c r="AN194" s="2" t="s">
        <v>354</v>
      </c>
      <c r="AO194" s="2">
        <v>78</v>
      </c>
      <c r="AP194" s="2">
        <v>26.365603028664101</v>
      </c>
      <c r="AQ194" s="3" t="s">
        <v>16</v>
      </c>
      <c r="AR194" s="3" t="s">
        <v>16</v>
      </c>
      <c r="AS194" s="3" t="s">
        <v>16</v>
      </c>
      <c r="AT194" s="3" t="s">
        <v>16</v>
      </c>
      <c r="AU194" s="3">
        <v>43184</v>
      </c>
      <c r="AV194" s="1">
        <v>43184.161979745368</v>
      </c>
      <c r="AW194" s="3" t="s">
        <v>16</v>
      </c>
      <c r="AX194" s="3" t="s">
        <v>16</v>
      </c>
      <c r="AY194" s="2" t="s">
        <v>16</v>
      </c>
      <c r="AZ194" s="2">
        <v>165</v>
      </c>
      <c r="BA194" s="2">
        <v>64</v>
      </c>
      <c r="BB194" s="2">
        <v>0</v>
      </c>
      <c r="BC194">
        <f t="shared" si="11"/>
        <v>11.137071651090361</v>
      </c>
      <c r="BD194">
        <v>138</v>
      </c>
      <c r="BE194">
        <v>5.7</v>
      </c>
      <c r="BF194">
        <v>3.6</v>
      </c>
      <c r="BG194"/>
      <c r="BH194">
        <v>165</v>
      </c>
      <c r="BI194">
        <v>6.4199999999999902</v>
      </c>
      <c r="BJ194">
        <v>8.4</v>
      </c>
      <c r="BK194">
        <v>4.2</v>
      </c>
      <c r="BL194">
        <v>7.7999999999999901</v>
      </c>
      <c r="BM194">
        <v>4.5199999999999898</v>
      </c>
      <c r="BN194"/>
    </row>
    <row r="195" spans="1:66" x14ac:dyDescent="0.3">
      <c r="A195">
        <v>194</v>
      </c>
      <c r="B195" t="s">
        <v>430</v>
      </c>
      <c r="C195" s="2" t="s">
        <v>449</v>
      </c>
      <c r="D195">
        <v>64</v>
      </c>
      <c r="E195" s="1">
        <v>41137</v>
      </c>
      <c r="F195" s="1">
        <v>41073</v>
      </c>
      <c r="G195" s="1">
        <v>41043.446550925924</v>
      </c>
      <c r="H195" t="s">
        <v>15</v>
      </c>
      <c r="I195" t="s">
        <v>16</v>
      </c>
      <c r="J195" t="s">
        <v>15</v>
      </c>
      <c r="K195" t="s">
        <v>16</v>
      </c>
      <c r="L195">
        <v>55</v>
      </c>
      <c r="M195" t="s">
        <v>16</v>
      </c>
      <c r="N195" t="s">
        <v>16</v>
      </c>
      <c r="O195" t="s">
        <v>17</v>
      </c>
      <c r="P195" t="s">
        <v>16</v>
      </c>
      <c r="Q195" t="s">
        <v>16</v>
      </c>
      <c r="R195" t="s">
        <v>16</v>
      </c>
      <c r="S195" t="s">
        <v>16</v>
      </c>
      <c r="T195" t="s">
        <v>16</v>
      </c>
      <c r="U195" t="s">
        <v>16</v>
      </c>
      <c r="V195" t="s">
        <v>16</v>
      </c>
      <c r="W195" t="s">
        <v>16</v>
      </c>
      <c r="X195" t="s">
        <v>16</v>
      </c>
      <c r="Y195">
        <v>4.5999999046325701</v>
      </c>
      <c r="Z195">
        <v>3.4000000953674299</v>
      </c>
      <c r="AA195">
        <v>0.89999997615814198</v>
      </c>
      <c r="AB195">
        <v>0.89999997615814198</v>
      </c>
      <c r="AC195">
        <v>137.72026062011699</v>
      </c>
      <c r="AD195">
        <v>81</v>
      </c>
      <c r="AE195">
        <v>1.0599999427795399</v>
      </c>
      <c r="AF195">
        <v>33</v>
      </c>
      <c r="AG195" t="s">
        <v>16</v>
      </c>
      <c r="AH195">
        <v>9</v>
      </c>
      <c r="AI195">
        <v>11</v>
      </c>
      <c r="AJ195" t="s">
        <v>16</v>
      </c>
      <c r="AK195">
        <v>9</v>
      </c>
      <c r="AL195">
        <v>18</v>
      </c>
      <c r="AM195" t="s">
        <v>16</v>
      </c>
      <c r="AN195" t="s">
        <v>355</v>
      </c>
      <c r="AO195">
        <v>69.8</v>
      </c>
      <c r="AP195">
        <v>27.960262778400899</v>
      </c>
      <c r="AQ195" s="1" t="s">
        <v>16</v>
      </c>
      <c r="AR195" s="1" t="s">
        <v>16</v>
      </c>
      <c r="AS195" s="1" t="s">
        <v>16</v>
      </c>
      <c r="AT195" s="1">
        <v>40999</v>
      </c>
      <c r="AU195" s="1" t="s">
        <v>16</v>
      </c>
      <c r="AV195" s="1"/>
      <c r="AW195" s="1" t="s">
        <v>16</v>
      </c>
      <c r="AX195" s="1" t="s">
        <v>16</v>
      </c>
      <c r="AY195" t="s">
        <v>16</v>
      </c>
      <c r="AZ195">
        <v>101</v>
      </c>
      <c r="BA195">
        <v>65</v>
      </c>
      <c r="BB195">
        <v>0</v>
      </c>
      <c r="BC195">
        <f t="shared" si="11"/>
        <v>43.339869281045758</v>
      </c>
      <c r="BD195">
        <v>133</v>
      </c>
      <c r="BE195">
        <v>4</v>
      </c>
      <c r="BF195">
        <v>3.2</v>
      </c>
      <c r="BG195">
        <v>8.3000000000000007</v>
      </c>
      <c r="BH195">
        <v>69</v>
      </c>
      <c r="BI195">
        <v>1.7</v>
      </c>
      <c r="BJ195">
        <v>8.8000000000000007</v>
      </c>
      <c r="BK195">
        <v>4.0999999999999899</v>
      </c>
      <c r="BL195">
        <v>7.4</v>
      </c>
      <c r="BM195">
        <v>46.259999999999899</v>
      </c>
      <c r="BN195">
        <v>6.7</v>
      </c>
    </row>
    <row r="196" spans="1:66" x14ac:dyDescent="0.3">
      <c r="A196">
        <v>195</v>
      </c>
      <c r="B196" t="s">
        <v>430</v>
      </c>
      <c r="C196" s="2" t="s">
        <v>448</v>
      </c>
      <c r="D196">
        <v>73</v>
      </c>
      <c r="E196" s="1">
        <v>43925</v>
      </c>
      <c r="F196" s="1">
        <v>43913</v>
      </c>
      <c r="G196" s="1">
        <v>43914.38244212963</v>
      </c>
      <c r="H196" t="s">
        <v>17</v>
      </c>
      <c r="I196" t="s">
        <v>78</v>
      </c>
      <c r="J196" t="s">
        <v>22</v>
      </c>
      <c r="K196" t="s">
        <v>16</v>
      </c>
      <c r="L196">
        <v>40</v>
      </c>
      <c r="M196" t="s">
        <v>79</v>
      </c>
      <c r="N196" t="s">
        <v>28</v>
      </c>
      <c r="O196" t="s">
        <v>17</v>
      </c>
      <c r="P196" t="s">
        <v>75</v>
      </c>
      <c r="Q196" t="s">
        <v>19</v>
      </c>
      <c r="R196" t="s">
        <v>16</v>
      </c>
      <c r="S196" t="s">
        <v>16</v>
      </c>
      <c r="T196" t="s">
        <v>34</v>
      </c>
      <c r="U196" t="s">
        <v>96</v>
      </c>
      <c r="V196" t="s">
        <v>16</v>
      </c>
      <c r="W196" t="s">
        <v>29</v>
      </c>
      <c r="X196" t="s">
        <v>90</v>
      </c>
      <c r="Y196">
        <v>5.6999998092651403</v>
      </c>
      <c r="Z196">
        <v>5</v>
      </c>
      <c r="AA196">
        <v>1.3999999761581401</v>
      </c>
      <c r="AB196">
        <v>1.1000000238418599</v>
      </c>
      <c r="AC196">
        <v>305.25759887695301</v>
      </c>
      <c r="AD196" t="s">
        <v>16</v>
      </c>
      <c r="AE196">
        <v>1.5</v>
      </c>
      <c r="AF196">
        <v>71</v>
      </c>
      <c r="AG196" t="s">
        <v>16</v>
      </c>
      <c r="AH196" t="s">
        <v>16</v>
      </c>
      <c r="AI196" t="s">
        <v>16</v>
      </c>
      <c r="AJ196" t="s">
        <v>16</v>
      </c>
      <c r="AK196" t="s">
        <v>16</v>
      </c>
      <c r="AL196" t="s">
        <v>16</v>
      </c>
      <c r="AM196" t="s">
        <v>16</v>
      </c>
      <c r="AN196" t="s">
        <v>356</v>
      </c>
      <c r="AO196" t="s">
        <v>16</v>
      </c>
      <c r="AP196" t="s">
        <v>16</v>
      </c>
      <c r="AQ196" s="1" t="s">
        <v>16</v>
      </c>
      <c r="AR196" s="1">
        <v>43123</v>
      </c>
      <c r="AS196" s="1">
        <v>40778</v>
      </c>
      <c r="AT196" s="1">
        <v>43913</v>
      </c>
      <c r="AU196" s="1">
        <v>40778</v>
      </c>
      <c r="AV196" s="1">
        <v>40777.510230324071</v>
      </c>
      <c r="AW196" s="1">
        <v>40778</v>
      </c>
      <c r="AX196" s="1" t="s">
        <v>16</v>
      </c>
      <c r="AY196" t="s">
        <v>16</v>
      </c>
      <c r="AZ196">
        <v>110</v>
      </c>
      <c r="BA196">
        <v>72</v>
      </c>
      <c r="BB196">
        <v>1</v>
      </c>
      <c r="BC196">
        <v>8.4</v>
      </c>
      <c r="BD196">
        <v>139</v>
      </c>
      <c r="BE196">
        <v>6.7</v>
      </c>
      <c r="BF196">
        <v>2.8999999999999901</v>
      </c>
      <c r="BG196">
        <v>13</v>
      </c>
      <c r="BH196">
        <v>272</v>
      </c>
      <c r="BI196">
        <v>6.71999999999999</v>
      </c>
      <c r="BJ196">
        <v>6.4</v>
      </c>
      <c r="BK196">
        <v>12.6999999999999</v>
      </c>
      <c r="BL196">
        <v>14.6999999999999</v>
      </c>
      <c r="BM196">
        <v>157.61000000000001</v>
      </c>
      <c r="BN196">
        <v>10.8</v>
      </c>
    </row>
    <row r="197" spans="1:66" x14ac:dyDescent="0.3">
      <c r="A197">
        <v>196</v>
      </c>
      <c r="B197" t="s">
        <v>430</v>
      </c>
      <c r="C197" s="2" t="s">
        <v>449</v>
      </c>
      <c r="D197">
        <v>70</v>
      </c>
      <c r="E197" s="1">
        <v>44604</v>
      </c>
      <c r="F197" s="1">
        <v>44574</v>
      </c>
      <c r="G197" s="1">
        <v>44375.647777777776</v>
      </c>
      <c r="H197" t="s">
        <v>15</v>
      </c>
      <c r="I197" t="s">
        <v>15</v>
      </c>
      <c r="J197" t="s">
        <v>15</v>
      </c>
      <c r="K197" t="s">
        <v>16</v>
      </c>
      <c r="L197">
        <v>60</v>
      </c>
      <c r="M197" t="s">
        <v>16</v>
      </c>
      <c r="N197" t="s">
        <v>16</v>
      </c>
      <c r="O197" t="s">
        <v>15</v>
      </c>
      <c r="P197" t="s">
        <v>112</v>
      </c>
      <c r="Q197" t="s">
        <v>18</v>
      </c>
      <c r="R197" t="s">
        <v>16</v>
      </c>
      <c r="S197" t="s">
        <v>15</v>
      </c>
      <c r="T197" t="s">
        <v>18</v>
      </c>
      <c r="U197" t="s">
        <v>16</v>
      </c>
      <c r="V197" t="s">
        <v>93</v>
      </c>
      <c r="W197" t="s">
        <v>18</v>
      </c>
      <c r="X197" t="s">
        <v>16</v>
      </c>
      <c r="Y197">
        <v>5.0799999237060502</v>
      </c>
      <c r="Z197">
        <v>3.1700000762939502</v>
      </c>
      <c r="AA197">
        <v>1.03999996185303</v>
      </c>
      <c r="AB197">
        <v>0.92000001668930098</v>
      </c>
      <c r="AC197">
        <v>181.82386779785199</v>
      </c>
      <c r="AD197">
        <v>95</v>
      </c>
      <c r="AE197">
        <v>1</v>
      </c>
      <c r="AF197" t="s">
        <v>16</v>
      </c>
      <c r="AG197">
        <v>64.699996948242202</v>
      </c>
      <c r="AH197">
        <v>4.9000000953674299</v>
      </c>
      <c r="AI197">
        <v>3.4800000190734899</v>
      </c>
      <c r="AJ197">
        <v>18.590000152587901</v>
      </c>
      <c r="AK197">
        <v>8.2700004577636701</v>
      </c>
      <c r="AL197">
        <v>5.2199997901916504</v>
      </c>
      <c r="AM197">
        <v>12.3900003433228</v>
      </c>
      <c r="AN197" t="s">
        <v>357</v>
      </c>
      <c r="AO197">
        <v>80</v>
      </c>
      <c r="AP197">
        <v>25.5354463915222</v>
      </c>
      <c r="AQ197" s="1" t="s">
        <v>16</v>
      </c>
      <c r="AR197" s="1" t="s">
        <v>16</v>
      </c>
      <c r="AS197" s="1" t="s">
        <v>16</v>
      </c>
      <c r="AT197" s="1">
        <v>44601</v>
      </c>
      <c r="AU197" s="1">
        <v>41904</v>
      </c>
      <c r="AV197" s="1">
        <v>41904.486176967592</v>
      </c>
      <c r="AW197" s="1">
        <v>44601</v>
      </c>
      <c r="AX197" s="1" t="s">
        <v>16</v>
      </c>
      <c r="AY197" t="s">
        <v>16</v>
      </c>
      <c r="AZ197">
        <v>95</v>
      </c>
      <c r="BA197">
        <v>55</v>
      </c>
      <c r="BB197">
        <v>0</v>
      </c>
      <c r="BC197">
        <f t="shared" ref="BC197:BC206" si="12">(140-D197)*AO197/(72*BI197)</f>
        <v>9.4390507011866234</v>
      </c>
      <c r="BD197">
        <v>147</v>
      </c>
      <c r="BE197">
        <v>6.2999999999999901</v>
      </c>
      <c r="BF197">
        <v>2.7</v>
      </c>
      <c r="BG197">
        <v>10.1</v>
      </c>
      <c r="BH197">
        <v>295</v>
      </c>
      <c r="BI197">
        <v>8.24</v>
      </c>
      <c r="BJ197">
        <v>11.9</v>
      </c>
      <c r="BK197">
        <v>8</v>
      </c>
      <c r="BL197">
        <v>13.6</v>
      </c>
      <c r="BM197">
        <v>688.32</v>
      </c>
    </row>
    <row r="198" spans="1:66" x14ac:dyDescent="0.3">
      <c r="A198">
        <v>197</v>
      </c>
      <c r="B198" t="s">
        <v>430</v>
      </c>
      <c r="C198" s="2" t="s">
        <v>448</v>
      </c>
      <c r="D198">
        <v>70</v>
      </c>
      <c r="E198" s="1">
        <v>42466</v>
      </c>
      <c r="F198" s="1">
        <v>41474</v>
      </c>
      <c r="G198" s="1">
        <v>41415.349826388891</v>
      </c>
      <c r="H198" t="s">
        <v>31</v>
      </c>
      <c r="I198" t="s">
        <v>78</v>
      </c>
      <c r="J198" t="s">
        <v>35</v>
      </c>
      <c r="K198" t="s">
        <v>16</v>
      </c>
      <c r="L198">
        <v>20</v>
      </c>
      <c r="M198" t="s">
        <v>15</v>
      </c>
      <c r="N198" t="s">
        <v>14</v>
      </c>
      <c r="O198" t="s">
        <v>25</v>
      </c>
      <c r="P198" t="s">
        <v>85</v>
      </c>
      <c r="Q198" t="s">
        <v>19</v>
      </c>
      <c r="R198" t="s">
        <v>16</v>
      </c>
      <c r="S198" t="s">
        <v>92</v>
      </c>
      <c r="T198" t="s">
        <v>29</v>
      </c>
      <c r="U198" t="s">
        <v>16</v>
      </c>
      <c r="V198" t="s">
        <v>16</v>
      </c>
      <c r="W198" t="s">
        <v>23</v>
      </c>
      <c r="X198" t="s">
        <v>90</v>
      </c>
      <c r="Y198">
        <v>7.0999999046325701</v>
      </c>
      <c r="Z198">
        <v>6.4000000953674299</v>
      </c>
      <c r="AA198">
        <v>0.94999998807907104</v>
      </c>
      <c r="AB198">
        <v>1.25</v>
      </c>
      <c r="AC198">
        <v>372.04306030273398</v>
      </c>
      <c r="AD198">
        <v>193</v>
      </c>
      <c r="AE198">
        <v>1</v>
      </c>
      <c r="AF198">
        <v>76</v>
      </c>
      <c r="AG198">
        <v>99.300003051757798</v>
      </c>
      <c r="AH198">
        <v>3.4300000667571999</v>
      </c>
      <c r="AI198">
        <v>3.7599999904632599</v>
      </c>
      <c r="AJ198">
        <v>26.409999847412099</v>
      </c>
      <c r="AK198">
        <v>4.0900001525878897</v>
      </c>
      <c r="AL198">
        <v>7.1900000572204599</v>
      </c>
      <c r="AM198">
        <v>13.810000419616699</v>
      </c>
      <c r="AN198" t="s">
        <v>358</v>
      </c>
      <c r="AO198">
        <v>80</v>
      </c>
      <c r="AP198">
        <v>28.010223731662101</v>
      </c>
      <c r="AQ198" s="1" t="s">
        <v>16</v>
      </c>
      <c r="AR198" s="1">
        <v>41413</v>
      </c>
      <c r="AS198" s="1">
        <v>41413</v>
      </c>
      <c r="AT198" s="1" t="s">
        <v>16</v>
      </c>
      <c r="AU198" s="1" t="s">
        <v>16</v>
      </c>
      <c r="AV198" s="1"/>
      <c r="AW198" s="1">
        <v>41413</v>
      </c>
      <c r="AX198" s="1">
        <v>41413</v>
      </c>
      <c r="AY198" t="s">
        <v>16</v>
      </c>
      <c r="AZ198">
        <v>119</v>
      </c>
      <c r="BA198">
        <v>63</v>
      </c>
      <c r="BB198">
        <v>2</v>
      </c>
      <c r="BC198">
        <f t="shared" si="12"/>
        <v>11.892626571525653</v>
      </c>
      <c r="BD198">
        <v>127</v>
      </c>
      <c r="BE198">
        <v>3.2</v>
      </c>
      <c r="BF198">
        <v>3.7</v>
      </c>
      <c r="BG198">
        <v>10.1999999999999</v>
      </c>
      <c r="BH198">
        <v>270</v>
      </c>
      <c r="BI198">
        <v>6.54</v>
      </c>
      <c r="BJ198">
        <v>8.8000000000000007</v>
      </c>
      <c r="BK198">
        <v>6.2</v>
      </c>
      <c r="BL198">
        <v>11.4</v>
      </c>
      <c r="BM198">
        <v>26.43</v>
      </c>
      <c r="BN198">
        <v>5.7999999999999901</v>
      </c>
    </row>
    <row r="199" spans="1:66" x14ac:dyDescent="0.3">
      <c r="A199">
        <v>198</v>
      </c>
      <c r="B199" t="s">
        <v>430</v>
      </c>
      <c r="C199" s="2" t="s">
        <v>449</v>
      </c>
      <c r="D199">
        <v>56</v>
      </c>
      <c r="E199" s="1" t="s">
        <v>16</v>
      </c>
      <c r="F199" s="1">
        <v>41402</v>
      </c>
      <c r="G199" s="1">
        <v>41419.439641203702</v>
      </c>
      <c r="H199" t="s">
        <v>17</v>
      </c>
      <c r="I199" t="s">
        <v>78</v>
      </c>
      <c r="J199" t="s">
        <v>35</v>
      </c>
      <c r="K199" t="s">
        <v>16</v>
      </c>
      <c r="L199">
        <v>15</v>
      </c>
      <c r="M199" t="s">
        <v>17</v>
      </c>
      <c r="N199" t="s">
        <v>35</v>
      </c>
      <c r="O199" t="s">
        <v>17</v>
      </c>
      <c r="P199" t="s">
        <v>16</v>
      </c>
      <c r="Q199" t="s">
        <v>16</v>
      </c>
      <c r="R199" t="s">
        <v>16</v>
      </c>
      <c r="S199" t="s">
        <v>16</v>
      </c>
      <c r="T199" t="s">
        <v>19</v>
      </c>
      <c r="U199" t="s">
        <v>16</v>
      </c>
      <c r="V199" t="s">
        <v>16</v>
      </c>
      <c r="W199" t="s">
        <v>23</v>
      </c>
      <c r="X199" t="s">
        <v>16</v>
      </c>
      <c r="Y199">
        <v>5.8000001907348597</v>
      </c>
      <c r="Z199">
        <v>5.0999999046325701</v>
      </c>
      <c r="AA199">
        <v>1.29999995231628</v>
      </c>
      <c r="AB199">
        <v>1</v>
      </c>
      <c r="AC199">
        <v>280.42572021484398</v>
      </c>
      <c r="AD199" t="s">
        <v>16</v>
      </c>
      <c r="AE199">
        <v>1</v>
      </c>
      <c r="AF199" t="s">
        <v>16</v>
      </c>
      <c r="AG199" t="s">
        <v>16</v>
      </c>
      <c r="AH199" t="s">
        <v>16</v>
      </c>
      <c r="AI199" t="s">
        <v>16</v>
      </c>
      <c r="AJ199" t="s">
        <v>16</v>
      </c>
      <c r="AK199" t="s">
        <v>16</v>
      </c>
      <c r="AL199" t="s">
        <v>16</v>
      </c>
      <c r="AM199" t="s">
        <v>16</v>
      </c>
      <c r="AN199" t="s">
        <v>359</v>
      </c>
      <c r="AO199">
        <v>80</v>
      </c>
      <c r="AP199">
        <v>30.110278896458301</v>
      </c>
      <c r="AQ199" s="1" t="s">
        <v>16</v>
      </c>
      <c r="AR199" s="1" t="s">
        <v>16</v>
      </c>
      <c r="AS199" s="1" t="s">
        <v>16</v>
      </c>
      <c r="AT199" s="1" t="s">
        <v>16</v>
      </c>
      <c r="AU199" s="1">
        <v>41634</v>
      </c>
      <c r="AV199" s="1"/>
      <c r="AW199" s="1">
        <v>41493</v>
      </c>
      <c r="AX199" s="1" t="s">
        <v>16</v>
      </c>
      <c r="AY199" t="s">
        <v>16</v>
      </c>
      <c r="AZ199">
        <v>189</v>
      </c>
      <c r="BA199">
        <v>78</v>
      </c>
      <c r="BB199">
        <v>1</v>
      </c>
      <c r="BC199">
        <f t="shared" si="12"/>
        <v>20.378457059679768</v>
      </c>
      <c r="BD199">
        <v>125</v>
      </c>
      <c r="BE199">
        <v>4</v>
      </c>
      <c r="BF199">
        <v>3.1</v>
      </c>
      <c r="BG199">
        <v>12.1</v>
      </c>
      <c r="BH199">
        <v>100</v>
      </c>
      <c r="BI199">
        <v>4.58</v>
      </c>
      <c r="BJ199">
        <v>8.4</v>
      </c>
      <c r="BK199">
        <v>3.7999999999999901</v>
      </c>
      <c r="BL199">
        <v>9.3000000000000007</v>
      </c>
      <c r="BM199">
        <v>298.38</v>
      </c>
      <c r="BN199">
        <v>5.7999999999999901</v>
      </c>
    </row>
    <row r="200" spans="1:66" x14ac:dyDescent="0.3">
      <c r="A200">
        <v>199</v>
      </c>
      <c r="B200" t="s">
        <v>434</v>
      </c>
      <c r="C200" s="2" t="s">
        <v>448</v>
      </c>
      <c r="D200">
        <v>85</v>
      </c>
      <c r="E200" s="1">
        <v>42902</v>
      </c>
      <c r="F200" s="1">
        <v>42751</v>
      </c>
      <c r="G200" s="1">
        <v>42498.53738425926</v>
      </c>
      <c r="H200" t="s">
        <v>15</v>
      </c>
      <c r="I200" t="s">
        <v>15</v>
      </c>
      <c r="J200" t="s">
        <v>15</v>
      </c>
      <c r="K200" t="s">
        <v>16</v>
      </c>
      <c r="L200">
        <v>65</v>
      </c>
      <c r="M200" t="s">
        <v>79</v>
      </c>
      <c r="N200" t="s">
        <v>14</v>
      </c>
      <c r="O200" t="s">
        <v>25</v>
      </c>
      <c r="P200" t="s">
        <v>75</v>
      </c>
      <c r="Q200" t="s">
        <v>16</v>
      </c>
      <c r="R200" t="s">
        <v>16</v>
      </c>
      <c r="S200" t="s">
        <v>16</v>
      </c>
      <c r="T200" t="s">
        <v>19</v>
      </c>
      <c r="U200" t="s">
        <v>16</v>
      </c>
      <c r="V200" t="s">
        <v>16</v>
      </c>
      <c r="W200" t="s">
        <v>34</v>
      </c>
      <c r="X200" t="s">
        <v>90</v>
      </c>
      <c r="Y200">
        <v>3.9900000095367401</v>
      </c>
      <c r="Z200">
        <v>2.4100000858306898</v>
      </c>
      <c r="AA200">
        <v>0.77999997138977095</v>
      </c>
      <c r="AB200">
        <v>0.62999999523162797</v>
      </c>
      <c r="AC200">
        <v>78.760406494140597</v>
      </c>
      <c r="AD200">
        <v>42</v>
      </c>
      <c r="AE200">
        <v>1</v>
      </c>
      <c r="AF200">
        <v>69</v>
      </c>
      <c r="AG200">
        <v>101.419998168945</v>
      </c>
      <c r="AH200">
        <v>7</v>
      </c>
      <c r="AI200">
        <v>10</v>
      </c>
      <c r="AJ200">
        <v>10.1400003433228</v>
      </c>
      <c r="AK200">
        <v>11</v>
      </c>
      <c r="AL200">
        <v>11</v>
      </c>
      <c r="AM200">
        <v>9.2200002670288104</v>
      </c>
      <c r="AN200" t="s">
        <v>360</v>
      </c>
      <c r="AO200">
        <v>71.2</v>
      </c>
      <c r="AP200">
        <v>25.2267573696145</v>
      </c>
      <c r="AQ200" s="1" t="s">
        <v>16</v>
      </c>
      <c r="AR200" s="1" t="s">
        <v>16</v>
      </c>
      <c r="AS200" s="1" t="s">
        <v>16</v>
      </c>
      <c r="AT200" s="1">
        <v>42078</v>
      </c>
      <c r="AU200" s="1">
        <v>42032</v>
      </c>
      <c r="AV200" s="1"/>
      <c r="AW200" s="1" t="s">
        <v>16</v>
      </c>
      <c r="AX200" s="1">
        <v>42550</v>
      </c>
      <c r="AY200" t="s">
        <v>16</v>
      </c>
      <c r="AZ200">
        <v>101</v>
      </c>
      <c r="BA200">
        <v>66</v>
      </c>
      <c r="BB200">
        <v>1</v>
      </c>
      <c r="BC200">
        <f t="shared" si="12"/>
        <v>31.806367771280051</v>
      </c>
      <c r="BD200">
        <v>133</v>
      </c>
      <c r="BE200">
        <v>4.2999999999999901</v>
      </c>
      <c r="BF200">
        <v>3.7</v>
      </c>
      <c r="BG200">
        <v>9.6999999999999904</v>
      </c>
      <c r="BH200">
        <v>239</v>
      </c>
      <c r="BI200">
        <v>1.71</v>
      </c>
      <c r="BJ200">
        <v>9.5</v>
      </c>
      <c r="BK200">
        <v>3.7999999999999901</v>
      </c>
      <c r="BL200">
        <v>4.5</v>
      </c>
      <c r="BM200">
        <v>89.129999999999896</v>
      </c>
      <c r="BN200">
        <v>6.0999999999999899</v>
      </c>
    </row>
    <row r="201" spans="1:66" x14ac:dyDescent="0.3">
      <c r="A201">
        <v>200</v>
      </c>
      <c r="B201" t="s">
        <v>430</v>
      </c>
      <c r="C201" s="2" t="s">
        <v>449</v>
      </c>
      <c r="D201">
        <v>59</v>
      </c>
      <c r="E201" s="1">
        <v>41143</v>
      </c>
      <c r="F201" s="1">
        <v>41090</v>
      </c>
      <c r="G201" s="1">
        <v>41130.481759259259</v>
      </c>
      <c r="H201" t="s">
        <v>15</v>
      </c>
      <c r="I201" t="s">
        <v>16</v>
      </c>
      <c r="J201" t="s">
        <v>28</v>
      </c>
      <c r="K201" t="s">
        <v>16</v>
      </c>
      <c r="L201">
        <v>35</v>
      </c>
      <c r="M201" t="s">
        <v>15</v>
      </c>
      <c r="N201" t="s">
        <v>15</v>
      </c>
      <c r="O201" t="s">
        <v>17</v>
      </c>
      <c r="P201" t="s">
        <v>16</v>
      </c>
      <c r="Q201" t="s">
        <v>16</v>
      </c>
      <c r="R201" t="s">
        <v>16</v>
      </c>
      <c r="S201" t="s">
        <v>16</v>
      </c>
      <c r="T201" t="s">
        <v>18</v>
      </c>
      <c r="U201" t="s">
        <v>16</v>
      </c>
      <c r="V201" t="s">
        <v>16</v>
      </c>
      <c r="W201" t="s">
        <v>29</v>
      </c>
      <c r="X201" t="s">
        <v>87</v>
      </c>
      <c r="Y201">
        <v>4.5999999046325701</v>
      </c>
      <c r="Z201">
        <v>3.5999999046325701</v>
      </c>
      <c r="AA201">
        <v>1</v>
      </c>
      <c r="AB201">
        <v>0.80000001192092896</v>
      </c>
      <c r="AC201">
        <v>137.72026062011699</v>
      </c>
      <c r="AD201">
        <v>87</v>
      </c>
      <c r="AE201">
        <v>2</v>
      </c>
      <c r="AF201">
        <v>50</v>
      </c>
      <c r="AG201" t="s">
        <v>16</v>
      </c>
      <c r="AH201" t="s">
        <v>16</v>
      </c>
      <c r="AI201" t="s">
        <v>16</v>
      </c>
      <c r="AJ201" t="s">
        <v>16</v>
      </c>
      <c r="AK201" t="s">
        <v>16</v>
      </c>
      <c r="AL201" t="s">
        <v>16</v>
      </c>
      <c r="AM201" t="s">
        <v>16</v>
      </c>
      <c r="AN201" t="s">
        <v>361</v>
      </c>
      <c r="AO201">
        <v>57</v>
      </c>
      <c r="AP201">
        <v>21.192742415228999</v>
      </c>
      <c r="AQ201" s="1" t="s">
        <v>16</v>
      </c>
      <c r="AR201" s="1" t="s">
        <v>16</v>
      </c>
      <c r="AS201" s="1">
        <v>41071</v>
      </c>
      <c r="AT201" s="1" t="s">
        <v>16</v>
      </c>
      <c r="AU201" s="1">
        <v>41071</v>
      </c>
      <c r="AV201" s="1">
        <v>41071.042140277779</v>
      </c>
      <c r="AW201" s="1" t="s">
        <v>16</v>
      </c>
      <c r="AX201" s="1" t="s">
        <v>16</v>
      </c>
      <c r="AY201" t="s">
        <v>21</v>
      </c>
      <c r="AZ201">
        <v>140</v>
      </c>
      <c r="BA201">
        <v>65</v>
      </c>
      <c r="BB201">
        <v>0</v>
      </c>
      <c r="BC201">
        <f t="shared" si="12"/>
        <v>8.6189516129032242</v>
      </c>
      <c r="BD201">
        <v>134</v>
      </c>
      <c r="BE201">
        <v>3.7999999999999901</v>
      </c>
      <c r="BF201">
        <v>1.8999999999999899</v>
      </c>
      <c r="BG201">
        <v>6.5</v>
      </c>
      <c r="BH201">
        <v>175</v>
      </c>
      <c r="BI201">
        <v>7.44</v>
      </c>
      <c r="BJ201">
        <v>8.5</v>
      </c>
      <c r="BK201">
        <v>8.4</v>
      </c>
      <c r="BL201">
        <v>7.2</v>
      </c>
      <c r="BM201">
        <v>197.13</v>
      </c>
      <c r="BN201">
        <v>7</v>
      </c>
    </row>
    <row r="202" spans="1:66" x14ac:dyDescent="0.3">
      <c r="A202">
        <v>201</v>
      </c>
      <c r="B202" t="s">
        <v>430</v>
      </c>
      <c r="C202" s="2" t="s">
        <v>449</v>
      </c>
      <c r="D202">
        <v>77</v>
      </c>
      <c r="E202" s="1">
        <v>41105</v>
      </c>
      <c r="F202" s="1">
        <v>41094</v>
      </c>
      <c r="G202" s="1">
        <v>40786.485578703701</v>
      </c>
      <c r="H202" t="s">
        <v>25</v>
      </c>
      <c r="I202" t="s">
        <v>87</v>
      </c>
      <c r="J202" t="s">
        <v>35</v>
      </c>
      <c r="K202" t="s">
        <v>16</v>
      </c>
      <c r="L202">
        <v>20</v>
      </c>
      <c r="M202" t="s">
        <v>16</v>
      </c>
      <c r="N202" t="s">
        <v>16</v>
      </c>
      <c r="O202" t="s">
        <v>25</v>
      </c>
      <c r="P202" t="s">
        <v>75</v>
      </c>
      <c r="Q202" t="s">
        <v>19</v>
      </c>
      <c r="R202" t="s">
        <v>146</v>
      </c>
      <c r="S202" t="s">
        <v>16</v>
      </c>
      <c r="T202" t="s">
        <v>29</v>
      </c>
      <c r="U202" t="s">
        <v>121</v>
      </c>
      <c r="V202" t="s">
        <v>16</v>
      </c>
      <c r="W202" t="s">
        <v>29</v>
      </c>
      <c r="X202" t="s">
        <v>90</v>
      </c>
      <c r="Y202">
        <v>6.4000000953674299</v>
      </c>
      <c r="Z202">
        <v>4.8000001907348597</v>
      </c>
      <c r="AA202">
        <v>1.3999999761581401</v>
      </c>
      <c r="AB202">
        <v>1.29999995231628</v>
      </c>
      <c r="AC202">
        <v>409.46725463867199</v>
      </c>
      <c r="AD202">
        <v>226</v>
      </c>
      <c r="AE202">
        <v>2.25</v>
      </c>
      <c r="AF202">
        <v>72</v>
      </c>
      <c r="AG202">
        <v>86</v>
      </c>
      <c r="AH202">
        <v>3.7000000476837198</v>
      </c>
      <c r="AI202">
        <v>3</v>
      </c>
      <c r="AJ202">
        <v>28.670000076293899</v>
      </c>
      <c r="AK202">
        <v>3</v>
      </c>
      <c r="AL202">
        <v>5</v>
      </c>
      <c r="AM202">
        <v>17.200000762939499</v>
      </c>
      <c r="AN202" t="s">
        <v>362</v>
      </c>
      <c r="AO202">
        <v>72</v>
      </c>
      <c r="AP202">
        <v>26.446280991735499</v>
      </c>
      <c r="AQ202" s="1">
        <v>41001</v>
      </c>
      <c r="AR202" s="1" t="s">
        <v>16</v>
      </c>
      <c r="AS202" s="1">
        <v>40301</v>
      </c>
      <c r="AT202" s="1" t="s">
        <v>16</v>
      </c>
      <c r="AU202" s="1">
        <v>40301</v>
      </c>
      <c r="AV202" s="1">
        <v>40301.960032951392</v>
      </c>
      <c r="AW202" s="1" t="s">
        <v>16</v>
      </c>
      <c r="AX202" s="1" t="s">
        <v>16</v>
      </c>
      <c r="AY202" t="s">
        <v>21</v>
      </c>
      <c r="AZ202">
        <v>112</v>
      </c>
      <c r="BA202">
        <v>50</v>
      </c>
      <c r="BB202">
        <v>0</v>
      </c>
      <c r="BC202">
        <f t="shared" si="12"/>
        <v>26.141078838174273</v>
      </c>
      <c r="BD202">
        <v>141</v>
      </c>
      <c r="BE202">
        <v>3.6</v>
      </c>
      <c r="BF202">
        <v>3.1</v>
      </c>
      <c r="BG202">
        <v>8.5</v>
      </c>
      <c r="BH202">
        <v>332</v>
      </c>
      <c r="BI202">
        <v>2.41</v>
      </c>
      <c r="BJ202">
        <v>9.4</v>
      </c>
      <c r="BK202">
        <v>5.0999999999999899</v>
      </c>
      <c r="BL202">
        <v>12.8</v>
      </c>
      <c r="BM202">
        <v>26.03</v>
      </c>
    </row>
    <row r="203" spans="1:66" x14ac:dyDescent="0.3">
      <c r="A203">
        <v>202</v>
      </c>
      <c r="B203" t="s">
        <v>430</v>
      </c>
      <c r="C203" s="2" t="s">
        <v>449</v>
      </c>
      <c r="D203">
        <v>67</v>
      </c>
      <c r="E203" s="1">
        <v>43212</v>
      </c>
      <c r="F203" s="1">
        <v>43101</v>
      </c>
      <c r="G203" s="1">
        <v>43121.452662037038</v>
      </c>
      <c r="H203" t="s">
        <v>15</v>
      </c>
      <c r="I203" t="s">
        <v>78</v>
      </c>
      <c r="J203" t="s">
        <v>15</v>
      </c>
      <c r="K203" t="s">
        <v>16</v>
      </c>
      <c r="L203">
        <v>60</v>
      </c>
      <c r="M203" t="s">
        <v>79</v>
      </c>
      <c r="N203" t="s">
        <v>14</v>
      </c>
      <c r="O203" t="s">
        <v>25</v>
      </c>
      <c r="P203" t="s">
        <v>85</v>
      </c>
      <c r="Q203" t="s">
        <v>18</v>
      </c>
      <c r="R203" t="s">
        <v>16</v>
      </c>
      <c r="S203" t="s">
        <v>92</v>
      </c>
      <c r="T203" t="s">
        <v>23</v>
      </c>
      <c r="U203" t="s">
        <v>16</v>
      </c>
      <c r="V203" t="s">
        <v>93</v>
      </c>
      <c r="W203" t="s">
        <v>34</v>
      </c>
      <c r="X203" t="s">
        <v>90</v>
      </c>
      <c r="Y203">
        <v>4.8000001907348597</v>
      </c>
      <c r="Z203">
        <v>3.5</v>
      </c>
      <c r="AA203">
        <v>1.29999995231628</v>
      </c>
      <c r="AB203">
        <v>1.20000004768372</v>
      </c>
      <c r="AC203">
        <v>232.24960327148401</v>
      </c>
      <c r="AD203">
        <v>116</v>
      </c>
      <c r="AE203">
        <v>1</v>
      </c>
      <c r="AF203">
        <v>75</v>
      </c>
      <c r="AG203">
        <v>115</v>
      </c>
      <c r="AH203">
        <v>4</v>
      </c>
      <c r="AI203">
        <v>4</v>
      </c>
      <c r="AJ203">
        <v>28.75</v>
      </c>
      <c r="AK203">
        <v>6</v>
      </c>
      <c r="AL203">
        <v>6</v>
      </c>
      <c r="AM203">
        <v>19.170000076293899</v>
      </c>
      <c r="AN203" t="s">
        <v>363</v>
      </c>
      <c r="AO203">
        <v>91</v>
      </c>
      <c r="AP203">
        <v>35.546875</v>
      </c>
      <c r="AQ203" s="1" t="s">
        <v>16</v>
      </c>
      <c r="AR203" s="1">
        <v>41582</v>
      </c>
      <c r="AS203" s="1">
        <v>43105</v>
      </c>
      <c r="AT203" s="1">
        <v>43105</v>
      </c>
      <c r="AU203" s="1">
        <v>41582</v>
      </c>
      <c r="AV203" s="1">
        <v>41582.510666203707</v>
      </c>
      <c r="AW203" s="1">
        <v>43105</v>
      </c>
      <c r="AX203" s="1" t="s">
        <v>16</v>
      </c>
      <c r="AY203" t="s">
        <v>16</v>
      </c>
      <c r="AZ203">
        <v>158</v>
      </c>
      <c r="BA203">
        <v>50</v>
      </c>
      <c r="BB203">
        <v>1</v>
      </c>
      <c r="BC203">
        <f t="shared" si="12"/>
        <v>31.597222222222328</v>
      </c>
      <c r="BD203">
        <v>132</v>
      </c>
      <c r="BE203">
        <v>3.1</v>
      </c>
      <c r="BF203">
        <v>3</v>
      </c>
      <c r="BH203">
        <v>210</v>
      </c>
      <c r="BI203">
        <v>2.9199999999999902</v>
      </c>
      <c r="BJ203">
        <v>8.4</v>
      </c>
      <c r="BK203">
        <v>5</v>
      </c>
      <c r="BL203">
        <v>12.1999999999999</v>
      </c>
      <c r="BM203">
        <v>56.399999999999899</v>
      </c>
      <c r="BN203">
        <v>8.5999999999999908</v>
      </c>
    </row>
    <row r="204" spans="1:66" x14ac:dyDescent="0.3">
      <c r="A204">
        <v>203</v>
      </c>
      <c r="B204" t="s">
        <v>430</v>
      </c>
      <c r="C204" s="2" t="s">
        <v>448</v>
      </c>
      <c r="D204">
        <v>73</v>
      </c>
      <c r="E204" s="1">
        <v>44047</v>
      </c>
      <c r="F204" s="1">
        <v>44035</v>
      </c>
      <c r="G204" s="1">
        <v>43991.48296296296</v>
      </c>
      <c r="H204" t="s">
        <v>17</v>
      </c>
      <c r="I204" t="s">
        <v>16</v>
      </c>
      <c r="J204" t="s">
        <v>35</v>
      </c>
      <c r="K204" t="s">
        <v>364</v>
      </c>
      <c r="L204">
        <v>25</v>
      </c>
      <c r="M204" t="s">
        <v>16</v>
      </c>
      <c r="N204" t="s">
        <v>16</v>
      </c>
      <c r="O204" t="s">
        <v>25</v>
      </c>
      <c r="P204" t="s">
        <v>75</v>
      </c>
      <c r="Q204" t="s">
        <v>33</v>
      </c>
      <c r="R204" t="s">
        <v>16</v>
      </c>
      <c r="S204" t="s">
        <v>75</v>
      </c>
      <c r="T204" t="s">
        <v>16</v>
      </c>
      <c r="U204" t="s">
        <v>147</v>
      </c>
      <c r="V204" t="s">
        <v>16</v>
      </c>
      <c r="W204" t="s">
        <v>16</v>
      </c>
      <c r="X204" t="s">
        <v>16</v>
      </c>
      <c r="Y204">
        <v>6.1100001335143999</v>
      </c>
      <c r="Z204">
        <v>5.4699997901916504</v>
      </c>
      <c r="AA204">
        <v>1.21000003814697</v>
      </c>
      <c r="AB204">
        <v>0.86000001430511497</v>
      </c>
      <c r="AC204">
        <v>266.21127319335898</v>
      </c>
      <c r="AD204">
        <v>139</v>
      </c>
      <c r="AE204">
        <v>2.5599999427795401</v>
      </c>
      <c r="AF204" t="s">
        <v>16</v>
      </c>
      <c r="AG204">
        <v>85.400001525878906</v>
      </c>
      <c r="AH204">
        <v>4.5799999237060502</v>
      </c>
      <c r="AI204">
        <v>3.7999999523162802</v>
      </c>
      <c r="AJ204">
        <v>22.469999313354499</v>
      </c>
      <c r="AK204">
        <v>6.9200000762939498</v>
      </c>
      <c r="AL204">
        <v>7.0199999809265101</v>
      </c>
      <c r="AM204">
        <v>12.170000076293899</v>
      </c>
      <c r="AN204" t="s">
        <v>365</v>
      </c>
      <c r="AO204">
        <v>77</v>
      </c>
      <c r="AP204">
        <v>28.282828282828302</v>
      </c>
      <c r="AQ204" s="1" t="s">
        <v>16</v>
      </c>
      <c r="AR204" s="1" t="s">
        <v>16</v>
      </c>
      <c r="AS204" s="1" t="s">
        <v>16</v>
      </c>
      <c r="AT204" s="1">
        <v>43990</v>
      </c>
      <c r="AU204" s="1">
        <v>43991</v>
      </c>
      <c r="AV204" s="1"/>
      <c r="AW204" s="1">
        <v>43991</v>
      </c>
      <c r="AX204" s="1">
        <v>43991</v>
      </c>
      <c r="AY204" t="s">
        <v>16</v>
      </c>
      <c r="AZ204">
        <v>138</v>
      </c>
      <c r="BA204">
        <v>78</v>
      </c>
      <c r="BB204">
        <v>0</v>
      </c>
      <c r="BC204">
        <f t="shared" si="12"/>
        <v>11.982069862504643</v>
      </c>
      <c r="BD204">
        <v>149</v>
      </c>
      <c r="BE204">
        <v>3.5</v>
      </c>
      <c r="BF204">
        <v>3</v>
      </c>
      <c r="BG204">
        <v>9.0999999999999908</v>
      </c>
      <c r="BH204">
        <v>218</v>
      </c>
      <c r="BI204">
        <v>5.98</v>
      </c>
      <c r="BJ204">
        <v>8.8000000000000007</v>
      </c>
      <c r="BK204">
        <v>7.4</v>
      </c>
      <c r="BL204">
        <v>11.6999999999999</v>
      </c>
      <c r="BM204">
        <v>59.03</v>
      </c>
    </row>
    <row r="205" spans="1:66" x14ac:dyDescent="0.3">
      <c r="A205">
        <v>204</v>
      </c>
      <c r="B205" t="s">
        <v>430</v>
      </c>
      <c r="C205" s="2" t="s">
        <v>449</v>
      </c>
      <c r="D205">
        <v>78</v>
      </c>
      <c r="E205" s="1" t="s">
        <v>16</v>
      </c>
      <c r="F205" s="1">
        <v>45438</v>
      </c>
      <c r="G205" s="1">
        <v>45442.37572916667</v>
      </c>
      <c r="H205" t="s">
        <v>16</v>
      </c>
      <c r="I205" t="s">
        <v>16</v>
      </c>
      <c r="J205" t="s">
        <v>16</v>
      </c>
      <c r="K205" t="s">
        <v>74</v>
      </c>
      <c r="L205">
        <v>60</v>
      </c>
      <c r="M205" t="s">
        <v>16</v>
      </c>
      <c r="N205" t="s">
        <v>16</v>
      </c>
      <c r="O205" t="s">
        <v>17</v>
      </c>
      <c r="P205" t="s">
        <v>75</v>
      </c>
      <c r="Q205" t="s">
        <v>16</v>
      </c>
      <c r="R205" t="s">
        <v>16</v>
      </c>
      <c r="S205" t="s">
        <v>16</v>
      </c>
      <c r="T205" t="s">
        <v>19</v>
      </c>
      <c r="U205" t="s">
        <v>16</v>
      </c>
      <c r="V205" t="s">
        <v>16</v>
      </c>
      <c r="W205" t="s">
        <v>23</v>
      </c>
      <c r="X205" t="s">
        <v>87</v>
      </c>
      <c r="Y205">
        <v>3.1400001049041699</v>
      </c>
      <c r="Z205">
        <v>1.53999996185303</v>
      </c>
      <c r="AA205">
        <v>1.08000004291534</v>
      </c>
      <c r="AB205">
        <v>0.80000001192092896</v>
      </c>
      <c r="AC205">
        <v>80.094993591308594</v>
      </c>
      <c r="AD205">
        <v>52</v>
      </c>
      <c r="AE205">
        <v>1</v>
      </c>
      <c r="AF205">
        <v>51</v>
      </c>
      <c r="AG205">
        <v>88.699996948242202</v>
      </c>
      <c r="AH205" t="s">
        <v>16</v>
      </c>
      <c r="AI205">
        <v>5.5500001907348597</v>
      </c>
      <c r="AJ205">
        <v>15.9799995422363</v>
      </c>
      <c r="AK205">
        <v>7.9299998283386204</v>
      </c>
      <c r="AL205">
        <v>6.1300001144409197</v>
      </c>
      <c r="AM205">
        <v>14.4700002670288</v>
      </c>
      <c r="AN205" t="s">
        <v>366</v>
      </c>
      <c r="AO205">
        <v>61</v>
      </c>
      <c r="AP205" t="s">
        <v>16</v>
      </c>
      <c r="AQ205" s="1" t="s">
        <v>16</v>
      </c>
      <c r="AR205" s="1" t="s">
        <v>16</v>
      </c>
      <c r="AS205" s="1">
        <v>42997</v>
      </c>
      <c r="AT205" s="1">
        <v>45440</v>
      </c>
      <c r="AU205" s="1">
        <v>39553</v>
      </c>
      <c r="AV205" s="1">
        <v>39553.385413969911</v>
      </c>
      <c r="AW205" s="1" t="s">
        <v>16</v>
      </c>
      <c r="AX205" s="1" t="s">
        <v>16</v>
      </c>
      <c r="AY205" t="s">
        <v>21</v>
      </c>
      <c r="AZ205">
        <v>198</v>
      </c>
      <c r="BA205">
        <v>68</v>
      </c>
      <c r="BB205">
        <v>2</v>
      </c>
      <c r="BC205">
        <f t="shared" si="12"/>
        <v>9.7093859108646541</v>
      </c>
      <c r="BD205">
        <v>136</v>
      </c>
      <c r="BE205">
        <v>4.2999999999999901</v>
      </c>
      <c r="BF205">
        <v>3.2999999999999901</v>
      </c>
      <c r="BG205">
        <v>7.2999999999999901</v>
      </c>
      <c r="BH205">
        <v>164</v>
      </c>
      <c r="BI205">
        <v>5.41</v>
      </c>
      <c r="BJ205">
        <v>9.3000000000000007</v>
      </c>
      <c r="BK205">
        <v>5.5</v>
      </c>
      <c r="BL205">
        <v>7.2</v>
      </c>
      <c r="BM205">
        <v>1.3799999999999899</v>
      </c>
      <c r="BN205">
        <v>6.9</v>
      </c>
    </row>
    <row r="206" spans="1:66" x14ac:dyDescent="0.3">
      <c r="A206">
        <v>205</v>
      </c>
      <c r="B206" t="s">
        <v>430</v>
      </c>
      <c r="C206" s="2" t="s">
        <v>448</v>
      </c>
      <c r="D206">
        <v>89</v>
      </c>
      <c r="E206" s="1">
        <v>44049</v>
      </c>
      <c r="F206" s="1">
        <v>42401</v>
      </c>
      <c r="G206" s="1">
        <v>42412.427754629629</v>
      </c>
      <c r="H206" t="s">
        <v>15</v>
      </c>
      <c r="I206" t="s">
        <v>15</v>
      </c>
      <c r="J206" t="s">
        <v>15</v>
      </c>
      <c r="K206" t="s">
        <v>16</v>
      </c>
      <c r="L206">
        <v>60</v>
      </c>
      <c r="M206" t="s">
        <v>16</v>
      </c>
      <c r="N206" t="s">
        <v>16</v>
      </c>
      <c r="O206" t="s">
        <v>17</v>
      </c>
      <c r="P206" t="s">
        <v>75</v>
      </c>
      <c r="Q206" t="s">
        <v>18</v>
      </c>
      <c r="R206" t="s">
        <v>16</v>
      </c>
      <c r="S206" t="s">
        <v>92</v>
      </c>
      <c r="T206" t="s">
        <v>19</v>
      </c>
      <c r="U206" t="s">
        <v>16</v>
      </c>
      <c r="V206" t="s">
        <v>93</v>
      </c>
      <c r="W206" t="s">
        <v>19</v>
      </c>
      <c r="X206" t="s">
        <v>90</v>
      </c>
      <c r="Y206">
        <v>5</v>
      </c>
      <c r="Z206">
        <v>3.4000000953674299</v>
      </c>
      <c r="AA206">
        <v>1.1000000238418599</v>
      </c>
      <c r="AB206">
        <v>1</v>
      </c>
      <c r="AC206">
        <v>194.38195800781301</v>
      </c>
      <c r="AD206">
        <v>97</v>
      </c>
      <c r="AE206">
        <v>1</v>
      </c>
      <c r="AF206">
        <v>64</v>
      </c>
      <c r="AG206">
        <v>115</v>
      </c>
      <c r="AH206">
        <v>6</v>
      </c>
      <c r="AI206">
        <v>8</v>
      </c>
      <c r="AJ206">
        <v>14.3800001144409</v>
      </c>
      <c r="AK206">
        <v>10</v>
      </c>
      <c r="AL206">
        <v>9</v>
      </c>
      <c r="AM206">
        <v>12.7799997329712</v>
      </c>
      <c r="AN206" t="s">
        <v>367</v>
      </c>
      <c r="AO206">
        <v>82</v>
      </c>
      <c r="AP206" t="s">
        <v>16</v>
      </c>
      <c r="AQ206" s="1" t="s">
        <v>16</v>
      </c>
      <c r="AR206" s="1" t="s">
        <v>16</v>
      </c>
      <c r="AS206" s="1" t="s">
        <v>16</v>
      </c>
      <c r="AT206" s="1">
        <v>43576</v>
      </c>
      <c r="AU206" s="1" t="s">
        <v>16</v>
      </c>
      <c r="AV206" s="1">
        <v>41498.617265046298</v>
      </c>
      <c r="AW206" s="1">
        <v>41498</v>
      </c>
      <c r="AX206" s="1" t="s">
        <v>16</v>
      </c>
      <c r="AY206" t="s">
        <v>16</v>
      </c>
      <c r="AZ206">
        <v>165</v>
      </c>
      <c r="BA206">
        <v>75</v>
      </c>
      <c r="BB206">
        <v>2</v>
      </c>
      <c r="BC206">
        <f t="shared" si="12"/>
        <v>9.6805555555555554</v>
      </c>
      <c r="BD206">
        <v>133</v>
      </c>
      <c r="BE206">
        <v>6.7</v>
      </c>
      <c r="BF206">
        <v>2.8999999999999901</v>
      </c>
      <c r="BG206">
        <v>11.1999999999999</v>
      </c>
      <c r="BH206">
        <v>271</v>
      </c>
      <c r="BI206">
        <v>6</v>
      </c>
      <c r="BJ206">
        <v>8</v>
      </c>
      <c r="BK206">
        <v>6.5</v>
      </c>
      <c r="BL206">
        <v>6.7999999999999901</v>
      </c>
      <c r="BM206">
        <v>16.969999999999899</v>
      </c>
      <c r="BN206">
        <v>6.4</v>
      </c>
    </row>
    <row r="207" spans="1:66" x14ac:dyDescent="0.3">
      <c r="A207">
        <v>206</v>
      </c>
      <c r="B207" t="s">
        <v>430</v>
      </c>
      <c r="C207" s="2" t="s">
        <v>449</v>
      </c>
      <c r="D207">
        <v>71</v>
      </c>
      <c r="E207" s="1">
        <v>45321</v>
      </c>
      <c r="F207" s="1">
        <v>42879</v>
      </c>
      <c r="G207" s="1">
        <v>42704.38784722222</v>
      </c>
      <c r="H207" t="s">
        <v>16</v>
      </c>
      <c r="I207" t="s">
        <v>16</v>
      </c>
      <c r="J207" t="s">
        <v>16</v>
      </c>
      <c r="K207" t="s">
        <v>74</v>
      </c>
      <c r="L207">
        <v>60</v>
      </c>
      <c r="M207" t="s">
        <v>16</v>
      </c>
      <c r="N207" t="s">
        <v>16</v>
      </c>
      <c r="O207" t="s">
        <v>15</v>
      </c>
      <c r="P207" t="s">
        <v>16</v>
      </c>
      <c r="Q207" t="s">
        <v>16</v>
      </c>
      <c r="R207" t="s">
        <v>153</v>
      </c>
      <c r="S207" t="s">
        <v>16</v>
      </c>
      <c r="T207" t="s">
        <v>16</v>
      </c>
      <c r="U207" t="s">
        <v>16</v>
      </c>
      <c r="V207" t="s">
        <v>16</v>
      </c>
      <c r="W207" t="s">
        <v>18</v>
      </c>
      <c r="X207" t="s">
        <v>78</v>
      </c>
      <c r="Y207">
        <v>3.9300000667571999</v>
      </c>
      <c r="Z207">
        <v>2</v>
      </c>
      <c r="AA207">
        <v>0.93999999761581399</v>
      </c>
      <c r="AB207">
        <v>0.87000000476837203</v>
      </c>
      <c r="AC207">
        <v>107.446075439453</v>
      </c>
      <c r="AD207">
        <v>80</v>
      </c>
      <c r="AE207">
        <v>1</v>
      </c>
      <c r="AF207">
        <v>38</v>
      </c>
      <c r="AG207">
        <v>55.799999237060497</v>
      </c>
      <c r="AH207">
        <v>5.5799999237060502</v>
      </c>
      <c r="AI207">
        <v>4.7199997901916504</v>
      </c>
      <c r="AJ207">
        <v>11.819999694824199</v>
      </c>
      <c r="AK207">
        <v>5.0199999809265101</v>
      </c>
      <c r="AL207">
        <v>4.5999999046325701</v>
      </c>
      <c r="AM207">
        <v>12.1300001144409</v>
      </c>
      <c r="AN207" t="s">
        <v>368</v>
      </c>
      <c r="AO207" t="s">
        <v>16</v>
      </c>
      <c r="AP207" t="s">
        <v>16</v>
      </c>
      <c r="AQ207" s="1" t="s">
        <v>16</v>
      </c>
      <c r="AR207" s="1" t="s">
        <v>16</v>
      </c>
      <c r="AS207" s="1" t="s">
        <v>16</v>
      </c>
      <c r="AT207" s="1">
        <v>45151</v>
      </c>
      <c r="AU207" s="1">
        <v>42702</v>
      </c>
      <c r="AV207" s="1"/>
      <c r="AW207" s="1" t="s">
        <v>16</v>
      </c>
      <c r="AX207" s="1" t="s">
        <v>16</v>
      </c>
      <c r="AY207" t="s">
        <v>21</v>
      </c>
      <c r="AZ207">
        <v>151</v>
      </c>
      <c r="BA207">
        <v>79</v>
      </c>
      <c r="BB207">
        <v>0</v>
      </c>
      <c r="BC207">
        <v>5.0999999999999996</v>
      </c>
      <c r="BD207">
        <v>134</v>
      </c>
      <c r="BE207">
        <v>4.2</v>
      </c>
      <c r="BF207">
        <v>3</v>
      </c>
      <c r="BG207">
        <v>11.4</v>
      </c>
      <c r="BH207">
        <v>248</v>
      </c>
      <c r="BI207">
        <v>7.86</v>
      </c>
      <c r="BJ207">
        <v>6.7999999999999901</v>
      </c>
      <c r="BK207">
        <v>7.4</v>
      </c>
      <c r="BL207">
        <v>7.4</v>
      </c>
      <c r="BM207">
        <v>0.72999999999999898</v>
      </c>
      <c r="BN207">
        <v>4.5999999999999899</v>
      </c>
    </row>
    <row r="208" spans="1:66" x14ac:dyDescent="0.3">
      <c r="A208">
        <v>207</v>
      </c>
      <c r="B208" t="s">
        <v>434</v>
      </c>
      <c r="C208" s="2" t="s">
        <v>449</v>
      </c>
      <c r="D208">
        <v>76</v>
      </c>
      <c r="E208" s="1">
        <v>44619</v>
      </c>
      <c r="F208" s="1">
        <v>44319</v>
      </c>
      <c r="G208" s="1">
        <v>44159.464016203703</v>
      </c>
      <c r="H208" t="s">
        <v>15</v>
      </c>
      <c r="I208" t="s">
        <v>16</v>
      </c>
      <c r="J208" t="s">
        <v>15</v>
      </c>
      <c r="K208" t="s">
        <v>131</v>
      </c>
      <c r="L208">
        <v>65</v>
      </c>
      <c r="M208" t="s">
        <v>16</v>
      </c>
      <c r="N208" t="s">
        <v>16</v>
      </c>
      <c r="O208" t="s">
        <v>17</v>
      </c>
      <c r="P208" t="s">
        <v>75</v>
      </c>
      <c r="Q208" t="s">
        <v>16</v>
      </c>
      <c r="R208" t="s">
        <v>16</v>
      </c>
      <c r="S208" t="s">
        <v>16</v>
      </c>
      <c r="T208" t="s">
        <v>19</v>
      </c>
      <c r="U208" t="s">
        <v>132</v>
      </c>
      <c r="V208" t="s">
        <v>16</v>
      </c>
      <c r="W208" t="s">
        <v>18</v>
      </c>
      <c r="X208" t="s">
        <v>78</v>
      </c>
      <c r="Y208">
        <v>5.0999999046325701</v>
      </c>
      <c r="Z208">
        <v>3.2000000476837198</v>
      </c>
      <c r="AA208">
        <v>1.20000004768372</v>
      </c>
      <c r="AB208">
        <v>1</v>
      </c>
      <c r="AC208">
        <v>213.89651489257801</v>
      </c>
      <c r="AD208" t="s">
        <v>16</v>
      </c>
      <c r="AE208">
        <v>1</v>
      </c>
      <c r="AF208">
        <v>37</v>
      </c>
      <c r="AG208">
        <v>73.800003051757798</v>
      </c>
      <c r="AH208" t="s">
        <v>16</v>
      </c>
      <c r="AI208" t="s">
        <v>16</v>
      </c>
      <c r="AJ208" t="s">
        <v>16</v>
      </c>
      <c r="AK208" t="s">
        <v>16</v>
      </c>
      <c r="AL208" t="s">
        <v>16</v>
      </c>
      <c r="AM208" t="s">
        <v>16</v>
      </c>
      <c r="AN208" t="s">
        <v>369</v>
      </c>
      <c r="AO208">
        <v>97</v>
      </c>
      <c r="AP208">
        <v>36.064842355740602</v>
      </c>
      <c r="AQ208" s="1" t="s">
        <v>16</v>
      </c>
      <c r="AR208" s="1" t="s">
        <v>16</v>
      </c>
      <c r="AS208" s="1" t="s">
        <v>16</v>
      </c>
      <c r="AT208" s="1" t="s">
        <v>16</v>
      </c>
      <c r="AU208" s="1">
        <v>41757</v>
      </c>
      <c r="AV208" s="1">
        <v>41757.4264287037</v>
      </c>
      <c r="AW208" s="1">
        <v>41757</v>
      </c>
      <c r="AX208" s="1">
        <v>44160</v>
      </c>
      <c r="AY208" t="s">
        <v>16</v>
      </c>
      <c r="AZ208">
        <v>145</v>
      </c>
      <c r="BA208">
        <v>65</v>
      </c>
      <c r="BB208">
        <v>1</v>
      </c>
      <c r="BC208">
        <f>(140-D208)*AO208/(72*BI208)</f>
        <v>15.762746292910855</v>
      </c>
      <c r="BD208">
        <v>140</v>
      </c>
      <c r="BE208">
        <v>4.7999999999999901</v>
      </c>
      <c r="BF208">
        <v>3.5</v>
      </c>
      <c r="BG208">
        <v>9</v>
      </c>
      <c r="BH208">
        <v>206</v>
      </c>
      <c r="BI208">
        <v>5.46999999999999</v>
      </c>
      <c r="BJ208">
        <v>7.2</v>
      </c>
      <c r="BK208">
        <v>5</v>
      </c>
      <c r="BL208">
        <v>6.5</v>
      </c>
      <c r="BM208">
        <v>7.54</v>
      </c>
      <c r="BN208">
        <v>7.7</v>
      </c>
    </row>
    <row r="209" spans="1:66" x14ac:dyDescent="0.3">
      <c r="A209">
        <v>208</v>
      </c>
      <c r="B209" t="s">
        <v>430</v>
      </c>
      <c r="C209" s="2" t="s">
        <v>448</v>
      </c>
      <c r="D209">
        <v>79</v>
      </c>
      <c r="E209" s="1">
        <v>41375</v>
      </c>
      <c r="F209" s="1">
        <v>40715</v>
      </c>
      <c r="G209" s="1">
        <v>40723.356990740744</v>
      </c>
      <c r="H209" t="s">
        <v>15</v>
      </c>
      <c r="I209" t="s">
        <v>15</v>
      </c>
      <c r="J209" t="s">
        <v>24</v>
      </c>
      <c r="K209" t="s">
        <v>116</v>
      </c>
      <c r="L209">
        <v>50</v>
      </c>
      <c r="M209" t="s">
        <v>16</v>
      </c>
      <c r="N209" t="s">
        <v>16</v>
      </c>
      <c r="O209" t="s">
        <v>17</v>
      </c>
      <c r="P209" t="s">
        <v>75</v>
      </c>
      <c r="Q209" t="s">
        <v>16</v>
      </c>
      <c r="R209" t="s">
        <v>16</v>
      </c>
      <c r="S209" t="s">
        <v>16</v>
      </c>
      <c r="T209" t="s">
        <v>19</v>
      </c>
      <c r="U209" t="s">
        <v>16</v>
      </c>
      <c r="V209" t="s">
        <v>16</v>
      </c>
      <c r="W209" t="s">
        <v>18</v>
      </c>
      <c r="X209" t="s">
        <v>78</v>
      </c>
      <c r="Y209">
        <v>5.0900001525878897</v>
      </c>
      <c r="Z209">
        <v>3.1700000762939502</v>
      </c>
      <c r="AA209">
        <v>1.0900000333786</v>
      </c>
      <c r="AB209">
        <v>0.87999999523162797</v>
      </c>
      <c r="AC209">
        <v>183.65962219238301</v>
      </c>
      <c r="AD209">
        <v>104</v>
      </c>
      <c r="AE209">
        <v>1.5599999427795399</v>
      </c>
      <c r="AF209">
        <v>45</v>
      </c>
      <c r="AG209">
        <v>86.510002136230497</v>
      </c>
      <c r="AH209">
        <v>5</v>
      </c>
      <c r="AI209">
        <v>7</v>
      </c>
      <c r="AJ209">
        <v>12.3599996566772</v>
      </c>
      <c r="AK209">
        <v>8</v>
      </c>
      <c r="AL209">
        <v>70</v>
      </c>
      <c r="AM209">
        <v>1.2400000095367401</v>
      </c>
      <c r="AN209" t="s">
        <v>370</v>
      </c>
      <c r="AO209">
        <v>61</v>
      </c>
      <c r="AP209">
        <v>20.619253650621999</v>
      </c>
      <c r="AQ209" s="1">
        <v>40727</v>
      </c>
      <c r="AR209" s="1" t="s">
        <v>16</v>
      </c>
      <c r="AS209" s="1">
        <v>40723</v>
      </c>
      <c r="AT209" s="1">
        <v>40056</v>
      </c>
      <c r="AU209" s="1">
        <v>40723</v>
      </c>
      <c r="AV209" s="1"/>
      <c r="AW209" s="1">
        <v>40723</v>
      </c>
      <c r="AX209" s="1" t="s">
        <v>16</v>
      </c>
      <c r="AY209" t="s">
        <v>16</v>
      </c>
      <c r="AZ209">
        <v>119</v>
      </c>
      <c r="BA209">
        <v>76</v>
      </c>
      <c r="BB209">
        <v>4</v>
      </c>
      <c r="BC209">
        <f>(140-D209)*AO209/(72*BI209)</f>
        <v>8.4307594707268585</v>
      </c>
      <c r="BD209">
        <v>131</v>
      </c>
      <c r="BE209">
        <v>5.2</v>
      </c>
      <c r="BF209">
        <v>3.7999999999999901</v>
      </c>
      <c r="BG209">
        <v>9.5999999999999908</v>
      </c>
      <c r="BH209">
        <v>100</v>
      </c>
      <c r="BI209">
        <v>6.1299999999999901</v>
      </c>
      <c r="BJ209">
        <v>8.0999999999999908</v>
      </c>
      <c r="BK209">
        <v>4.2999999999999901</v>
      </c>
      <c r="BL209">
        <v>5.5999999999999899</v>
      </c>
      <c r="BM209">
        <v>14.4</v>
      </c>
      <c r="BN209">
        <v>6.0999999999999899</v>
      </c>
    </row>
    <row r="210" spans="1:66" x14ac:dyDescent="0.3">
      <c r="A210">
        <v>209</v>
      </c>
      <c r="B210" t="s">
        <v>430</v>
      </c>
      <c r="C210" s="2" t="s">
        <v>448</v>
      </c>
      <c r="D210">
        <v>67</v>
      </c>
      <c r="E210" s="1">
        <v>41659</v>
      </c>
      <c r="F210" s="1">
        <v>40329</v>
      </c>
      <c r="G210" s="1">
        <v>40097.411365740743</v>
      </c>
      <c r="H210" t="s">
        <v>15</v>
      </c>
      <c r="I210" t="s">
        <v>16</v>
      </c>
      <c r="J210" t="s">
        <v>15</v>
      </c>
      <c r="K210" t="s">
        <v>16</v>
      </c>
      <c r="L210">
        <v>70</v>
      </c>
      <c r="M210" t="s">
        <v>16</v>
      </c>
      <c r="N210" t="s">
        <v>16</v>
      </c>
      <c r="O210" t="s">
        <v>25</v>
      </c>
      <c r="P210" t="s">
        <v>85</v>
      </c>
      <c r="Q210" t="s">
        <v>19</v>
      </c>
      <c r="R210" t="s">
        <v>16</v>
      </c>
      <c r="S210" t="s">
        <v>16</v>
      </c>
      <c r="T210" t="s">
        <v>27</v>
      </c>
      <c r="U210" t="s">
        <v>16</v>
      </c>
      <c r="V210" t="s">
        <v>16</v>
      </c>
      <c r="W210" t="s">
        <v>19</v>
      </c>
      <c r="X210" t="s">
        <v>16</v>
      </c>
      <c r="Y210">
        <v>5.5999999046325701</v>
      </c>
      <c r="Z210">
        <v>3.2000000476837198</v>
      </c>
      <c r="AA210">
        <v>1.1000000238418599</v>
      </c>
      <c r="AB210">
        <v>1.1000000238418599</v>
      </c>
      <c r="AC210">
        <v>249</v>
      </c>
      <c r="AD210" t="s">
        <v>16</v>
      </c>
      <c r="AE210">
        <v>1</v>
      </c>
      <c r="AF210">
        <v>44</v>
      </c>
      <c r="AG210" t="s">
        <v>16</v>
      </c>
      <c r="AH210" t="s">
        <v>16</v>
      </c>
      <c r="AI210" t="s">
        <v>16</v>
      </c>
      <c r="AJ210" t="s">
        <v>16</v>
      </c>
      <c r="AK210" t="s">
        <v>16</v>
      </c>
      <c r="AL210" t="s">
        <v>16</v>
      </c>
      <c r="AM210" t="s">
        <v>16</v>
      </c>
      <c r="AN210" t="s">
        <v>371</v>
      </c>
      <c r="AO210" t="s">
        <v>16</v>
      </c>
      <c r="AP210" t="s">
        <v>16</v>
      </c>
      <c r="AQ210" s="1" t="s">
        <v>16</v>
      </c>
      <c r="AR210" s="1" t="s">
        <v>16</v>
      </c>
      <c r="AS210" s="1" t="s">
        <v>16</v>
      </c>
      <c r="AT210" s="1" t="s">
        <v>16</v>
      </c>
      <c r="AU210" s="1">
        <v>39825</v>
      </c>
      <c r="AV210" s="1">
        <v>39825.706089039348</v>
      </c>
      <c r="AW210" s="1">
        <v>39825</v>
      </c>
      <c r="AX210" s="1">
        <v>41423</v>
      </c>
      <c r="AY210" t="s">
        <v>21</v>
      </c>
      <c r="AZ210">
        <v>160</v>
      </c>
      <c r="BA210">
        <v>81</v>
      </c>
      <c r="BB210">
        <v>2</v>
      </c>
      <c r="BC210">
        <v>7.3</v>
      </c>
      <c r="BD210">
        <v>143</v>
      </c>
      <c r="BE210">
        <v>5.0999999999999899</v>
      </c>
      <c r="BF210">
        <v>2.7999999999999901</v>
      </c>
      <c r="BH210">
        <v>317</v>
      </c>
      <c r="BI210">
        <v>7.5</v>
      </c>
      <c r="BJ210">
        <v>6.7</v>
      </c>
      <c r="BK210">
        <v>9.1999999999999904</v>
      </c>
      <c r="BL210">
        <v>10.1999999999999</v>
      </c>
      <c r="BM210">
        <v>93.4</v>
      </c>
      <c r="BN210">
        <v>5.7</v>
      </c>
    </row>
    <row r="211" spans="1:66" x14ac:dyDescent="0.3">
      <c r="A211">
        <v>210</v>
      </c>
      <c r="B211" t="s">
        <v>434</v>
      </c>
      <c r="C211" s="2" t="s">
        <v>448</v>
      </c>
      <c r="D211">
        <v>64</v>
      </c>
      <c r="E211" s="1">
        <v>41881</v>
      </c>
      <c r="F211" s="1">
        <v>40437</v>
      </c>
      <c r="G211" s="1">
        <v>40097.530335648145</v>
      </c>
      <c r="H211" t="s">
        <v>15</v>
      </c>
      <c r="I211" t="s">
        <v>78</v>
      </c>
      <c r="J211" t="s">
        <v>22</v>
      </c>
      <c r="K211" t="s">
        <v>16</v>
      </c>
      <c r="L211">
        <v>40</v>
      </c>
      <c r="M211" t="s">
        <v>16</v>
      </c>
      <c r="N211" t="s">
        <v>16</v>
      </c>
      <c r="O211" t="s">
        <v>16</v>
      </c>
      <c r="P211" t="s">
        <v>75</v>
      </c>
      <c r="Q211" t="s">
        <v>18</v>
      </c>
      <c r="R211" t="s">
        <v>16</v>
      </c>
      <c r="S211" t="s">
        <v>16</v>
      </c>
      <c r="T211" t="s">
        <v>36</v>
      </c>
      <c r="U211" t="s">
        <v>188</v>
      </c>
      <c r="V211" t="s">
        <v>16</v>
      </c>
      <c r="W211" t="s">
        <v>16</v>
      </c>
      <c r="X211" t="s">
        <v>16</v>
      </c>
      <c r="Y211">
        <v>5.0999999046325701</v>
      </c>
      <c r="Z211">
        <v>3.2000000476837198</v>
      </c>
      <c r="AA211">
        <v>1.3999999761581401</v>
      </c>
      <c r="AB211">
        <v>1.20000004768372</v>
      </c>
      <c r="AC211">
        <v>270</v>
      </c>
      <c r="AD211">
        <v>136</v>
      </c>
      <c r="AE211" t="s">
        <v>16</v>
      </c>
      <c r="AF211" t="s">
        <v>16</v>
      </c>
      <c r="AG211">
        <v>120</v>
      </c>
      <c r="AH211">
        <v>11</v>
      </c>
      <c r="AI211">
        <v>5</v>
      </c>
      <c r="AJ211">
        <v>24</v>
      </c>
      <c r="AK211">
        <v>14</v>
      </c>
      <c r="AL211">
        <v>5</v>
      </c>
      <c r="AM211">
        <v>24</v>
      </c>
      <c r="AN211" t="s">
        <v>372</v>
      </c>
      <c r="AO211" t="s">
        <v>16</v>
      </c>
      <c r="AP211" t="s">
        <v>16</v>
      </c>
      <c r="AQ211" s="1">
        <v>40865</v>
      </c>
      <c r="AR211" s="1">
        <v>41806</v>
      </c>
      <c r="AS211" s="1">
        <v>40185</v>
      </c>
      <c r="AT211" s="1" t="s">
        <v>16</v>
      </c>
      <c r="AU211" s="1">
        <v>40095</v>
      </c>
      <c r="AV211" s="1">
        <v>40095.686539548609</v>
      </c>
      <c r="AW211" s="1">
        <v>40095</v>
      </c>
      <c r="AX211" s="1" t="s">
        <v>16</v>
      </c>
      <c r="AY211" t="s">
        <v>16</v>
      </c>
      <c r="AZ211">
        <v>172</v>
      </c>
      <c r="BA211">
        <v>71</v>
      </c>
      <c r="BB211">
        <v>1</v>
      </c>
      <c r="BC211">
        <v>8.6</v>
      </c>
      <c r="BD211">
        <v>133</v>
      </c>
      <c r="BE211">
        <v>5.7999999999999901</v>
      </c>
      <c r="BF211">
        <v>4.2</v>
      </c>
      <c r="BG211">
        <v>11.9</v>
      </c>
      <c r="BH211">
        <v>249</v>
      </c>
      <c r="BI211">
        <v>7.33</v>
      </c>
      <c r="BJ211">
        <v>9.0999999999999908</v>
      </c>
      <c r="BK211">
        <v>6.7999999999999901</v>
      </c>
      <c r="BL211">
        <v>10</v>
      </c>
      <c r="BM211">
        <v>1.06</v>
      </c>
      <c r="BN211">
        <v>9.0999999999999908</v>
      </c>
    </row>
    <row r="212" spans="1:66" x14ac:dyDescent="0.3">
      <c r="A212">
        <v>211</v>
      </c>
      <c r="B212" t="s">
        <v>430</v>
      </c>
      <c r="C212" s="2" t="s">
        <v>448</v>
      </c>
      <c r="D212">
        <v>80</v>
      </c>
      <c r="E212" s="1">
        <v>44553</v>
      </c>
      <c r="F212" s="1">
        <v>44411</v>
      </c>
      <c r="G212" s="1">
        <v>44228.446898148148</v>
      </c>
      <c r="H212" t="s">
        <v>17</v>
      </c>
      <c r="I212" t="s">
        <v>78</v>
      </c>
      <c r="J212" t="s">
        <v>24</v>
      </c>
      <c r="K212" t="s">
        <v>16</v>
      </c>
      <c r="L212">
        <v>53</v>
      </c>
      <c r="M212" t="s">
        <v>79</v>
      </c>
      <c r="N212" t="s">
        <v>14</v>
      </c>
      <c r="O212" t="s">
        <v>25</v>
      </c>
      <c r="P212" t="s">
        <v>85</v>
      </c>
      <c r="Q212" t="s">
        <v>18</v>
      </c>
      <c r="R212" t="s">
        <v>16</v>
      </c>
      <c r="S212" t="s">
        <v>16</v>
      </c>
      <c r="T212" t="s">
        <v>23</v>
      </c>
      <c r="U212" t="s">
        <v>16</v>
      </c>
      <c r="V212" t="s">
        <v>16</v>
      </c>
      <c r="W212" t="s">
        <v>23</v>
      </c>
      <c r="X212" t="s">
        <v>90</v>
      </c>
      <c r="Y212">
        <v>5.9499998092651403</v>
      </c>
      <c r="Z212">
        <v>4.6500000953674299</v>
      </c>
      <c r="AA212">
        <v>1.2400000095367401</v>
      </c>
      <c r="AB212">
        <v>1.08000004291534</v>
      </c>
      <c r="AC212">
        <v>295.93038940429699</v>
      </c>
      <c r="AD212">
        <v>154</v>
      </c>
      <c r="AE212">
        <v>1</v>
      </c>
      <c r="AF212">
        <v>65</v>
      </c>
      <c r="AG212">
        <v>108</v>
      </c>
      <c r="AH212">
        <v>7.28999996185303</v>
      </c>
      <c r="AI212">
        <v>6.3099999427795401</v>
      </c>
      <c r="AJ212">
        <v>17.120000839233398</v>
      </c>
      <c r="AK212">
        <v>7.5100002288818404</v>
      </c>
      <c r="AL212">
        <v>12.1000003814697</v>
      </c>
      <c r="AM212">
        <v>8.9300003051757795</v>
      </c>
      <c r="AN212" t="s">
        <v>373</v>
      </c>
      <c r="AO212">
        <v>80</v>
      </c>
      <c r="AP212">
        <v>28.344671201814101</v>
      </c>
      <c r="AQ212" s="1" t="s">
        <v>16</v>
      </c>
      <c r="AR212" s="1" t="s">
        <v>16</v>
      </c>
      <c r="AS212" s="1" t="s">
        <v>16</v>
      </c>
      <c r="AT212" s="1">
        <v>43347</v>
      </c>
      <c r="AU212" s="1">
        <v>43347</v>
      </c>
      <c r="AV212" s="1">
        <v>43347.620023263888</v>
      </c>
      <c r="AW212" s="1" t="s">
        <v>16</v>
      </c>
      <c r="AX212" s="1" t="s">
        <v>16</v>
      </c>
      <c r="AY212" t="s">
        <v>16</v>
      </c>
      <c r="AZ212">
        <v>132</v>
      </c>
      <c r="BA212">
        <v>63</v>
      </c>
      <c r="BB212">
        <v>0</v>
      </c>
      <c r="BC212">
        <f t="shared" ref="BC212:BC218" si="13">(140-D212)*AO212/(72*BI212)</f>
        <v>18.939393939393941</v>
      </c>
      <c r="BD212">
        <v>135</v>
      </c>
      <c r="BE212">
        <v>5.2999999999999901</v>
      </c>
      <c r="BF212">
        <v>3.2</v>
      </c>
      <c r="BG212">
        <v>9.0999999999999908</v>
      </c>
      <c r="BH212">
        <v>366</v>
      </c>
      <c r="BI212">
        <v>3.52</v>
      </c>
      <c r="BJ212">
        <v>8.1999999999999904</v>
      </c>
      <c r="BK212">
        <v>6.0999999999999899</v>
      </c>
      <c r="BL212">
        <v>10.4</v>
      </c>
      <c r="BM212">
        <v>9.8599999999999905</v>
      </c>
      <c r="BN212">
        <v>7</v>
      </c>
    </row>
    <row r="213" spans="1:66" x14ac:dyDescent="0.3">
      <c r="A213">
        <v>212</v>
      </c>
      <c r="B213" t="s">
        <v>430</v>
      </c>
      <c r="C213" s="2" t="s">
        <v>449</v>
      </c>
      <c r="D213">
        <v>78</v>
      </c>
      <c r="E213" s="1">
        <v>41098</v>
      </c>
      <c r="F213" s="1">
        <v>40882</v>
      </c>
      <c r="G213" s="1">
        <v>40786.335011574076</v>
      </c>
      <c r="H213" t="s">
        <v>15</v>
      </c>
      <c r="I213" t="s">
        <v>78</v>
      </c>
      <c r="J213" t="s">
        <v>15</v>
      </c>
      <c r="K213" t="s">
        <v>236</v>
      </c>
      <c r="L213">
        <v>65</v>
      </c>
      <c r="M213" t="s">
        <v>17</v>
      </c>
      <c r="N213" t="s">
        <v>16</v>
      </c>
      <c r="O213" t="s">
        <v>25</v>
      </c>
      <c r="P213" t="s">
        <v>85</v>
      </c>
      <c r="Q213" t="s">
        <v>19</v>
      </c>
      <c r="R213" t="s">
        <v>16</v>
      </c>
      <c r="S213" t="s">
        <v>16</v>
      </c>
      <c r="T213" t="s">
        <v>19</v>
      </c>
      <c r="U213" t="s">
        <v>121</v>
      </c>
      <c r="V213" t="s">
        <v>93</v>
      </c>
      <c r="W213" t="s">
        <v>29</v>
      </c>
      <c r="X213" t="s">
        <v>90</v>
      </c>
      <c r="Y213">
        <v>4.8800001144409197</v>
      </c>
      <c r="Z213">
        <v>2.5599999427795401</v>
      </c>
      <c r="AA213">
        <v>1.16999995708466</v>
      </c>
      <c r="AB213">
        <v>1.04999995231628</v>
      </c>
      <c r="AC213">
        <v>201.69168090820301</v>
      </c>
      <c r="AD213">
        <v>114</v>
      </c>
      <c r="AE213">
        <v>1</v>
      </c>
      <c r="AF213">
        <v>67</v>
      </c>
      <c r="AG213">
        <v>92.300003051757798</v>
      </c>
      <c r="AH213">
        <v>6</v>
      </c>
      <c r="AI213">
        <v>5.5</v>
      </c>
      <c r="AJ213">
        <v>16.780000686645501</v>
      </c>
      <c r="AK213">
        <v>9</v>
      </c>
      <c r="AL213">
        <v>10</v>
      </c>
      <c r="AM213">
        <v>9.2299995422363299</v>
      </c>
      <c r="AN213" t="s">
        <v>374</v>
      </c>
      <c r="AO213">
        <v>68</v>
      </c>
      <c r="AP213">
        <v>28.3038501560874</v>
      </c>
      <c r="AQ213" s="1" t="s">
        <v>16</v>
      </c>
      <c r="AR213" s="1" t="s">
        <v>16</v>
      </c>
      <c r="AS213" s="1" t="s">
        <v>16</v>
      </c>
      <c r="AT213" s="1">
        <v>40786</v>
      </c>
      <c r="AU213" s="1">
        <v>40784</v>
      </c>
      <c r="AV213" s="1"/>
      <c r="AW213" s="1">
        <v>40826</v>
      </c>
      <c r="AX213" s="1" t="s">
        <v>16</v>
      </c>
      <c r="AY213" t="s">
        <v>16</v>
      </c>
      <c r="AZ213">
        <v>136</v>
      </c>
      <c r="BA213">
        <v>58</v>
      </c>
      <c r="BB213">
        <v>0</v>
      </c>
      <c r="BC213">
        <f t="shared" si="13"/>
        <v>21.370640713706404</v>
      </c>
      <c r="BD213">
        <v>137</v>
      </c>
      <c r="BE213">
        <v>4.2</v>
      </c>
      <c r="BF213">
        <v>4.0999999999999899</v>
      </c>
      <c r="BG213">
        <v>9.3000000000000007</v>
      </c>
      <c r="BH213">
        <v>118</v>
      </c>
      <c r="BI213">
        <v>2.74</v>
      </c>
      <c r="BJ213">
        <v>9.5</v>
      </c>
      <c r="BK213">
        <v>4.5999999999999899</v>
      </c>
      <c r="BL213">
        <v>9.8000000000000007</v>
      </c>
      <c r="BM213">
        <v>30.1</v>
      </c>
      <c r="BN213">
        <v>5.2</v>
      </c>
    </row>
    <row r="214" spans="1:66" x14ac:dyDescent="0.3">
      <c r="A214">
        <v>213</v>
      </c>
      <c r="B214" t="s">
        <v>430</v>
      </c>
      <c r="C214" s="2" t="s">
        <v>448</v>
      </c>
      <c r="D214">
        <v>77</v>
      </c>
      <c r="E214" s="1">
        <v>41583</v>
      </c>
      <c r="F214" s="1">
        <v>41564</v>
      </c>
      <c r="G214" s="1">
        <v>41280.459756944445</v>
      </c>
      <c r="H214" t="s">
        <v>15</v>
      </c>
      <c r="I214" t="s">
        <v>78</v>
      </c>
      <c r="J214" t="s">
        <v>15</v>
      </c>
      <c r="K214" t="s">
        <v>198</v>
      </c>
      <c r="L214">
        <v>60</v>
      </c>
      <c r="M214" t="s">
        <v>15</v>
      </c>
      <c r="N214" t="s">
        <v>15</v>
      </c>
      <c r="O214" t="s">
        <v>25</v>
      </c>
      <c r="P214" t="s">
        <v>75</v>
      </c>
      <c r="Q214" t="s">
        <v>19</v>
      </c>
      <c r="R214" t="s">
        <v>16</v>
      </c>
      <c r="S214" t="s">
        <v>92</v>
      </c>
      <c r="T214" t="s">
        <v>19</v>
      </c>
      <c r="U214" t="s">
        <v>16</v>
      </c>
      <c r="V214" t="s">
        <v>16</v>
      </c>
      <c r="W214" t="s">
        <v>19</v>
      </c>
      <c r="X214" t="s">
        <v>78</v>
      </c>
      <c r="Y214">
        <v>5.7199997901916504</v>
      </c>
      <c r="Z214">
        <v>4.0300002098083496</v>
      </c>
      <c r="AA214">
        <v>1.2200000286102299</v>
      </c>
      <c r="AB214">
        <v>1.0900000333786</v>
      </c>
      <c r="AC214">
        <v>275.68612670898398</v>
      </c>
      <c r="AD214">
        <v>148</v>
      </c>
      <c r="AE214">
        <v>1</v>
      </c>
      <c r="AF214">
        <v>41</v>
      </c>
      <c r="AG214">
        <v>105.360000610352</v>
      </c>
      <c r="AH214">
        <v>6</v>
      </c>
      <c r="AI214">
        <v>4</v>
      </c>
      <c r="AJ214">
        <v>26.340000152587901</v>
      </c>
      <c r="AK214">
        <v>9</v>
      </c>
      <c r="AL214">
        <v>8</v>
      </c>
      <c r="AM214">
        <v>13.170000076293899</v>
      </c>
      <c r="AN214" t="s">
        <v>375</v>
      </c>
      <c r="AO214">
        <v>79</v>
      </c>
      <c r="AP214">
        <v>29.017447199265401</v>
      </c>
      <c r="AQ214" s="1">
        <v>40637</v>
      </c>
      <c r="AR214" s="1" t="s">
        <v>16</v>
      </c>
      <c r="AS214" s="1">
        <v>41246</v>
      </c>
      <c r="AT214" s="1">
        <v>41278</v>
      </c>
      <c r="AU214" s="1">
        <v>41558</v>
      </c>
      <c r="AV214" s="1"/>
      <c r="AW214" s="1" t="s">
        <v>16</v>
      </c>
      <c r="AX214" s="1">
        <v>41558</v>
      </c>
      <c r="AY214" t="s">
        <v>16</v>
      </c>
      <c r="AZ214">
        <v>134</v>
      </c>
      <c r="BA214">
        <v>76</v>
      </c>
      <c r="BB214">
        <v>0</v>
      </c>
      <c r="BC214">
        <f t="shared" si="13"/>
        <v>9.9317528735632177</v>
      </c>
      <c r="BD214">
        <v>140</v>
      </c>
      <c r="BE214">
        <v>3.3999999999999901</v>
      </c>
      <c r="BF214">
        <v>2.2999999999999901</v>
      </c>
      <c r="BG214">
        <v>7.9</v>
      </c>
      <c r="BH214">
        <v>265</v>
      </c>
      <c r="BI214">
        <v>6.96</v>
      </c>
      <c r="BJ214">
        <v>8.1999999999999904</v>
      </c>
      <c r="BK214">
        <v>7.7</v>
      </c>
      <c r="BL214">
        <v>13.1</v>
      </c>
      <c r="BM214">
        <v>57.02</v>
      </c>
      <c r="BN214">
        <v>5.9</v>
      </c>
    </row>
    <row r="215" spans="1:66" x14ac:dyDescent="0.3">
      <c r="A215">
        <v>214</v>
      </c>
      <c r="B215" t="s">
        <v>434</v>
      </c>
      <c r="C215" s="2" t="s">
        <v>448</v>
      </c>
      <c r="D215">
        <v>76</v>
      </c>
      <c r="E215" s="1">
        <v>44704</v>
      </c>
      <c r="F215" s="1">
        <v>44076</v>
      </c>
      <c r="G215" s="1">
        <v>43720.542094907411</v>
      </c>
      <c r="H215" t="s">
        <v>15</v>
      </c>
      <c r="I215" t="s">
        <v>16</v>
      </c>
      <c r="J215" t="s">
        <v>15</v>
      </c>
      <c r="K215" t="s">
        <v>16</v>
      </c>
      <c r="L215">
        <v>55</v>
      </c>
      <c r="M215" t="s">
        <v>15</v>
      </c>
      <c r="N215" t="s">
        <v>15</v>
      </c>
      <c r="O215" t="s">
        <v>25</v>
      </c>
      <c r="P215" t="s">
        <v>75</v>
      </c>
      <c r="Q215" t="s">
        <v>16</v>
      </c>
      <c r="R215" t="s">
        <v>98</v>
      </c>
      <c r="S215" t="s">
        <v>16</v>
      </c>
      <c r="T215" t="s">
        <v>18</v>
      </c>
      <c r="U215" t="s">
        <v>96</v>
      </c>
      <c r="V215" t="s">
        <v>16</v>
      </c>
      <c r="W215" t="s">
        <v>18</v>
      </c>
      <c r="X215" t="s">
        <v>16</v>
      </c>
      <c r="Y215">
        <v>4.8000001907348597</v>
      </c>
      <c r="Z215">
        <v>3.5</v>
      </c>
      <c r="AA215">
        <v>1.3999999761581401</v>
      </c>
      <c r="AB215">
        <v>1.29999995231628</v>
      </c>
      <c r="AC215">
        <v>259.58746337890602</v>
      </c>
      <c r="AD215">
        <v>126</v>
      </c>
      <c r="AE215">
        <v>1</v>
      </c>
      <c r="AF215" t="s">
        <v>16</v>
      </c>
      <c r="AG215">
        <v>147</v>
      </c>
      <c r="AH215">
        <v>6</v>
      </c>
      <c r="AI215">
        <v>4</v>
      </c>
      <c r="AJ215">
        <v>36.75</v>
      </c>
      <c r="AK215">
        <v>6</v>
      </c>
      <c r="AL215">
        <v>8</v>
      </c>
      <c r="AM215">
        <v>18.379999160766602</v>
      </c>
      <c r="AN215" t="s">
        <v>376</v>
      </c>
      <c r="AO215">
        <v>90</v>
      </c>
      <c r="AP215">
        <v>29.0547520661157</v>
      </c>
      <c r="AQ215" s="1" t="s">
        <v>16</v>
      </c>
      <c r="AR215" s="1" t="s">
        <v>16</v>
      </c>
      <c r="AS215" s="1" t="s">
        <v>16</v>
      </c>
      <c r="AT215" s="1">
        <v>44159</v>
      </c>
      <c r="AU215" s="1" t="s">
        <v>16</v>
      </c>
      <c r="AV215" s="1"/>
      <c r="AW215" s="1" t="s">
        <v>16</v>
      </c>
      <c r="AX215" s="1" t="s">
        <v>16</v>
      </c>
      <c r="AY215" t="s">
        <v>16</v>
      </c>
      <c r="AZ215">
        <v>148</v>
      </c>
      <c r="BA215">
        <v>74</v>
      </c>
      <c r="BB215">
        <v>2</v>
      </c>
      <c r="BC215">
        <f t="shared" si="13"/>
        <v>11.283497884344163</v>
      </c>
      <c r="BD215">
        <v>142</v>
      </c>
      <c r="BE215">
        <v>4.0999999999999899</v>
      </c>
      <c r="BF215">
        <v>3.2</v>
      </c>
      <c r="BG215">
        <v>8.5</v>
      </c>
      <c r="BH215">
        <v>215</v>
      </c>
      <c r="BI215">
        <v>7.0899999999999901</v>
      </c>
      <c r="BJ215">
        <v>8.3000000000000007</v>
      </c>
      <c r="BK215">
        <v>7.2</v>
      </c>
      <c r="BL215">
        <v>12.6</v>
      </c>
      <c r="BM215">
        <v>84.18</v>
      </c>
      <c r="BN215">
        <v>4.5999999999999899</v>
      </c>
    </row>
    <row r="216" spans="1:66" x14ac:dyDescent="0.3">
      <c r="A216">
        <v>215</v>
      </c>
      <c r="B216" t="s">
        <v>430</v>
      </c>
      <c r="C216" s="2" t="s">
        <v>448</v>
      </c>
      <c r="D216">
        <v>75</v>
      </c>
      <c r="E216" s="1">
        <v>42120</v>
      </c>
      <c r="F216" s="1">
        <v>41431</v>
      </c>
      <c r="G216" s="1">
        <v>41490.427245370367</v>
      </c>
      <c r="H216" t="s">
        <v>15</v>
      </c>
      <c r="I216" t="s">
        <v>15</v>
      </c>
      <c r="J216" t="s">
        <v>22</v>
      </c>
      <c r="K216" t="s">
        <v>16</v>
      </c>
      <c r="L216">
        <v>40</v>
      </c>
      <c r="M216" t="s">
        <v>16</v>
      </c>
      <c r="N216" t="s">
        <v>16</v>
      </c>
      <c r="O216" t="s">
        <v>25</v>
      </c>
      <c r="P216" t="s">
        <v>75</v>
      </c>
      <c r="Q216" t="s">
        <v>18</v>
      </c>
      <c r="R216" t="s">
        <v>16</v>
      </c>
      <c r="S216" t="s">
        <v>15</v>
      </c>
      <c r="T216" t="s">
        <v>18</v>
      </c>
      <c r="U216" t="s">
        <v>16</v>
      </c>
      <c r="V216" t="s">
        <v>16</v>
      </c>
      <c r="W216" t="s">
        <v>18</v>
      </c>
      <c r="X216" t="s">
        <v>90</v>
      </c>
      <c r="Y216">
        <v>5.5</v>
      </c>
      <c r="Z216">
        <v>4.1999998092651403</v>
      </c>
      <c r="AA216">
        <v>1.1000000238418599</v>
      </c>
      <c r="AB216">
        <v>1</v>
      </c>
      <c r="AC216">
        <v>227.40403747558599</v>
      </c>
      <c r="AD216">
        <v>110</v>
      </c>
      <c r="AE216">
        <v>1.62000000476837</v>
      </c>
      <c r="AF216">
        <v>67</v>
      </c>
      <c r="AG216">
        <v>76</v>
      </c>
      <c r="AH216">
        <v>8</v>
      </c>
      <c r="AI216">
        <v>5</v>
      </c>
      <c r="AJ216">
        <v>15.199999809265099</v>
      </c>
      <c r="AK216">
        <v>8</v>
      </c>
      <c r="AL216">
        <v>4.1999998092651403</v>
      </c>
      <c r="AM216">
        <v>18.100000381469702</v>
      </c>
      <c r="AN216" t="s">
        <v>377</v>
      </c>
      <c r="AO216">
        <v>101</v>
      </c>
      <c r="AP216">
        <v>37.098255280073502</v>
      </c>
      <c r="AQ216" s="1">
        <v>41428</v>
      </c>
      <c r="AR216" s="1" t="s">
        <v>16</v>
      </c>
      <c r="AS216" s="1">
        <v>41384</v>
      </c>
      <c r="AT216" s="1" t="s">
        <v>16</v>
      </c>
      <c r="AU216" s="1">
        <v>41384</v>
      </c>
      <c r="AV216" s="1">
        <v>41384.315488310189</v>
      </c>
      <c r="AW216" s="1">
        <v>41384</v>
      </c>
      <c r="AX216" s="1" t="s">
        <v>16</v>
      </c>
      <c r="AY216" t="s">
        <v>16</v>
      </c>
      <c r="AZ216">
        <v>136</v>
      </c>
      <c r="BA216">
        <v>60</v>
      </c>
      <c r="BB216">
        <v>0</v>
      </c>
      <c r="BC216">
        <f t="shared" si="13"/>
        <v>22.403084903084903</v>
      </c>
      <c r="BD216">
        <v>136</v>
      </c>
      <c r="BE216">
        <v>3.7999999999999901</v>
      </c>
      <c r="BF216">
        <v>3.3999999999999901</v>
      </c>
      <c r="BG216">
        <v>9</v>
      </c>
      <c r="BH216">
        <v>133</v>
      </c>
      <c r="BI216">
        <v>4.07</v>
      </c>
      <c r="BJ216">
        <v>9.3000000000000007</v>
      </c>
      <c r="BK216">
        <v>5</v>
      </c>
      <c r="BL216">
        <v>7.2999999999999901</v>
      </c>
      <c r="BM216">
        <v>9.58</v>
      </c>
    </row>
    <row r="217" spans="1:66" x14ac:dyDescent="0.3">
      <c r="A217">
        <v>216</v>
      </c>
      <c r="B217" t="s">
        <v>430</v>
      </c>
      <c r="C217" s="2" t="s">
        <v>448</v>
      </c>
      <c r="D217">
        <v>77</v>
      </c>
      <c r="E217" s="1">
        <v>41718</v>
      </c>
      <c r="F217" s="1">
        <v>41650</v>
      </c>
      <c r="G217" s="1">
        <v>41315.478935185187</v>
      </c>
      <c r="H217" t="s">
        <v>15</v>
      </c>
      <c r="I217" t="s">
        <v>78</v>
      </c>
      <c r="J217" t="s">
        <v>14</v>
      </c>
      <c r="K217" t="s">
        <v>16</v>
      </c>
      <c r="L217">
        <v>45</v>
      </c>
      <c r="M217" t="s">
        <v>16</v>
      </c>
      <c r="N217" t="s">
        <v>16</v>
      </c>
      <c r="O217" t="s">
        <v>17</v>
      </c>
      <c r="P217" t="s">
        <v>75</v>
      </c>
      <c r="Q217" t="s">
        <v>19</v>
      </c>
      <c r="R217" t="s">
        <v>16</v>
      </c>
      <c r="S217" t="s">
        <v>16</v>
      </c>
      <c r="T217" t="s">
        <v>19</v>
      </c>
      <c r="U217" t="s">
        <v>16</v>
      </c>
      <c r="V217" t="s">
        <v>16</v>
      </c>
      <c r="W217" t="s">
        <v>19</v>
      </c>
      <c r="X217" t="s">
        <v>78</v>
      </c>
      <c r="Y217">
        <v>5.0900001525878897</v>
      </c>
      <c r="Z217">
        <v>3.28999996185303</v>
      </c>
      <c r="AA217">
        <v>1.16999995708466</v>
      </c>
      <c r="AB217">
        <v>1.29999995231628</v>
      </c>
      <c r="AC217">
        <v>250.37387084960901</v>
      </c>
      <c r="AD217">
        <v>121</v>
      </c>
      <c r="AE217">
        <v>1.37999999523163</v>
      </c>
      <c r="AF217">
        <v>38</v>
      </c>
      <c r="AG217">
        <v>71.300003051757798</v>
      </c>
      <c r="AH217">
        <v>4</v>
      </c>
      <c r="AI217">
        <v>3</v>
      </c>
      <c r="AJ217">
        <v>23.7700004577637</v>
      </c>
      <c r="AK217">
        <v>6</v>
      </c>
      <c r="AL217">
        <v>4</v>
      </c>
      <c r="AM217">
        <v>17.819999694824201</v>
      </c>
      <c r="AN217" t="s">
        <v>378</v>
      </c>
      <c r="AO217">
        <v>91.15</v>
      </c>
      <c r="AP217">
        <v>30.8105732828556</v>
      </c>
      <c r="AQ217" s="1" t="s">
        <v>16</v>
      </c>
      <c r="AR217" s="1" t="s">
        <v>16</v>
      </c>
      <c r="AS217" s="1">
        <v>41609</v>
      </c>
      <c r="AT217" s="1" t="s">
        <v>16</v>
      </c>
      <c r="AU217" s="1">
        <v>40001</v>
      </c>
      <c r="AV217" s="1"/>
      <c r="AW217" s="1">
        <v>41609</v>
      </c>
      <c r="AX217" s="1" t="s">
        <v>16</v>
      </c>
      <c r="AY217" t="s">
        <v>21</v>
      </c>
      <c r="AZ217">
        <v>126</v>
      </c>
      <c r="BA217">
        <v>40</v>
      </c>
      <c r="BB217">
        <v>0</v>
      </c>
      <c r="BC217">
        <f t="shared" si="13"/>
        <v>18.634637850467289</v>
      </c>
      <c r="BD217">
        <v>148.69999999999899</v>
      </c>
      <c r="BE217">
        <v>3.4399999999999902</v>
      </c>
      <c r="BF217">
        <v>2.8999999999999901</v>
      </c>
      <c r="BG217">
        <v>9.5999999999999908</v>
      </c>
      <c r="BH217">
        <v>205</v>
      </c>
      <c r="BI217">
        <v>4.28</v>
      </c>
      <c r="BJ217">
        <v>8.5</v>
      </c>
      <c r="BK217">
        <v>4.0999999999999899</v>
      </c>
      <c r="BL217">
        <v>15.3</v>
      </c>
      <c r="BM217">
        <v>105.34</v>
      </c>
      <c r="BN217">
        <v>5.5</v>
      </c>
    </row>
    <row r="218" spans="1:66" x14ac:dyDescent="0.3">
      <c r="A218">
        <v>217</v>
      </c>
      <c r="B218" t="s">
        <v>430</v>
      </c>
      <c r="C218" s="2" t="s">
        <v>449</v>
      </c>
      <c r="D218">
        <v>83</v>
      </c>
      <c r="E218" s="1">
        <v>44475</v>
      </c>
      <c r="F218" s="1">
        <v>43500</v>
      </c>
      <c r="G218" s="1">
        <v>43472.454965277779</v>
      </c>
      <c r="H218" t="s">
        <v>15</v>
      </c>
      <c r="I218" t="s">
        <v>16</v>
      </c>
      <c r="J218" t="s">
        <v>24</v>
      </c>
      <c r="K218" t="s">
        <v>16</v>
      </c>
      <c r="L218">
        <v>50</v>
      </c>
      <c r="M218" t="s">
        <v>15</v>
      </c>
      <c r="N218" t="s">
        <v>14</v>
      </c>
      <c r="O218" t="s">
        <v>17</v>
      </c>
      <c r="P218" t="s">
        <v>75</v>
      </c>
      <c r="Q218" t="s">
        <v>16</v>
      </c>
      <c r="R218" t="s">
        <v>16</v>
      </c>
      <c r="S218" t="s">
        <v>16</v>
      </c>
      <c r="T218" t="s">
        <v>23</v>
      </c>
      <c r="U218" t="s">
        <v>16</v>
      </c>
      <c r="V218" t="s">
        <v>16</v>
      </c>
      <c r="W218" t="s">
        <v>26</v>
      </c>
      <c r="X218" t="s">
        <v>78</v>
      </c>
      <c r="Y218">
        <v>5.0700001716613796</v>
      </c>
      <c r="Z218">
        <v>3.1199998855590798</v>
      </c>
      <c r="AA218">
        <v>0.92000001668930098</v>
      </c>
      <c r="AB218">
        <v>1.0700000524520901</v>
      </c>
      <c r="AC218">
        <v>184.94787597656301</v>
      </c>
      <c r="AD218">
        <v>98</v>
      </c>
      <c r="AE218">
        <v>1</v>
      </c>
      <c r="AF218">
        <v>40</v>
      </c>
      <c r="AG218">
        <v>137</v>
      </c>
      <c r="AH218">
        <v>4.2600002288818404</v>
      </c>
      <c r="AI218">
        <v>6.5199999809265101</v>
      </c>
      <c r="AJ218">
        <v>21.0100002288818</v>
      </c>
      <c r="AK218">
        <v>4.0100002288818404</v>
      </c>
      <c r="AL218">
        <v>9.2700004577636701</v>
      </c>
      <c r="AM218">
        <v>14.7799997329712</v>
      </c>
      <c r="AN218" t="s">
        <v>379</v>
      </c>
      <c r="AO218">
        <v>79</v>
      </c>
      <c r="AP218">
        <v>34.193213296398902</v>
      </c>
      <c r="AQ218" s="1" t="s">
        <v>16</v>
      </c>
      <c r="AR218" s="1" t="s">
        <v>16</v>
      </c>
      <c r="AS218" s="1">
        <v>40616</v>
      </c>
      <c r="AT218" s="1">
        <v>43341</v>
      </c>
      <c r="AU218" s="1">
        <v>40616</v>
      </c>
      <c r="AV218" s="1">
        <v>40616.066244409732</v>
      </c>
      <c r="AW218" s="1">
        <v>40616</v>
      </c>
      <c r="AX218" s="1" t="s">
        <v>16</v>
      </c>
      <c r="AY218" t="s">
        <v>16</v>
      </c>
      <c r="AZ218">
        <v>135</v>
      </c>
      <c r="BA218">
        <v>71</v>
      </c>
      <c r="BB218">
        <v>7</v>
      </c>
      <c r="BC218">
        <f t="shared" si="13"/>
        <v>12.004158669225848</v>
      </c>
      <c r="BD218">
        <v>141</v>
      </c>
      <c r="BE218">
        <v>4.9000000000000004</v>
      </c>
      <c r="BF218">
        <v>2.8999999999999901</v>
      </c>
      <c r="BG218">
        <v>9.6999999999999904</v>
      </c>
      <c r="BH218">
        <v>204</v>
      </c>
      <c r="BI218">
        <v>5.21</v>
      </c>
      <c r="BJ218">
        <v>7.2999999999999901</v>
      </c>
      <c r="BK218">
        <v>7.5999999999999899</v>
      </c>
      <c r="BL218">
        <v>10</v>
      </c>
      <c r="BM218">
        <v>6.5999999999999899</v>
      </c>
      <c r="BN218">
        <v>6.4</v>
      </c>
    </row>
    <row r="219" spans="1:66" x14ac:dyDescent="0.3">
      <c r="A219">
        <v>218</v>
      </c>
      <c r="B219" t="s">
        <v>430</v>
      </c>
      <c r="C219" s="2" t="s">
        <v>448</v>
      </c>
      <c r="D219">
        <v>72</v>
      </c>
      <c r="E219" s="1">
        <v>45382</v>
      </c>
      <c r="F219" s="1">
        <v>40736</v>
      </c>
      <c r="G219" s="1">
        <v>40610.602638888886</v>
      </c>
      <c r="H219" t="s">
        <v>15</v>
      </c>
      <c r="I219" t="s">
        <v>78</v>
      </c>
      <c r="J219" t="s">
        <v>37</v>
      </c>
      <c r="K219" t="s">
        <v>16</v>
      </c>
      <c r="L219">
        <v>70</v>
      </c>
      <c r="M219" t="s">
        <v>16</v>
      </c>
      <c r="N219" t="s">
        <v>16</v>
      </c>
      <c r="O219" t="s">
        <v>17</v>
      </c>
      <c r="P219" t="s">
        <v>75</v>
      </c>
      <c r="Q219" t="s">
        <v>16</v>
      </c>
      <c r="R219" t="s">
        <v>16</v>
      </c>
      <c r="S219" t="s">
        <v>16</v>
      </c>
      <c r="T219" t="s">
        <v>18</v>
      </c>
      <c r="U219" t="s">
        <v>16</v>
      </c>
      <c r="V219" t="s">
        <v>16</v>
      </c>
      <c r="W219" t="s">
        <v>19</v>
      </c>
      <c r="X219" t="s">
        <v>15</v>
      </c>
      <c r="Y219">
        <v>5.3000001907348597</v>
      </c>
      <c r="Z219">
        <v>2.4000000953674299</v>
      </c>
      <c r="AA219">
        <v>1.29999995231628</v>
      </c>
      <c r="AB219">
        <v>1.1000000238418599</v>
      </c>
      <c r="AC219">
        <v>256.56979370117199</v>
      </c>
      <c r="AD219">
        <v>131</v>
      </c>
      <c r="AE219">
        <v>1</v>
      </c>
      <c r="AF219">
        <v>29</v>
      </c>
      <c r="AG219">
        <v>77</v>
      </c>
      <c r="AH219">
        <v>12</v>
      </c>
      <c r="AI219">
        <v>6</v>
      </c>
      <c r="AJ219">
        <v>12.829999923706101</v>
      </c>
      <c r="AK219">
        <v>10</v>
      </c>
      <c r="AL219">
        <v>9</v>
      </c>
      <c r="AM219">
        <v>8.5600004196166992</v>
      </c>
      <c r="AN219" t="s">
        <v>380</v>
      </c>
      <c r="AO219" t="s">
        <v>16</v>
      </c>
      <c r="AP219" t="s">
        <v>16</v>
      </c>
      <c r="AQ219" s="1" t="s">
        <v>16</v>
      </c>
      <c r="AR219" s="1" t="s">
        <v>16</v>
      </c>
      <c r="AS219" s="1">
        <v>40605</v>
      </c>
      <c r="AT219" s="1">
        <v>40559</v>
      </c>
      <c r="AU219" s="1">
        <v>40605</v>
      </c>
      <c r="AV219" s="1"/>
      <c r="AW219" s="1" t="s">
        <v>16</v>
      </c>
      <c r="AX219" s="1" t="s">
        <v>16</v>
      </c>
      <c r="AY219" t="s">
        <v>21</v>
      </c>
      <c r="AZ219">
        <v>162</v>
      </c>
      <c r="BA219">
        <v>87</v>
      </c>
      <c r="BB219">
        <v>6</v>
      </c>
      <c r="BC219">
        <v>8.4</v>
      </c>
      <c r="BD219">
        <v>138</v>
      </c>
      <c r="BE219">
        <v>5.7</v>
      </c>
      <c r="BF219">
        <v>3.2999999999999901</v>
      </c>
      <c r="BG219">
        <v>8.9</v>
      </c>
      <c r="BH219">
        <v>144</v>
      </c>
      <c r="BI219">
        <v>6.53</v>
      </c>
      <c r="BJ219">
        <v>8.1999999999999904</v>
      </c>
      <c r="BK219">
        <v>6.4</v>
      </c>
      <c r="BL219">
        <v>8.0999999999999908</v>
      </c>
      <c r="BM219">
        <v>42.299999999999898</v>
      </c>
      <c r="BN219">
        <v>5.0999999999999899</v>
      </c>
    </row>
    <row r="220" spans="1:66" x14ac:dyDescent="0.3">
      <c r="A220">
        <v>219</v>
      </c>
      <c r="B220" t="s">
        <v>430</v>
      </c>
      <c r="C220" s="2" t="s">
        <v>449</v>
      </c>
      <c r="D220">
        <v>85</v>
      </c>
      <c r="E220" s="1">
        <v>43873</v>
      </c>
      <c r="F220" s="1">
        <v>42838</v>
      </c>
      <c r="G220" s="1">
        <v>42558.564780092594</v>
      </c>
      <c r="H220" t="s">
        <v>15</v>
      </c>
      <c r="I220" t="s">
        <v>78</v>
      </c>
      <c r="J220" t="s">
        <v>15</v>
      </c>
      <c r="K220" t="s">
        <v>16</v>
      </c>
      <c r="L220">
        <v>60</v>
      </c>
      <c r="M220" t="s">
        <v>16</v>
      </c>
      <c r="N220" t="s">
        <v>16</v>
      </c>
      <c r="O220" t="s">
        <v>17</v>
      </c>
      <c r="P220" t="s">
        <v>75</v>
      </c>
      <c r="Q220" t="s">
        <v>16</v>
      </c>
      <c r="R220" t="s">
        <v>16</v>
      </c>
      <c r="S220" t="s">
        <v>16</v>
      </c>
      <c r="T220" t="s">
        <v>19</v>
      </c>
      <c r="U220" t="s">
        <v>16</v>
      </c>
      <c r="V220" t="s">
        <v>16</v>
      </c>
      <c r="W220" t="s">
        <v>18</v>
      </c>
      <c r="X220" t="s">
        <v>16</v>
      </c>
      <c r="Y220">
        <v>4.9899997711181596</v>
      </c>
      <c r="Z220">
        <v>3.4300000667571999</v>
      </c>
      <c r="AA220">
        <v>1.1900000572204601</v>
      </c>
      <c r="AB220">
        <v>1.12000000476837</v>
      </c>
      <c r="AC220">
        <v>220.88490295410199</v>
      </c>
      <c r="AD220">
        <v>145</v>
      </c>
      <c r="AE220">
        <v>1</v>
      </c>
      <c r="AF220" t="s">
        <v>16</v>
      </c>
      <c r="AG220">
        <v>83.400001525878906</v>
      </c>
      <c r="AH220">
        <v>5.6999998092651403</v>
      </c>
      <c r="AI220">
        <v>4.6999998092651403</v>
      </c>
      <c r="AJ220">
        <v>17.7399997711182</v>
      </c>
      <c r="AK220">
        <v>7.1999998092651403</v>
      </c>
      <c r="AL220">
        <v>6.5999999046325701</v>
      </c>
      <c r="AM220">
        <v>12.6400003433228</v>
      </c>
      <c r="AN220" t="s">
        <v>381</v>
      </c>
      <c r="AO220">
        <v>60</v>
      </c>
      <c r="AP220">
        <v>26.6666666666667</v>
      </c>
      <c r="AQ220" s="1">
        <v>43872</v>
      </c>
      <c r="AR220" s="1" t="s">
        <v>16</v>
      </c>
      <c r="AS220" s="1">
        <v>43872</v>
      </c>
      <c r="AT220" s="1">
        <v>43262</v>
      </c>
      <c r="AU220" s="1">
        <v>41555</v>
      </c>
      <c r="AV220" s="1">
        <v>41555.530209988428</v>
      </c>
      <c r="AW220" s="1">
        <v>41555</v>
      </c>
      <c r="AX220" s="1" t="s">
        <v>16</v>
      </c>
      <c r="AY220" t="s">
        <v>21</v>
      </c>
      <c r="AZ220">
        <v>160</v>
      </c>
      <c r="BA220">
        <v>42</v>
      </c>
      <c r="BB220">
        <v>2</v>
      </c>
      <c r="BC220">
        <f>(140-D220)*AO220/(72*BI220)</f>
        <v>5.8836114676936244</v>
      </c>
      <c r="BD220">
        <v>136</v>
      </c>
      <c r="BE220">
        <v>3.7999999999999901</v>
      </c>
      <c r="BF220">
        <v>3.2</v>
      </c>
      <c r="BG220">
        <v>11.8</v>
      </c>
      <c r="BH220">
        <v>205</v>
      </c>
      <c r="BI220">
        <v>7.79</v>
      </c>
      <c r="BJ220">
        <v>6.4</v>
      </c>
      <c r="BK220">
        <v>7.7999999999999901</v>
      </c>
      <c r="BL220">
        <v>7.5</v>
      </c>
      <c r="BM220">
        <v>3.89</v>
      </c>
      <c r="BN220">
        <v>6.0999999999999899</v>
      </c>
    </row>
    <row r="221" spans="1:66" x14ac:dyDescent="0.3">
      <c r="A221">
        <v>220</v>
      </c>
      <c r="B221" t="s">
        <v>430</v>
      </c>
      <c r="C221" s="2" t="s">
        <v>449</v>
      </c>
      <c r="D221">
        <v>71</v>
      </c>
      <c r="E221" s="1" t="s">
        <v>16</v>
      </c>
      <c r="F221" s="1">
        <v>42429</v>
      </c>
      <c r="G221" s="1">
        <v>42428.53979166667</v>
      </c>
      <c r="H221" t="s">
        <v>16</v>
      </c>
      <c r="I221" t="s">
        <v>16</v>
      </c>
      <c r="J221" t="s">
        <v>16</v>
      </c>
      <c r="K221" t="s">
        <v>74</v>
      </c>
      <c r="L221">
        <v>60</v>
      </c>
      <c r="M221" t="s">
        <v>16</v>
      </c>
      <c r="N221" t="s">
        <v>16</v>
      </c>
      <c r="O221" t="s">
        <v>15</v>
      </c>
      <c r="P221" t="s">
        <v>85</v>
      </c>
      <c r="Q221" t="s">
        <v>16</v>
      </c>
      <c r="R221" t="s">
        <v>16</v>
      </c>
      <c r="S221" t="s">
        <v>16</v>
      </c>
      <c r="T221" t="s">
        <v>18</v>
      </c>
      <c r="U221" t="s">
        <v>16</v>
      </c>
      <c r="V221" t="s">
        <v>16</v>
      </c>
      <c r="W221" t="s">
        <v>18</v>
      </c>
      <c r="X221" t="s">
        <v>16</v>
      </c>
      <c r="Y221">
        <v>4.5999999046325701</v>
      </c>
      <c r="Z221">
        <v>3</v>
      </c>
      <c r="AA221">
        <v>0.89999997615814198</v>
      </c>
      <c r="AB221">
        <v>0.89999997615814198</v>
      </c>
      <c r="AC221">
        <v>137.72026062011699</v>
      </c>
      <c r="AD221">
        <v>72</v>
      </c>
      <c r="AE221">
        <v>1.37999999523163</v>
      </c>
      <c r="AF221" t="s">
        <v>16</v>
      </c>
      <c r="AG221">
        <v>78</v>
      </c>
      <c r="AH221">
        <v>10</v>
      </c>
      <c r="AI221">
        <v>6</v>
      </c>
      <c r="AJ221">
        <v>13</v>
      </c>
      <c r="AK221">
        <v>9</v>
      </c>
      <c r="AL221">
        <v>8</v>
      </c>
      <c r="AM221">
        <v>9.75</v>
      </c>
      <c r="AN221" t="s">
        <v>382</v>
      </c>
      <c r="AO221" t="s">
        <v>16</v>
      </c>
      <c r="AP221" t="s">
        <v>16</v>
      </c>
      <c r="AQ221" s="1">
        <v>42436</v>
      </c>
      <c r="AR221" s="1" t="s">
        <v>16</v>
      </c>
      <c r="AS221" s="1">
        <v>41814</v>
      </c>
      <c r="AT221" s="1">
        <v>42744</v>
      </c>
      <c r="AU221" s="1" t="s">
        <v>16</v>
      </c>
      <c r="AV221" s="1">
        <v>41814.450474652767</v>
      </c>
      <c r="AW221" s="1" t="s">
        <v>16</v>
      </c>
      <c r="AX221" s="1" t="s">
        <v>16</v>
      </c>
      <c r="AY221" t="s">
        <v>16</v>
      </c>
      <c r="AZ221">
        <v>147</v>
      </c>
      <c r="BA221">
        <v>64</v>
      </c>
      <c r="BB221">
        <v>3</v>
      </c>
      <c r="BC221">
        <v>13.4</v>
      </c>
      <c r="BD221">
        <v>140.9</v>
      </c>
      <c r="BE221">
        <v>3.3399999999999901</v>
      </c>
      <c r="BF221">
        <v>2.2000000000000002</v>
      </c>
      <c r="BG221">
        <v>7.2</v>
      </c>
      <c r="BH221">
        <v>97</v>
      </c>
      <c r="BI221">
        <v>3.39</v>
      </c>
      <c r="BJ221">
        <v>7.5999999999999899</v>
      </c>
      <c r="BK221">
        <v>3.6</v>
      </c>
      <c r="BL221">
        <v>6.5</v>
      </c>
      <c r="BM221">
        <v>39.82</v>
      </c>
      <c r="BN221">
        <v>7.0999999999999899</v>
      </c>
    </row>
    <row r="222" spans="1:66" x14ac:dyDescent="0.3">
      <c r="A222">
        <v>221</v>
      </c>
      <c r="B222" t="s">
        <v>430</v>
      </c>
      <c r="C222" s="2" t="s">
        <v>449</v>
      </c>
      <c r="D222">
        <v>74</v>
      </c>
      <c r="E222" s="1" t="s">
        <v>16</v>
      </c>
      <c r="F222" s="1">
        <v>45326</v>
      </c>
      <c r="G222" s="1">
        <v>45141.395254629628</v>
      </c>
      <c r="H222" t="s">
        <v>16</v>
      </c>
      <c r="I222" t="s">
        <v>78</v>
      </c>
      <c r="J222" t="s">
        <v>16</v>
      </c>
      <c r="K222" t="s">
        <v>74</v>
      </c>
      <c r="L222">
        <v>60</v>
      </c>
      <c r="M222" t="s">
        <v>16</v>
      </c>
      <c r="N222" t="s">
        <v>16</v>
      </c>
      <c r="O222" t="s">
        <v>15</v>
      </c>
      <c r="P222" t="s">
        <v>16</v>
      </c>
      <c r="Q222" t="s">
        <v>16</v>
      </c>
      <c r="R222" t="s">
        <v>16</v>
      </c>
      <c r="S222" t="s">
        <v>16</v>
      </c>
      <c r="T222" t="s">
        <v>18</v>
      </c>
      <c r="U222" t="s">
        <v>16</v>
      </c>
      <c r="V222" t="s">
        <v>16</v>
      </c>
      <c r="W222" t="s">
        <v>18</v>
      </c>
      <c r="X222" t="s">
        <v>15</v>
      </c>
      <c r="Y222">
        <v>3.9000000953674299</v>
      </c>
      <c r="Z222">
        <v>2.5999999046325701</v>
      </c>
      <c r="AA222">
        <v>1.20000004768372</v>
      </c>
      <c r="AB222">
        <v>1.1000000238418599</v>
      </c>
      <c r="AC222">
        <v>149.53549194335901</v>
      </c>
      <c r="AD222">
        <v>112</v>
      </c>
      <c r="AE222">
        <v>1</v>
      </c>
      <c r="AF222">
        <v>29</v>
      </c>
      <c r="AG222">
        <v>64.5</v>
      </c>
      <c r="AH222" t="s">
        <v>16</v>
      </c>
      <c r="AI222">
        <v>4.53999996185303</v>
      </c>
      <c r="AJ222">
        <v>14.210000038146999</v>
      </c>
      <c r="AK222">
        <v>7.0599999427795401</v>
      </c>
      <c r="AL222">
        <v>7.0599999427795401</v>
      </c>
      <c r="AM222">
        <v>9.1400003433227504</v>
      </c>
      <c r="AN222" t="s">
        <v>383</v>
      </c>
      <c r="AO222">
        <v>42</v>
      </c>
      <c r="AP222">
        <v>19.9762187871581</v>
      </c>
      <c r="AQ222" s="1" t="s">
        <v>16</v>
      </c>
      <c r="AR222" s="1" t="s">
        <v>16</v>
      </c>
      <c r="AS222" s="1" t="s">
        <v>16</v>
      </c>
      <c r="AT222" s="1" t="s">
        <v>16</v>
      </c>
      <c r="AU222" s="1">
        <v>43819</v>
      </c>
      <c r="AV222" s="1"/>
      <c r="AW222" s="1">
        <v>43819</v>
      </c>
      <c r="AX222" s="1" t="s">
        <v>16</v>
      </c>
      <c r="AY222" t="s">
        <v>16</v>
      </c>
      <c r="AZ222">
        <v>184</v>
      </c>
      <c r="BA222">
        <v>63</v>
      </c>
      <c r="BB222">
        <v>1</v>
      </c>
      <c r="BC222">
        <f t="shared" ref="BC222:BC239" si="14">(140-D222)*AO222/(72*BI222)</f>
        <v>10.724233983286938</v>
      </c>
      <c r="BD222">
        <v>137</v>
      </c>
      <c r="BE222">
        <v>3.8999999999999901</v>
      </c>
      <c r="BF222">
        <v>3.1</v>
      </c>
      <c r="BG222">
        <v>10.4</v>
      </c>
      <c r="BH222">
        <v>46</v>
      </c>
      <c r="BI222">
        <v>3.5899999999999901</v>
      </c>
      <c r="BJ222">
        <v>8.8000000000000007</v>
      </c>
      <c r="BK222">
        <v>1.8999999999999899</v>
      </c>
      <c r="BL222">
        <v>3.7</v>
      </c>
      <c r="BM222">
        <v>26.0399999999999</v>
      </c>
      <c r="BN222">
        <v>5</v>
      </c>
    </row>
    <row r="223" spans="1:66" x14ac:dyDescent="0.3">
      <c r="A223">
        <v>222</v>
      </c>
      <c r="B223" t="s">
        <v>430</v>
      </c>
      <c r="C223" s="2" t="s">
        <v>449</v>
      </c>
      <c r="D223">
        <v>84</v>
      </c>
      <c r="E223" s="1">
        <v>43801</v>
      </c>
      <c r="F223" s="1">
        <v>43619</v>
      </c>
      <c r="G223" s="1">
        <v>43675.444166666668</v>
      </c>
      <c r="H223" t="s">
        <v>15</v>
      </c>
      <c r="I223" t="s">
        <v>78</v>
      </c>
      <c r="J223" t="s">
        <v>30</v>
      </c>
      <c r="K223" t="s">
        <v>384</v>
      </c>
      <c r="L223">
        <v>30</v>
      </c>
      <c r="M223" t="s">
        <v>17</v>
      </c>
      <c r="N223" t="s">
        <v>28</v>
      </c>
      <c r="O223" t="s">
        <v>25</v>
      </c>
      <c r="P223" t="s">
        <v>75</v>
      </c>
      <c r="Q223" t="s">
        <v>19</v>
      </c>
      <c r="R223" t="s">
        <v>98</v>
      </c>
      <c r="S223" t="s">
        <v>16</v>
      </c>
      <c r="T223" t="s">
        <v>23</v>
      </c>
      <c r="U223" t="s">
        <v>96</v>
      </c>
      <c r="V223" t="s">
        <v>16</v>
      </c>
      <c r="W223" t="s">
        <v>29</v>
      </c>
      <c r="X223" t="s">
        <v>87</v>
      </c>
      <c r="Y223">
        <v>4.8000001907348597</v>
      </c>
      <c r="Z223">
        <v>3.2000000476837198</v>
      </c>
      <c r="AA223">
        <v>1.1000000238418599</v>
      </c>
      <c r="AB223">
        <v>1.20000004768372</v>
      </c>
      <c r="AC223">
        <v>206.36941528320301</v>
      </c>
      <c r="AD223" t="s">
        <v>16</v>
      </c>
      <c r="AE223">
        <v>2</v>
      </c>
      <c r="AF223">
        <v>59</v>
      </c>
      <c r="AG223">
        <v>94</v>
      </c>
      <c r="AH223">
        <v>4</v>
      </c>
      <c r="AI223">
        <v>6</v>
      </c>
      <c r="AJ223">
        <v>15.670000076293899</v>
      </c>
      <c r="AK223">
        <v>4</v>
      </c>
      <c r="AL223">
        <v>6</v>
      </c>
      <c r="AM223">
        <v>15.670000076293899</v>
      </c>
      <c r="AN223" t="s">
        <v>385</v>
      </c>
      <c r="AO223">
        <v>92</v>
      </c>
      <c r="AP223">
        <v>35.055631763450698</v>
      </c>
      <c r="AQ223" s="1" t="s">
        <v>16</v>
      </c>
      <c r="AR223" s="1" t="s">
        <v>16</v>
      </c>
      <c r="AS223" s="1">
        <v>43612</v>
      </c>
      <c r="AT223" s="1">
        <v>43612</v>
      </c>
      <c r="AU223" s="1">
        <v>43612</v>
      </c>
      <c r="AV223" s="1"/>
      <c r="AW223" s="1">
        <v>43612</v>
      </c>
      <c r="AX223" s="1" t="s">
        <v>16</v>
      </c>
      <c r="AY223" t="s">
        <v>16</v>
      </c>
      <c r="AZ223">
        <v>118</v>
      </c>
      <c r="BA223">
        <v>52</v>
      </c>
      <c r="BB223">
        <v>0</v>
      </c>
      <c r="BC223">
        <f t="shared" si="14"/>
        <v>9.2929292929292941</v>
      </c>
      <c r="BD223">
        <v>140</v>
      </c>
      <c r="BE223">
        <v>3.7999999999999901</v>
      </c>
      <c r="BF223">
        <v>2.6</v>
      </c>
      <c r="BH223">
        <v>257</v>
      </c>
      <c r="BI223">
        <v>7.7</v>
      </c>
      <c r="BJ223">
        <v>8.5999999999999908</v>
      </c>
      <c r="BK223">
        <v>4.7</v>
      </c>
      <c r="BL223">
        <v>8.0999999999999908</v>
      </c>
      <c r="BM223">
        <v>59.42</v>
      </c>
    </row>
    <row r="224" spans="1:66" x14ac:dyDescent="0.3">
      <c r="A224">
        <v>223</v>
      </c>
      <c r="B224" t="s">
        <v>434</v>
      </c>
      <c r="C224" s="2" t="s">
        <v>449</v>
      </c>
      <c r="D224">
        <v>68</v>
      </c>
      <c r="E224" s="1">
        <v>45075</v>
      </c>
      <c r="F224" s="1">
        <v>43443</v>
      </c>
      <c r="G224" s="1">
        <v>43130.346331018518</v>
      </c>
      <c r="H224" t="s">
        <v>17</v>
      </c>
      <c r="I224" t="s">
        <v>15</v>
      </c>
      <c r="J224" t="s">
        <v>22</v>
      </c>
      <c r="K224" t="s">
        <v>386</v>
      </c>
      <c r="L224">
        <v>45</v>
      </c>
      <c r="M224" t="s">
        <v>16</v>
      </c>
      <c r="N224" t="s">
        <v>16</v>
      </c>
      <c r="O224" t="s">
        <v>17</v>
      </c>
      <c r="P224" t="s">
        <v>16</v>
      </c>
      <c r="Q224" t="s">
        <v>16</v>
      </c>
      <c r="R224" t="s">
        <v>153</v>
      </c>
      <c r="S224" t="s">
        <v>16</v>
      </c>
      <c r="T224" t="s">
        <v>26</v>
      </c>
      <c r="U224" t="s">
        <v>16</v>
      </c>
      <c r="V224" t="s">
        <v>16</v>
      </c>
      <c r="W224" t="s">
        <v>23</v>
      </c>
      <c r="X224" t="s">
        <v>90</v>
      </c>
      <c r="Y224">
        <v>5.6999998092651403</v>
      </c>
      <c r="Z224">
        <v>4.3899998664856001</v>
      </c>
      <c r="AA224">
        <v>0.89999997615814198</v>
      </c>
      <c r="AB224">
        <v>1.0900000333786</v>
      </c>
      <c r="AC224">
        <v>224.87692260742199</v>
      </c>
      <c r="AD224">
        <v>135</v>
      </c>
      <c r="AE224">
        <v>1.6900000572204601</v>
      </c>
      <c r="AF224">
        <v>74</v>
      </c>
      <c r="AG224">
        <v>129</v>
      </c>
      <c r="AH224">
        <v>4.9899997711181596</v>
      </c>
      <c r="AI224">
        <v>5.2199997901916504</v>
      </c>
      <c r="AJ224">
        <v>24.709999084472699</v>
      </c>
      <c r="AK224">
        <v>5.2199997901916504</v>
      </c>
      <c r="AL224">
        <v>4.21000003814697</v>
      </c>
      <c r="AM224">
        <v>30.639999389648398</v>
      </c>
      <c r="AN224" t="s">
        <v>387</v>
      </c>
      <c r="AO224">
        <v>60</v>
      </c>
      <c r="AP224">
        <v>25.299375948726599</v>
      </c>
      <c r="AQ224" s="1" t="s">
        <v>16</v>
      </c>
      <c r="AR224" s="1" t="s">
        <v>16</v>
      </c>
      <c r="AS224" s="1">
        <v>43991</v>
      </c>
      <c r="AT224" s="1" t="s">
        <v>16</v>
      </c>
      <c r="AU224" s="1">
        <v>44567</v>
      </c>
      <c r="AV224" s="1">
        <v>43129.650689814807</v>
      </c>
      <c r="AW224" s="1" t="s">
        <v>16</v>
      </c>
      <c r="AX224" s="1" t="s">
        <v>16</v>
      </c>
      <c r="AY224" t="s">
        <v>16</v>
      </c>
      <c r="AZ224">
        <v>153</v>
      </c>
      <c r="BA224">
        <v>65</v>
      </c>
      <c r="BB224">
        <v>0</v>
      </c>
      <c r="BC224">
        <f t="shared" si="14"/>
        <v>12.396694214876058</v>
      </c>
      <c r="BD224">
        <v>139</v>
      </c>
      <c r="BE224">
        <v>3.5</v>
      </c>
      <c r="BF224">
        <v>3</v>
      </c>
      <c r="BG224">
        <v>12.4</v>
      </c>
      <c r="BH224">
        <v>162</v>
      </c>
      <c r="BI224">
        <v>4.8399999999999901</v>
      </c>
      <c r="BJ224">
        <v>6.5999999999999899</v>
      </c>
      <c r="BK224">
        <v>6.0999999999999899</v>
      </c>
      <c r="BL224">
        <v>10.6999999999999</v>
      </c>
      <c r="BM224">
        <v>4.6399999999999899</v>
      </c>
      <c r="BN224">
        <v>4.7999999999999901</v>
      </c>
    </row>
    <row r="225" spans="1:66" x14ac:dyDescent="0.3">
      <c r="A225">
        <v>224</v>
      </c>
      <c r="B225" t="s">
        <v>430</v>
      </c>
      <c r="C225" s="2" t="s">
        <v>449</v>
      </c>
      <c r="D225">
        <v>78</v>
      </c>
      <c r="E225" s="1">
        <v>41593</v>
      </c>
      <c r="F225" s="1">
        <v>41023</v>
      </c>
      <c r="G225" s="1">
        <v>41045.505532407406</v>
      </c>
      <c r="H225" t="s">
        <v>15</v>
      </c>
      <c r="I225" t="s">
        <v>16</v>
      </c>
      <c r="J225" t="s">
        <v>15</v>
      </c>
      <c r="K225" t="s">
        <v>77</v>
      </c>
      <c r="L225">
        <v>60</v>
      </c>
      <c r="M225" t="s">
        <v>16</v>
      </c>
      <c r="N225" t="s">
        <v>16</v>
      </c>
      <c r="O225" t="s">
        <v>17</v>
      </c>
      <c r="P225" t="s">
        <v>75</v>
      </c>
      <c r="Q225" t="s">
        <v>19</v>
      </c>
      <c r="R225" t="s">
        <v>264</v>
      </c>
      <c r="S225" t="s">
        <v>75</v>
      </c>
      <c r="T225" t="s">
        <v>29</v>
      </c>
      <c r="U225" t="s">
        <v>388</v>
      </c>
      <c r="V225" t="s">
        <v>16</v>
      </c>
      <c r="W225" t="s">
        <v>23</v>
      </c>
      <c r="X225" t="s">
        <v>87</v>
      </c>
      <c r="Y225">
        <v>4.6300001144409197</v>
      </c>
      <c r="Z225">
        <v>2.28999996185303</v>
      </c>
      <c r="AA225">
        <v>1.2699999809265099</v>
      </c>
      <c r="AB225">
        <v>0.77999997138977095</v>
      </c>
      <c r="AC225">
        <v>166.022216796875</v>
      </c>
      <c r="AD225">
        <v>138</v>
      </c>
      <c r="AE225">
        <v>1</v>
      </c>
      <c r="AF225">
        <v>50</v>
      </c>
      <c r="AG225">
        <v>127.59999847412099</v>
      </c>
      <c r="AH225">
        <v>5</v>
      </c>
      <c r="AI225">
        <v>4</v>
      </c>
      <c r="AJ225">
        <v>31.899999618530298</v>
      </c>
      <c r="AK225">
        <v>6</v>
      </c>
      <c r="AL225">
        <v>7</v>
      </c>
      <c r="AM225">
        <v>18.2299995422363</v>
      </c>
      <c r="AN225" t="s">
        <v>389</v>
      </c>
      <c r="AO225">
        <v>45</v>
      </c>
      <c r="AP225">
        <v>20</v>
      </c>
      <c r="AQ225" s="1" t="s">
        <v>16</v>
      </c>
      <c r="AR225" s="1" t="s">
        <v>16</v>
      </c>
      <c r="AS225" s="1" t="s">
        <v>16</v>
      </c>
      <c r="AT225" s="1" t="s">
        <v>16</v>
      </c>
      <c r="AU225" s="1">
        <v>40759</v>
      </c>
      <c r="AV225" s="1"/>
      <c r="AW225" s="1">
        <v>40762</v>
      </c>
      <c r="AX225" s="1" t="s">
        <v>16</v>
      </c>
      <c r="AY225" t="s">
        <v>16</v>
      </c>
      <c r="AZ225">
        <v>135</v>
      </c>
      <c r="BA225">
        <v>66</v>
      </c>
      <c r="BB225">
        <v>6</v>
      </c>
      <c r="BC225">
        <f t="shared" si="14"/>
        <v>7.7345309381237675</v>
      </c>
      <c r="BD225">
        <v>132</v>
      </c>
      <c r="BE225">
        <v>4</v>
      </c>
      <c r="BF225">
        <v>3.5</v>
      </c>
      <c r="BG225">
        <v>9.9</v>
      </c>
      <c r="BH225">
        <v>274</v>
      </c>
      <c r="BI225">
        <v>5.00999999999999</v>
      </c>
      <c r="BJ225">
        <v>8.1999999999999904</v>
      </c>
      <c r="BK225">
        <v>6.0999999999999899</v>
      </c>
      <c r="BL225">
        <v>11.6</v>
      </c>
      <c r="BM225">
        <v>29.2899999999999</v>
      </c>
      <c r="BN225">
        <v>6.5</v>
      </c>
    </row>
    <row r="226" spans="1:66" x14ac:dyDescent="0.3">
      <c r="A226">
        <v>225</v>
      </c>
      <c r="B226" t="s">
        <v>430</v>
      </c>
      <c r="C226" s="2" t="s">
        <v>448</v>
      </c>
      <c r="D226">
        <v>72</v>
      </c>
      <c r="E226" s="1">
        <v>44628</v>
      </c>
      <c r="F226" s="1">
        <v>44321</v>
      </c>
      <c r="G226" s="1">
        <v>44305.356388888889</v>
      </c>
      <c r="H226" t="s">
        <v>15</v>
      </c>
      <c r="I226" t="s">
        <v>78</v>
      </c>
      <c r="J226" t="s">
        <v>15</v>
      </c>
      <c r="K226" t="s">
        <v>16</v>
      </c>
      <c r="L226">
        <v>60</v>
      </c>
      <c r="M226" t="s">
        <v>16</v>
      </c>
      <c r="N226" t="s">
        <v>16</v>
      </c>
      <c r="O226" t="s">
        <v>17</v>
      </c>
      <c r="P226" t="s">
        <v>75</v>
      </c>
      <c r="Q226" t="s">
        <v>16</v>
      </c>
      <c r="R226" t="s">
        <v>16</v>
      </c>
      <c r="S226" t="s">
        <v>16</v>
      </c>
      <c r="T226" t="s">
        <v>19</v>
      </c>
      <c r="U226" t="s">
        <v>132</v>
      </c>
      <c r="V226" t="s">
        <v>16</v>
      </c>
      <c r="W226" t="s">
        <v>18</v>
      </c>
      <c r="X226" t="s">
        <v>15</v>
      </c>
      <c r="Y226">
        <v>5.5</v>
      </c>
      <c r="Z226">
        <v>3.8499999046325701</v>
      </c>
      <c r="AA226">
        <v>1.28999996185303</v>
      </c>
      <c r="AB226">
        <v>0.99000000953674305</v>
      </c>
      <c r="AC226">
        <v>253.97390747070301</v>
      </c>
      <c r="AD226">
        <v>127</v>
      </c>
      <c r="AE226">
        <v>1</v>
      </c>
      <c r="AF226">
        <v>25</v>
      </c>
      <c r="AG226">
        <v>75.400001525878906</v>
      </c>
      <c r="AH226">
        <v>4.46000003814697</v>
      </c>
      <c r="AI226">
        <v>4.2399997711181596</v>
      </c>
      <c r="AJ226">
        <v>17.780000686645501</v>
      </c>
      <c r="AK226">
        <v>5.5500001907348597</v>
      </c>
      <c r="AL226">
        <v>4.9000000953674299</v>
      </c>
      <c r="AM226">
        <v>15.3900003433228</v>
      </c>
      <c r="AN226" t="s">
        <v>390</v>
      </c>
      <c r="AO226">
        <v>84</v>
      </c>
      <c r="AP226">
        <v>26.511804065143298</v>
      </c>
      <c r="AQ226" s="1" t="s">
        <v>16</v>
      </c>
      <c r="AR226" s="1" t="s">
        <v>16</v>
      </c>
      <c r="AS226" s="1">
        <v>44349</v>
      </c>
      <c r="AT226" s="1" t="s">
        <v>16</v>
      </c>
      <c r="AU226" s="1" t="s">
        <v>16</v>
      </c>
      <c r="AV226" s="1"/>
      <c r="AW226" s="1">
        <v>44349</v>
      </c>
      <c r="AX226" s="1" t="s">
        <v>16</v>
      </c>
      <c r="AY226" t="s">
        <v>16</v>
      </c>
      <c r="AZ226">
        <v>127</v>
      </c>
      <c r="BA226">
        <v>68</v>
      </c>
      <c r="BB226">
        <v>1</v>
      </c>
      <c r="BC226">
        <f t="shared" si="14"/>
        <v>12.652844231791621</v>
      </c>
      <c r="BD226">
        <v>138</v>
      </c>
      <c r="BE226">
        <v>6.5999999999999899</v>
      </c>
      <c r="BF226">
        <v>3.3999999999999901</v>
      </c>
      <c r="BG226">
        <v>8.8000000000000007</v>
      </c>
      <c r="BH226">
        <v>183</v>
      </c>
      <c r="BI226">
        <v>6.2699999999999898</v>
      </c>
      <c r="BJ226">
        <v>8.5</v>
      </c>
      <c r="BK226">
        <v>6.4</v>
      </c>
      <c r="BL226">
        <v>7.0999999999999899</v>
      </c>
      <c r="BM226">
        <v>198.349999999999</v>
      </c>
    </row>
    <row r="227" spans="1:66" x14ac:dyDescent="0.3">
      <c r="A227">
        <v>226</v>
      </c>
      <c r="B227" t="s">
        <v>430</v>
      </c>
      <c r="C227" s="2" t="s">
        <v>449</v>
      </c>
      <c r="D227">
        <v>70</v>
      </c>
      <c r="E227" s="1" t="s">
        <v>16</v>
      </c>
      <c r="F227" s="1">
        <v>42409</v>
      </c>
      <c r="G227" s="1">
        <v>42436.545706018522</v>
      </c>
      <c r="H227" t="s">
        <v>15</v>
      </c>
      <c r="I227" t="s">
        <v>16</v>
      </c>
      <c r="J227" t="s">
        <v>15</v>
      </c>
      <c r="K227" t="s">
        <v>94</v>
      </c>
      <c r="L227">
        <v>65</v>
      </c>
      <c r="M227" t="s">
        <v>16</v>
      </c>
      <c r="N227" t="s">
        <v>16</v>
      </c>
      <c r="O227" t="s">
        <v>17</v>
      </c>
      <c r="P227" t="s">
        <v>75</v>
      </c>
      <c r="Q227" t="s">
        <v>16</v>
      </c>
      <c r="R227" t="s">
        <v>142</v>
      </c>
      <c r="S227" t="s">
        <v>16</v>
      </c>
      <c r="T227" t="s">
        <v>18</v>
      </c>
      <c r="U227" t="s">
        <v>191</v>
      </c>
      <c r="V227" t="s">
        <v>16</v>
      </c>
      <c r="W227" t="s">
        <v>19</v>
      </c>
      <c r="X227" t="s">
        <v>90</v>
      </c>
      <c r="Y227">
        <v>4.0900001525878897</v>
      </c>
      <c r="Z227">
        <v>2.3699998855590798</v>
      </c>
      <c r="AA227">
        <v>1.29999995231628</v>
      </c>
      <c r="AB227">
        <v>1.29999995231628</v>
      </c>
      <c r="AC227">
        <v>192.79231262207</v>
      </c>
      <c r="AD227">
        <v>93</v>
      </c>
      <c r="AE227">
        <v>1</v>
      </c>
      <c r="AF227">
        <v>59</v>
      </c>
      <c r="AG227">
        <v>126</v>
      </c>
      <c r="AH227">
        <v>7</v>
      </c>
      <c r="AI227">
        <v>6</v>
      </c>
      <c r="AJ227">
        <v>21</v>
      </c>
      <c r="AK227">
        <v>9</v>
      </c>
      <c r="AL227">
        <v>6</v>
      </c>
      <c r="AM227">
        <v>21</v>
      </c>
      <c r="AN227" t="s">
        <v>391</v>
      </c>
      <c r="AO227">
        <v>98</v>
      </c>
      <c r="AP227">
        <v>38.28125</v>
      </c>
      <c r="AQ227" s="1" t="s">
        <v>16</v>
      </c>
      <c r="AR227" s="1" t="s">
        <v>16</v>
      </c>
      <c r="AS227" s="1" t="s">
        <v>16</v>
      </c>
      <c r="AT227" s="1" t="s">
        <v>16</v>
      </c>
      <c r="AU227" s="1">
        <v>42434</v>
      </c>
      <c r="AV227" s="1"/>
      <c r="AW227" s="1">
        <v>42434</v>
      </c>
      <c r="AX227" s="1" t="s">
        <v>16</v>
      </c>
      <c r="AY227" t="s">
        <v>16</v>
      </c>
      <c r="AZ227">
        <v>142</v>
      </c>
      <c r="BA227">
        <v>57</v>
      </c>
      <c r="BB227">
        <v>0</v>
      </c>
      <c r="BC227">
        <f t="shared" si="14"/>
        <v>11.065943992773274</v>
      </c>
      <c r="BD227">
        <v>138</v>
      </c>
      <c r="BE227">
        <v>4.49</v>
      </c>
      <c r="BF227">
        <v>3.6</v>
      </c>
      <c r="BG227">
        <v>9</v>
      </c>
      <c r="BH227">
        <v>369</v>
      </c>
      <c r="BI227">
        <v>8.6099999999999905</v>
      </c>
      <c r="BJ227">
        <v>7.5999999999999899</v>
      </c>
      <c r="BK227">
        <v>10.8</v>
      </c>
      <c r="BL227">
        <v>11.3</v>
      </c>
      <c r="BM227">
        <v>134.27000000000001</v>
      </c>
      <c r="BN227">
        <v>5.7</v>
      </c>
    </row>
    <row r="228" spans="1:66" x14ac:dyDescent="0.3">
      <c r="A228">
        <v>227</v>
      </c>
      <c r="B228" t="s">
        <v>430</v>
      </c>
      <c r="C228" s="2" t="s">
        <v>448</v>
      </c>
      <c r="D228">
        <v>82</v>
      </c>
      <c r="E228" s="1">
        <v>42633</v>
      </c>
      <c r="F228" s="1">
        <v>41148</v>
      </c>
      <c r="G228" s="1">
        <v>41028.441435185188</v>
      </c>
      <c r="H228" t="s">
        <v>15</v>
      </c>
      <c r="I228" t="s">
        <v>78</v>
      </c>
      <c r="J228" t="s">
        <v>15</v>
      </c>
      <c r="K228" t="s">
        <v>16</v>
      </c>
      <c r="L228">
        <v>60</v>
      </c>
      <c r="M228" t="s">
        <v>16</v>
      </c>
      <c r="N228" t="s">
        <v>16</v>
      </c>
      <c r="O228" t="s">
        <v>17</v>
      </c>
      <c r="P228" t="s">
        <v>75</v>
      </c>
      <c r="Q228" t="s">
        <v>16</v>
      </c>
      <c r="R228" t="s">
        <v>16</v>
      </c>
      <c r="S228" t="s">
        <v>16</v>
      </c>
      <c r="T228" t="s">
        <v>19</v>
      </c>
      <c r="U228" t="s">
        <v>16</v>
      </c>
      <c r="V228" t="s">
        <v>16</v>
      </c>
      <c r="W228" t="s">
        <v>19</v>
      </c>
      <c r="X228" t="s">
        <v>87</v>
      </c>
      <c r="Y228">
        <v>4.5</v>
      </c>
      <c r="Z228">
        <v>3.5</v>
      </c>
      <c r="AA228">
        <v>1.1000000238418599</v>
      </c>
      <c r="AB228">
        <v>1.20000004768372</v>
      </c>
      <c r="AC228">
        <v>186.39141845703099</v>
      </c>
      <c r="AD228">
        <v>100</v>
      </c>
      <c r="AE228">
        <v>1</v>
      </c>
      <c r="AF228">
        <v>51</v>
      </c>
      <c r="AG228">
        <v>138</v>
      </c>
      <c r="AH228">
        <v>5</v>
      </c>
      <c r="AI228">
        <v>4</v>
      </c>
      <c r="AJ228">
        <v>34.5</v>
      </c>
      <c r="AK228">
        <v>8</v>
      </c>
      <c r="AL228">
        <v>6</v>
      </c>
      <c r="AM228">
        <v>23</v>
      </c>
      <c r="AN228" t="s">
        <v>392</v>
      </c>
      <c r="AO228">
        <v>78</v>
      </c>
      <c r="AP228">
        <v>28.650137741046802</v>
      </c>
      <c r="AQ228" s="1">
        <v>41176</v>
      </c>
      <c r="AR228" s="1" t="s">
        <v>16</v>
      </c>
      <c r="AS228" s="1">
        <v>41310</v>
      </c>
      <c r="AT228" s="1" t="s">
        <v>16</v>
      </c>
      <c r="AU228" s="1">
        <v>41309</v>
      </c>
      <c r="AV228" s="1">
        <v>41028.529614618063</v>
      </c>
      <c r="AW228" s="1">
        <v>41309</v>
      </c>
      <c r="AX228" s="1" t="s">
        <v>16</v>
      </c>
      <c r="AY228" t="s">
        <v>16</v>
      </c>
      <c r="AZ228">
        <v>138</v>
      </c>
      <c r="BA228">
        <v>53</v>
      </c>
      <c r="BB228">
        <v>4</v>
      </c>
      <c r="BC228">
        <f t="shared" si="14"/>
        <v>11.382850241545915</v>
      </c>
      <c r="BD228">
        <v>137</v>
      </c>
      <c r="BE228">
        <v>6.4</v>
      </c>
      <c r="BF228">
        <v>3.8999999999999901</v>
      </c>
      <c r="BG228">
        <v>8.5</v>
      </c>
      <c r="BH228">
        <v>247</v>
      </c>
      <c r="BI228">
        <v>5.5199999999999898</v>
      </c>
      <c r="BJ228">
        <v>8.0999999999999908</v>
      </c>
      <c r="BK228">
        <v>5.5</v>
      </c>
      <c r="BL228">
        <v>7</v>
      </c>
      <c r="BM228">
        <v>0.9</v>
      </c>
      <c r="BN228">
        <v>6.7999999999999901</v>
      </c>
    </row>
    <row r="229" spans="1:66" x14ac:dyDescent="0.3">
      <c r="A229">
        <v>228</v>
      </c>
      <c r="B229" t="s">
        <v>430</v>
      </c>
      <c r="C229" s="2" t="s">
        <v>448</v>
      </c>
      <c r="D229">
        <v>51</v>
      </c>
      <c r="E229" s="1">
        <v>43854</v>
      </c>
      <c r="F229" s="1">
        <v>42961</v>
      </c>
      <c r="G229" s="1">
        <v>42963.602673611109</v>
      </c>
      <c r="H229" t="s">
        <v>17</v>
      </c>
      <c r="I229" t="s">
        <v>78</v>
      </c>
      <c r="J229" t="s">
        <v>15</v>
      </c>
      <c r="K229" t="s">
        <v>16</v>
      </c>
      <c r="L229">
        <v>55</v>
      </c>
      <c r="M229" t="s">
        <v>79</v>
      </c>
      <c r="N229" t="s">
        <v>35</v>
      </c>
      <c r="O229" t="s">
        <v>25</v>
      </c>
      <c r="P229" t="s">
        <v>16</v>
      </c>
      <c r="Q229" t="s">
        <v>16</v>
      </c>
      <c r="R229" t="s">
        <v>16</v>
      </c>
      <c r="S229" t="s">
        <v>16</v>
      </c>
      <c r="T229" t="s">
        <v>19</v>
      </c>
      <c r="U229" t="s">
        <v>16</v>
      </c>
      <c r="V229" t="s">
        <v>16</v>
      </c>
      <c r="W229" t="s">
        <v>23</v>
      </c>
      <c r="X229" t="s">
        <v>90</v>
      </c>
      <c r="Y229">
        <v>5.8000001907348597</v>
      </c>
      <c r="Z229">
        <v>3.5</v>
      </c>
      <c r="AA229">
        <v>1.29999995231628</v>
      </c>
      <c r="AB229">
        <v>1.20000004768372</v>
      </c>
      <c r="AC229">
        <v>313.99359130859398</v>
      </c>
      <c r="AD229">
        <v>128</v>
      </c>
      <c r="AE229">
        <v>1</v>
      </c>
      <c r="AF229">
        <v>67</v>
      </c>
      <c r="AG229">
        <v>114</v>
      </c>
      <c r="AH229">
        <v>8</v>
      </c>
      <c r="AI229">
        <v>7</v>
      </c>
      <c r="AJ229">
        <v>16.290000915527301</v>
      </c>
      <c r="AK229">
        <v>11</v>
      </c>
      <c r="AL229">
        <v>8</v>
      </c>
      <c r="AM229">
        <v>14.25</v>
      </c>
      <c r="AN229" t="s">
        <v>393</v>
      </c>
      <c r="AO229">
        <v>122</v>
      </c>
      <c r="AP229">
        <v>34.517881394296097</v>
      </c>
      <c r="AQ229" s="1">
        <v>43174</v>
      </c>
      <c r="AR229" s="1" t="s">
        <v>16</v>
      </c>
      <c r="AS229" s="1">
        <v>43853</v>
      </c>
      <c r="AT229" s="1">
        <v>43174</v>
      </c>
      <c r="AU229" s="1">
        <v>42422</v>
      </c>
      <c r="AV229" s="1">
        <v>42422.603554745372</v>
      </c>
      <c r="AW229" s="1">
        <v>42422</v>
      </c>
      <c r="AX229" s="1">
        <v>43089</v>
      </c>
      <c r="AY229" t="s">
        <v>16</v>
      </c>
      <c r="AZ229">
        <v>186</v>
      </c>
      <c r="BA229">
        <v>96</v>
      </c>
      <c r="BB229">
        <v>2</v>
      </c>
      <c r="BC229">
        <f t="shared" si="14"/>
        <v>32.999027473863357</v>
      </c>
      <c r="BD229">
        <v>147</v>
      </c>
      <c r="BE229">
        <v>4.2</v>
      </c>
      <c r="BF229">
        <v>2.7</v>
      </c>
      <c r="BG229">
        <v>13.8</v>
      </c>
      <c r="BH229">
        <v>120</v>
      </c>
      <c r="BI229">
        <v>4.57</v>
      </c>
      <c r="BJ229">
        <v>7.2</v>
      </c>
      <c r="BK229">
        <v>4.4000000000000004</v>
      </c>
      <c r="BL229">
        <v>8.6999999999999904</v>
      </c>
      <c r="BM229">
        <v>14.9499999999999</v>
      </c>
      <c r="BN229">
        <v>6.2999999999999901</v>
      </c>
    </row>
    <row r="230" spans="1:66" x14ac:dyDescent="0.3">
      <c r="A230">
        <v>229</v>
      </c>
      <c r="B230" t="s">
        <v>434</v>
      </c>
      <c r="C230" s="2" t="s">
        <v>448</v>
      </c>
      <c r="D230">
        <v>71</v>
      </c>
      <c r="E230" s="1">
        <v>44383</v>
      </c>
      <c r="F230" s="1">
        <v>43243</v>
      </c>
      <c r="G230" s="1">
        <v>42955.364895833336</v>
      </c>
      <c r="H230" t="s">
        <v>15</v>
      </c>
      <c r="I230" t="s">
        <v>78</v>
      </c>
      <c r="J230" t="s">
        <v>15</v>
      </c>
      <c r="K230" t="s">
        <v>16</v>
      </c>
      <c r="L230">
        <v>60</v>
      </c>
      <c r="M230" t="s">
        <v>16</v>
      </c>
      <c r="N230" t="s">
        <v>16</v>
      </c>
      <c r="O230" t="s">
        <v>17</v>
      </c>
      <c r="P230" t="s">
        <v>75</v>
      </c>
      <c r="Q230" t="s">
        <v>23</v>
      </c>
      <c r="R230" t="s">
        <v>16</v>
      </c>
      <c r="S230" t="s">
        <v>16</v>
      </c>
      <c r="T230" t="s">
        <v>18</v>
      </c>
      <c r="U230" t="s">
        <v>96</v>
      </c>
      <c r="V230" t="s">
        <v>16</v>
      </c>
      <c r="W230" t="s">
        <v>19</v>
      </c>
      <c r="X230" t="s">
        <v>87</v>
      </c>
      <c r="Y230">
        <v>4.5999999046325701</v>
      </c>
      <c r="Z230">
        <v>2.7000000476837198</v>
      </c>
      <c r="AA230">
        <v>1.5</v>
      </c>
      <c r="AB230">
        <v>1.29999995231628</v>
      </c>
      <c r="AC230">
        <v>256.76281738281301</v>
      </c>
      <c r="AD230">
        <v>140</v>
      </c>
      <c r="AE230">
        <v>1</v>
      </c>
      <c r="AF230">
        <v>53</v>
      </c>
      <c r="AG230">
        <v>42.599998474121101</v>
      </c>
      <c r="AH230">
        <v>9</v>
      </c>
      <c r="AI230">
        <v>7</v>
      </c>
      <c r="AJ230">
        <v>6.0900001525878897</v>
      </c>
      <c r="AK230">
        <v>10</v>
      </c>
      <c r="AL230">
        <v>6</v>
      </c>
      <c r="AM230">
        <v>7.0999999046325701</v>
      </c>
      <c r="AN230" t="s">
        <v>394</v>
      </c>
      <c r="AO230">
        <v>70</v>
      </c>
      <c r="AP230">
        <v>22.8571428571429</v>
      </c>
      <c r="AQ230" s="1" t="s">
        <v>16</v>
      </c>
      <c r="AR230" s="1" t="s">
        <v>16</v>
      </c>
      <c r="AS230" s="1">
        <v>43745</v>
      </c>
      <c r="AT230" s="1">
        <v>44371</v>
      </c>
      <c r="AU230" s="1">
        <v>42956</v>
      </c>
      <c r="AV230" s="1"/>
      <c r="AW230" s="1">
        <v>44005</v>
      </c>
      <c r="AX230" s="1">
        <v>43065</v>
      </c>
      <c r="AY230" t="s">
        <v>16</v>
      </c>
      <c r="AZ230">
        <v>133</v>
      </c>
      <c r="BA230">
        <v>67</v>
      </c>
      <c r="BB230">
        <v>0</v>
      </c>
      <c r="BC230">
        <f t="shared" si="14"/>
        <v>9.4750470809792837</v>
      </c>
      <c r="BD230">
        <v>139</v>
      </c>
      <c r="BE230">
        <v>4.9000000000000004</v>
      </c>
      <c r="BF230">
        <v>2.2999999999999901</v>
      </c>
      <c r="BG230">
        <v>11.3</v>
      </c>
      <c r="BH230">
        <v>174</v>
      </c>
      <c r="BI230">
        <v>7.08</v>
      </c>
      <c r="BJ230">
        <v>7.7</v>
      </c>
      <c r="BK230">
        <v>6.5999999999999899</v>
      </c>
      <c r="BL230">
        <v>6.2</v>
      </c>
      <c r="BM230">
        <v>95.17</v>
      </c>
      <c r="BN230">
        <v>5.2999999999999901</v>
      </c>
    </row>
    <row r="231" spans="1:66" x14ac:dyDescent="0.3">
      <c r="A231">
        <v>230</v>
      </c>
      <c r="B231" t="s">
        <v>430</v>
      </c>
      <c r="C231" s="2" t="s">
        <v>449</v>
      </c>
      <c r="D231">
        <v>61</v>
      </c>
      <c r="E231" s="1">
        <v>41166</v>
      </c>
      <c r="F231" s="1">
        <v>40045</v>
      </c>
      <c r="G231" s="1">
        <v>40092.48170138889</v>
      </c>
      <c r="H231" t="s">
        <v>15</v>
      </c>
      <c r="I231" t="s">
        <v>78</v>
      </c>
      <c r="J231" t="s">
        <v>24</v>
      </c>
      <c r="K231" t="s">
        <v>16</v>
      </c>
      <c r="L231">
        <v>50</v>
      </c>
      <c r="M231" t="s">
        <v>15</v>
      </c>
      <c r="N231" t="s">
        <v>15</v>
      </c>
      <c r="O231" t="s">
        <v>17</v>
      </c>
      <c r="P231" t="s">
        <v>15</v>
      </c>
      <c r="Q231" t="s">
        <v>33</v>
      </c>
      <c r="R231" t="s">
        <v>16</v>
      </c>
      <c r="S231" t="s">
        <v>15</v>
      </c>
      <c r="T231" t="s">
        <v>36</v>
      </c>
      <c r="U231" t="s">
        <v>16</v>
      </c>
      <c r="V231" t="s">
        <v>93</v>
      </c>
      <c r="W231" t="s">
        <v>33</v>
      </c>
      <c r="X231" t="s">
        <v>16</v>
      </c>
      <c r="Y231">
        <v>4.9000000953674299</v>
      </c>
      <c r="Z231">
        <v>3.7000000476837198</v>
      </c>
      <c r="AA231">
        <v>1.20000004768372</v>
      </c>
      <c r="AB231">
        <v>1.20000004768372</v>
      </c>
      <c r="AC231">
        <v>226</v>
      </c>
      <c r="AD231">
        <v>122</v>
      </c>
      <c r="AE231">
        <v>1.25</v>
      </c>
      <c r="AF231" t="s">
        <v>16</v>
      </c>
      <c r="AG231">
        <v>84</v>
      </c>
      <c r="AH231" t="s">
        <v>16</v>
      </c>
      <c r="AI231" t="s">
        <v>16</v>
      </c>
      <c r="AJ231" t="s">
        <v>16</v>
      </c>
      <c r="AK231" t="s">
        <v>16</v>
      </c>
      <c r="AL231" t="s">
        <v>16</v>
      </c>
      <c r="AM231" t="s">
        <v>16</v>
      </c>
      <c r="AN231" t="s">
        <v>395</v>
      </c>
      <c r="AO231">
        <v>76</v>
      </c>
      <c r="AP231" t="s">
        <v>16</v>
      </c>
      <c r="AQ231" s="1">
        <v>40139</v>
      </c>
      <c r="AR231" s="1">
        <v>40140</v>
      </c>
      <c r="AS231" s="1">
        <v>39980</v>
      </c>
      <c r="AT231" s="1" t="s">
        <v>16</v>
      </c>
      <c r="AU231" s="1">
        <v>39980</v>
      </c>
      <c r="AV231" s="1">
        <v>39980.606096180563</v>
      </c>
      <c r="AW231" s="1">
        <v>39980</v>
      </c>
      <c r="AX231" s="1" t="s">
        <v>16</v>
      </c>
      <c r="AY231" t="s">
        <v>16</v>
      </c>
      <c r="AZ231">
        <v>141</v>
      </c>
      <c r="BA231">
        <v>59</v>
      </c>
      <c r="BB231">
        <v>10</v>
      </c>
      <c r="BC231">
        <f t="shared" si="14"/>
        <v>7.5601893824922612</v>
      </c>
      <c r="BD231">
        <v>144</v>
      </c>
      <c r="BE231">
        <v>5.7</v>
      </c>
      <c r="BF231">
        <v>3.6</v>
      </c>
      <c r="BG231">
        <v>11.9</v>
      </c>
      <c r="BH231">
        <v>157</v>
      </c>
      <c r="BI231">
        <v>11.0299999999999</v>
      </c>
      <c r="BJ231">
        <v>8.8000000000000007</v>
      </c>
      <c r="BK231">
        <v>7.0599999999999898</v>
      </c>
      <c r="BL231">
        <v>6.7</v>
      </c>
      <c r="BM231">
        <v>23.1999999999999</v>
      </c>
      <c r="BN231">
        <v>8.5999999999999908</v>
      </c>
    </row>
    <row r="232" spans="1:66" x14ac:dyDescent="0.3">
      <c r="A232">
        <v>231</v>
      </c>
      <c r="B232" t="s">
        <v>430</v>
      </c>
      <c r="C232" s="2" t="s">
        <v>448</v>
      </c>
      <c r="D232">
        <v>49</v>
      </c>
      <c r="E232" s="1" t="s">
        <v>16</v>
      </c>
      <c r="F232" s="1">
        <v>40735</v>
      </c>
      <c r="G232" s="1">
        <v>40792.565208333333</v>
      </c>
      <c r="H232" t="s">
        <v>15</v>
      </c>
      <c r="I232" t="s">
        <v>16</v>
      </c>
      <c r="J232" t="s">
        <v>15</v>
      </c>
      <c r="K232" t="s">
        <v>16</v>
      </c>
      <c r="L232">
        <v>60</v>
      </c>
      <c r="M232" t="s">
        <v>15</v>
      </c>
      <c r="N232" t="s">
        <v>15</v>
      </c>
      <c r="O232" t="s">
        <v>17</v>
      </c>
      <c r="P232" t="s">
        <v>16</v>
      </c>
      <c r="Q232" t="s">
        <v>19</v>
      </c>
      <c r="R232" t="s">
        <v>16</v>
      </c>
      <c r="S232" t="s">
        <v>196</v>
      </c>
      <c r="T232" t="s">
        <v>18</v>
      </c>
      <c r="U232" t="s">
        <v>328</v>
      </c>
      <c r="V232" t="s">
        <v>16</v>
      </c>
      <c r="W232" t="s">
        <v>18</v>
      </c>
      <c r="X232" t="s">
        <v>15</v>
      </c>
      <c r="Y232">
        <v>5.3000001907348597</v>
      </c>
      <c r="Z232">
        <v>3.0999999046325701</v>
      </c>
      <c r="AA232">
        <v>1</v>
      </c>
      <c r="AB232">
        <v>1</v>
      </c>
      <c r="AC232">
        <v>200.396484375</v>
      </c>
      <c r="AD232">
        <v>105</v>
      </c>
      <c r="AE232">
        <v>1</v>
      </c>
      <c r="AF232">
        <v>22</v>
      </c>
      <c r="AG232" t="s">
        <v>16</v>
      </c>
      <c r="AH232" t="s">
        <v>16</v>
      </c>
      <c r="AI232" t="s">
        <v>16</v>
      </c>
      <c r="AJ232" t="s">
        <v>16</v>
      </c>
      <c r="AK232" t="s">
        <v>16</v>
      </c>
      <c r="AL232" t="s">
        <v>16</v>
      </c>
      <c r="AM232" t="s">
        <v>16</v>
      </c>
      <c r="AN232" t="s">
        <v>396</v>
      </c>
      <c r="AO232">
        <v>65</v>
      </c>
      <c r="AP232">
        <v>20.983987603305799</v>
      </c>
      <c r="AQ232" s="1">
        <v>43122</v>
      </c>
      <c r="AR232" s="1" t="s">
        <v>16</v>
      </c>
      <c r="AS232" s="1">
        <v>43101</v>
      </c>
      <c r="AT232" s="1">
        <v>44189</v>
      </c>
      <c r="AU232" s="1">
        <v>40736</v>
      </c>
      <c r="AV232" s="1"/>
      <c r="AW232" s="1">
        <v>39877</v>
      </c>
      <c r="AX232" s="1" t="s">
        <v>16</v>
      </c>
      <c r="AY232" t="s">
        <v>16</v>
      </c>
      <c r="AZ232">
        <v>145</v>
      </c>
      <c r="BA232">
        <v>96</v>
      </c>
      <c r="BB232">
        <v>0</v>
      </c>
      <c r="BC232">
        <f t="shared" si="14"/>
        <v>10.067742374727668</v>
      </c>
      <c r="BD232">
        <v>139</v>
      </c>
      <c r="BE232">
        <v>3.8999999999999901</v>
      </c>
      <c r="BF232">
        <v>4.5</v>
      </c>
      <c r="BG232">
        <v>15.1999999999999</v>
      </c>
      <c r="BH232">
        <v>169</v>
      </c>
      <c r="BI232">
        <v>8.16</v>
      </c>
      <c r="BJ232">
        <v>8.9</v>
      </c>
      <c r="BK232">
        <v>5.0999999999999899</v>
      </c>
      <c r="BL232">
        <v>9</v>
      </c>
      <c r="BM232">
        <v>5.4</v>
      </c>
      <c r="BN232">
        <v>6.0999999999999899</v>
      </c>
    </row>
    <row r="233" spans="1:66" x14ac:dyDescent="0.3">
      <c r="A233">
        <v>232</v>
      </c>
      <c r="B233" t="s">
        <v>430</v>
      </c>
      <c r="C233" s="2" t="s">
        <v>448</v>
      </c>
      <c r="D233">
        <v>74</v>
      </c>
      <c r="E233" s="1">
        <v>45076</v>
      </c>
      <c r="F233" s="1">
        <v>43622</v>
      </c>
      <c r="G233" s="1">
        <v>43626.468425925923</v>
      </c>
      <c r="H233" t="s">
        <v>15</v>
      </c>
      <c r="I233" t="s">
        <v>16</v>
      </c>
      <c r="J233" t="s">
        <v>15</v>
      </c>
      <c r="K233" t="s">
        <v>145</v>
      </c>
      <c r="L233">
        <v>60</v>
      </c>
      <c r="M233" t="s">
        <v>15</v>
      </c>
      <c r="N233" t="s">
        <v>15</v>
      </c>
      <c r="O233" t="s">
        <v>17</v>
      </c>
      <c r="P233" t="s">
        <v>15</v>
      </c>
      <c r="Q233" t="s">
        <v>16</v>
      </c>
      <c r="R233" t="s">
        <v>16</v>
      </c>
      <c r="S233" t="s">
        <v>16</v>
      </c>
      <c r="T233" t="s">
        <v>19</v>
      </c>
      <c r="U233" t="s">
        <v>16</v>
      </c>
      <c r="V233" t="s">
        <v>16</v>
      </c>
      <c r="W233" t="s">
        <v>18</v>
      </c>
      <c r="X233" t="s">
        <v>16</v>
      </c>
      <c r="Y233">
        <v>5.21000003814697</v>
      </c>
      <c r="Z233">
        <v>3.3299999237060498</v>
      </c>
      <c r="AA233">
        <v>1.1499999761581401</v>
      </c>
      <c r="AB233">
        <v>0.91000002622604403</v>
      </c>
      <c r="AC233">
        <v>202.62609863281301</v>
      </c>
      <c r="AD233">
        <v>102</v>
      </c>
      <c r="AE233">
        <v>1</v>
      </c>
      <c r="AF233" t="s">
        <v>16</v>
      </c>
      <c r="AG233">
        <v>49</v>
      </c>
      <c r="AH233">
        <v>9.5699996948242205</v>
      </c>
      <c r="AI233">
        <v>4.6799998283386204</v>
      </c>
      <c r="AJ233">
        <v>10.4700002670288</v>
      </c>
      <c r="AK233">
        <v>6.6399998664856001</v>
      </c>
      <c r="AL233">
        <v>4.2399997711181596</v>
      </c>
      <c r="AM233">
        <v>11.560000419616699</v>
      </c>
      <c r="AN233" t="s">
        <v>397</v>
      </c>
      <c r="AO233">
        <v>84</v>
      </c>
      <c r="AP233">
        <v>27.117768595041301</v>
      </c>
      <c r="AQ233" s="1" t="s">
        <v>16</v>
      </c>
      <c r="AR233" s="1">
        <v>43626</v>
      </c>
      <c r="AS233" s="1" t="s">
        <v>16</v>
      </c>
      <c r="AT233" s="1" t="s">
        <v>16</v>
      </c>
      <c r="AU233" s="1">
        <v>43626</v>
      </c>
      <c r="AV233" s="1"/>
      <c r="AW233" s="1" t="s">
        <v>16</v>
      </c>
      <c r="AX233" s="1" t="s">
        <v>16</v>
      </c>
      <c r="AY233" t="s">
        <v>21</v>
      </c>
      <c r="AZ233">
        <v>185</v>
      </c>
      <c r="BA233">
        <v>79</v>
      </c>
      <c r="BB233">
        <v>1</v>
      </c>
      <c r="BC233">
        <f t="shared" si="14"/>
        <v>12.164296998420221</v>
      </c>
      <c r="BD233">
        <v>138</v>
      </c>
      <c r="BE233">
        <v>3.7999999999999901</v>
      </c>
      <c r="BF233">
        <v>3.1</v>
      </c>
      <c r="BG233">
        <v>11</v>
      </c>
      <c r="BH233">
        <v>169</v>
      </c>
      <c r="BI233">
        <v>6.33</v>
      </c>
      <c r="BJ233">
        <v>8.8000000000000007</v>
      </c>
      <c r="BK233">
        <v>5.4</v>
      </c>
      <c r="BL233">
        <v>7.9</v>
      </c>
      <c r="BM233">
        <v>22.41</v>
      </c>
      <c r="BN233">
        <v>6.4</v>
      </c>
    </row>
    <row r="234" spans="1:66" x14ac:dyDescent="0.3">
      <c r="A234">
        <v>233</v>
      </c>
      <c r="B234" t="s">
        <v>434</v>
      </c>
      <c r="C234" s="2" t="s">
        <v>449</v>
      </c>
      <c r="D234">
        <v>26</v>
      </c>
      <c r="E234" s="1" t="s">
        <v>16</v>
      </c>
      <c r="F234" s="1">
        <v>43839</v>
      </c>
      <c r="G234" s="1">
        <v>43669.534525462965</v>
      </c>
      <c r="H234" t="s">
        <v>17</v>
      </c>
      <c r="I234" t="s">
        <v>90</v>
      </c>
      <c r="J234" t="s">
        <v>35</v>
      </c>
      <c r="K234" t="s">
        <v>16</v>
      </c>
      <c r="L234">
        <v>15</v>
      </c>
      <c r="M234" t="s">
        <v>15</v>
      </c>
      <c r="N234" t="s">
        <v>28</v>
      </c>
      <c r="O234" t="s">
        <v>17</v>
      </c>
      <c r="P234" t="s">
        <v>85</v>
      </c>
      <c r="Q234" t="s">
        <v>18</v>
      </c>
      <c r="R234" t="s">
        <v>16</v>
      </c>
      <c r="S234" t="s">
        <v>16</v>
      </c>
      <c r="T234" t="s">
        <v>23</v>
      </c>
      <c r="U234" t="s">
        <v>16</v>
      </c>
      <c r="V234" t="s">
        <v>16</v>
      </c>
      <c r="W234" t="s">
        <v>19</v>
      </c>
      <c r="X234" t="s">
        <v>78</v>
      </c>
      <c r="Y234">
        <v>4.5</v>
      </c>
      <c r="Z234">
        <v>3.9000000953674299</v>
      </c>
      <c r="AA234">
        <v>1.79999995231628</v>
      </c>
      <c r="AB234">
        <v>1.5</v>
      </c>
      <c r="AC234">
        <v>319.61126708984398</v>
      </c>
      <c r="AD234">
        <v>240</v>
      </c>
      <c r="AE234">
        <v>1</v>
      </c>
      <c r="AF234">
        <v>42</v>
      </c>
      <c r="AG234">
        <v>110</v>
      </c>
      <c r="AH234">
        <v>4</v>
      </c>
      <c r="AI234">
        <v>5.1999998092651403</v>
      </c>
      <c r="AJ234">
        <v>21.149999618530298</v>
      </c>
      <c r="AK234">
        <v>3.2999999523162802</v>
      </c>
      <c r="AL234">
        <v>6</v>
      </c>
      <c r="AM234">
        <v>18.329999923706101</v>
      </c>
      <c r="AN234" t="s">
        <v>398</v>
      </c>
      <c r="AO234">
        <v>45</v>
      </c>
      <c r="AP234">
        <v>21.7013888888889</v>
      </c>
      <c r="AQ234" s="1" t="s">
        <v>16</v>
      </c>
      <c r="AR234" s="1" t="s">
        <v>16</v>
      </c>
      <c r="AS234" s="1" t="s">
        <v>16</v>
      </c>
      <c r="AT234" s="1" t="s">
        <v>16</v>
      </c>
      <c r="AU234" s="1">
        <v>43669</v>
      </c>
      <c r="AV234" s="1"/>
      <c r="AW234" s="1">
        <v>44812</v>
      </c>
      <c r="AX234" s="1" t="s">
        <v>16</v>
      </c>
      <c r="AY234" t="s">
        <v>16</v>
      </c>
      <c r="AZ234">
        <v>168</v>
      </c>
      <c r="BA234">
        <v>126</v>
      </c>
      <c r="BB234">
        <v>1</v>
      </c>
      <c r="BC234">
        <f t="shared" si="14"/>
        <v>12.391304347826088</v>
      </c>
      <c r="BD234">
        <v>140</v>
      </c>
      <c r="BE234">
        <v>4.5999999999999899</v>
      </c>
      <c r="BF234">
        <v>3</v>
      </c>
      <c r="BG234">
        <v>14</v>
      </c>
      <c r="BH234">
        <v>240</v>
      </c>
      <c r="BI234">
        <v>5.75</v>
      </c>
      <c r="BJ234">
        <v>6.0999999999999899</v>
      </c>
      <c r="BK234">
        <v>10.9</v>
      </c>
      <c r="BL234">
        <v>18.5</v>
      </c>
      <c r="BM234">
        <v>31.52</v>
      </c>
      <c r="BN234">
        <v>5.2999999999999901</v>
      </c>
    </row>
    <row r="235" spans="1:66" x14ac:dyDescent="0.3">
      <c r="A235">
        <v>234</v>
      </c>
      <c r="B235" t="s">
        <v>430</v>
      </c>
      <c r="C235" s="2" t="s">
        <v>449</v>
      </c>
      <c r="D235">
        <v>68</v>
      </c>
      <c r="E235" s="1">
        <v>44972</v>
      </c>
      <c r="F235" s="1">
        <v>43722</v>
      </c>
      <c r="G235" s="1">
        <v>43726.374050925922</v>
      </c>
      <c r="H235" t="s">
        <v>31</v>
      </c>
      <c r="I235" t="s">
        <v>15</v>
      </c>
      <c r="J235" t="s">
        <v>30</v>
      </c>
      <c r="K235" t="s">
        <v>16</v>
      </c>
      <c r="L235">
        <v>35</v>
      </c>
      <c r="M235" t="s">
        <v>16</v>
      </c>
      <c r="N235" t="s">
        <v>16</v>
      </c>
      <c r="O235" t="s">
        <v>17</v>
      </c>
      <c r="P235" t="s">
        <v>75</v>
      </c>
      <c r="Q235" t="s">
        <v>18</v>
      </c>
      <c r="R235" t="s">
        <v>16</v>
      </c>
      <c r="S235" t="s">
        <v>75</v>
      </c>
      <c r="T235" t="s">
        <v>34</v>
      </c>
      <c r="U235" t="s">
        <v>16</v>
      </c>
      <c r="V235" t="s">
        <v>16</v>
      </c>
      <c r="W235" t="s">
        <v>29</v>
      </c>
      <c r="X235" t="s">
        <v>78</v>
      </c>
      <c r="Y235">
        <v>6.78999996185303</v>
      </c>
      <c r="Z235">
        <v>5.0999999046325701</v>
      </c>
      <c r="AA235">
        <v>0.75999999046325695</v>
      </c>
      <c r="AB235">
        <v>0.74000000953674305</v>
      </c>
      <c r="AC235">
        <v>214.15438842773401</v>
      </c>
      <c r="AD235" t="s">
        <v>16</v>
      </c>
      <c r="AE235">
        <v>2.1900000572204599</v>
      </c>
      <c r="AF235">
        <v>49</v>
      </c>
      <c r="AG235">
        <v>116</v>
      </c>
      <c r="AH235">
        <v>6</v>
      </c>
      <c r="AI235">
        <v>5</v>
      </c>
      <c r="AJ235">
        <v>23.200000762939499</v>
      </c>
      <c r="AK235">
        <v>12</v>
      </c>
      <c r="AL235">
        <v>7</v>
      </c>
      <c r="AM235">
        <v>16.569999694824201</v>
      </c>
      <c r="AN235" t="s">
        <v>399</v>
      </c>
      <c r="AO235">
        <v>81.8</v>
      </c>
      <c r="AP235">
        <v>33.612754766600901</v>
      </c>
      <c r="AQ235" s="1">
        <v>43723</v>
      </c>
      <c r="AR235" s="1" t="s">
        <v>16</v>
      </c>
      <c r="AS235" s="1">
        <v>43633</v>
      </c>
      <c r="AT235" s="1">
        <v>43726</v>
      </c>
      <c r="AU235" s="1">
        <v>43726</v>
      </c>
      <c r="AV235" s="1"/>
      <c r="AW235" s="1">
        <v>43726</v>
      </c>
      <c r="AX235" s="1" t="s">
        <v>16</v>
      </c>
      <c r="AY235" t="s">
        <v>16</v>
      </c>
      <c r="AZ235">
        <v>125</v>
      </c>
      <c r="BA235">
        <v>54</v>
      </c>
      <c r="BB235">
        <v>3</v>
      </c>
      <c r="BC235">
        <f t="shared" si="14"/>
        <v>12.604006163328195</v>
      </c>
      <c r="BF235">
        <v>2.8999999999999901</v>
      </c>
      <c r="BG235">
        <v>10.6999999999999</v>
      </c>
      <c r="BH235">
        <v>340</v>
      </c>
      <c r="BI235">
        <v>6.49</v>
      </c>
      <c r="BJ235">
        <v>7.5</v>
      </c>
      <c r="BK235">
        <v>9</v>
      </c>
      <c r="BL235">
        <v>8.9</v>
      </c>
      <c r="BM235">
        <v>162.16</v>
      </c>
      <c r="BN235">
        <v>7.5999999999999899</v>
      </c>
    </row>
    <row r="236" spans="1:66" s="2" customFormat="1" x14ac:dyDescent="0.3">
      <c r="A236">
        <v>235</v>
      </c>
      <c r="B236" s="2" t="s">
        <v>430</v>
      </c>
      <c r="C236" s="2" t="s">
        <v>449</v>
      </c>
      <c r="D236" s="2">
        <v>61</v>
      </c>
      <c r="E236" s="3">
        <v>45341</v>
      </c>
      <c r="F236" s="3">
        <v>45233</v>
      </c>
      <c r="G236" s="3">
        <v>45253.52480324074</v>
      </c>
      <c r="H236" s="2" t="s">
        <v>17</v>
      </c>
      <c r="I236" s="2" t="s">
        <v>15</v>
      </c>
      <c r="J236" s="2" t="s">
        <v>35</v>
      </c>
      <c r="K236" s="2" t="s">
        <v>16</v>
      </c>
      <c r="L236" s="2">
        <v>10</v>
      </c>
      <c r="M236" s="2" t="s">
        <v>17</v>
      </c>
      <c r="N236" s="2" t="s">
        <v>35</v>
      </c>
      <c r="O236" s="2" t="s">
        <v>17</v>
      </c>
      <c r="P236" s="2" t="s">
        <v>75</v>
      </c>
      <c r="Q236" s="2" t="s">
        <v>18</v>
      </c>
      <c r="R236" s="2" t="s">
        <v>16</v>
      </c>
      <c r="S236" s="2" t="s">
        <v>75</v>
      </c>
      <c r="T236" s="2" t="s">
        <v>34</v>
      </c>
      <c r="U236" s="2" t="s">
        <v>96</v>
      </c>
      <c r="V236" s="2" t="s">
        <v>93</v>
      </c>
      <c r="W236" s="2" t="s">
        <v>34</v>
      </c>
      <c r="X236" s="2" t="s">
        <v>90</v>
      </c>
      <c r="Y236" s="2">
        <v>6.3200001716613796</v>
      </c>
      <c r="Z236" s="2">
        <v>5.9299998283386204</v>
      </c>
      <c r="AA236" s="2">
        <v>0.85000002384185802</v>
      </c>
      <c r="AB236" s="2">
        <v>0.87000000476837203</v>
      </c>
      <c r="AC236" s="2">
        <v>222.97903442382801</v>
      </c>
      <c r="AD236" s="2">
        <v>138</v>
      </c>
      <c r="AE236" s="2">
        <v>2</v>
      </c>
      <c r="AF236" s="2">
        <v>61</v>
      </c>
      <c r="AG236" s="2">
        <v>96.699996948242202</v>
      </c>
      <c r="AH236" s="2" t="s">
        <v>16</v>
      </c>
      <c r="AI236" s="2">
        <v>2.4200000762939502</v>
      </c>
      <c r="AJ236" s="2">
        <v>39.959999084472699</v>
      </c>
      <c r="AK236" s="2">
        <v>3.8800001144409202</v>
      </c>
      <c r="AL236" s="2">
        <v>3.4900000095367401</v>
      </c>
      <c r="AM236" s="2">
        <v>27.709999084472699</v>
      </c>
      <c r="AN236" s="2" t="s">
        <v>400</v>
      </c>
      <c r="AO236" s="2">
        <v>57.6</v>
      </c>
      <c r="AP236" s="2">
        <v>20.408163265306101</v>
      </c>
      <c r="AQ236" s="3" t="s">
        <v>16</v>
      </c>
      <c r="AR236" s="3" t="s">
        <v>16</v>
      </c>
      <c r="AS236" s="3">
        <v>45119</v>
      </c>
      <c r="AT236" s="3">
        <v>45259</v>
      </c>
      <c r="AU236" s="3">
        <v>45119</v>
      </c>
      <c r="AV236" s="1">
        <v>45119.46361327546</v>
      </c>
      <c r="AW236" s="3">
        <v>45244</v>
      </c>
      <c r="AX236" s="3" t="s">
        <v>16</v>
      </c>
      <c r="AY236" s="2" t="s">
        <v>16</v>
      </c>
      <c r="AZ236" s="2">
        <v>101</v>
      </c>
      <c r="BA236" s="2">
        <v>64</v>
      </c>
      <c r="BB236" s="2">
        <v>1</v>
      </c>
      <c r="BC236">
        <f t="shared" si="14"/>
        <v>17.802816901408502</v>
      </c>
      <c r="BD236" s="2">
        <v>137</v>
      </c>
      <c r="BE236" s="2">
        <v>5</v>
      </c>
      <c r="BF236" s="2">
        <v>3</v>
      </c>
      <c r="BG236" s="2">
        <v>12.6999999999999</v>
      </c>
      <c r="BH236" s="2">
        <v>192</v>
      </c>
      <c r="BI236" s="2">
        <v>3.5499999999999901</v>
      </c>
      <c r="BJ236" s="2">
        <v>8.5999999999999908</v>
      </c>
      <c r="BK236" s="2">
        <v>5.7999999999999901</v>
      </c>
      <c r="BL236" s="2">
        <v>8.3000000000000007</v>
      </c>
      <c r="BM236" s="2">
        <v>84.049999999999898</v>
      </c>
      <c r="BN236" s="2">
        <v>6.7999999999999901</v>
      </c>
    </row>
    <row r="237" spans="1:66" x14ac:dyDescent="0.3">
      <c r="A237">
        <v>236</v>
      </c>
      <c r="B237" t="s">
        <v>430</v>
      </c>
      <c r="C237" s="2" t="s">
        <v>449</v>
      </c>
      <c r="D237">
        <v>70</v>
      </c>
      <c r="E237" s="1">
        <v>45172</v>
      </c>
      <c r="F237" s="1">
        <v>43025</v>
      </c>
      <c r="G237" s="1">
        <v>43003.354409722226</v>
      </c>
      <c r="H237" t="s">
        <v>16</v>
      </c>
      <c r="I237" t="s">
        <v>16</v>
      </c>
      <c r="J237" t="s">
        <v>16</v>
      </c>
      <c r="K237" t="s">
        <v>74</v>
      </c>
      <c r="L237">
        <v>60</v>
      </c>
      <c r="M237" t="s">
        <v>16</v>
      </c>
      <c r="N237" t="s">
        <v>16</v>
      </c>
      <c r="O237" t="s">
        <v>17</v>
      </c>
      <c r="P237" t="s">
        <v>75</v>
      </c>
      <c r="Q237" t="s">
        <v>33</v>
      </c>
      <c r="R237" t="s">
        <v>16</v>
      </c>
      <c r="S237" t="s">
        <v>92</v>
      </c>
      <c r="T237" t="s">
        <v>18</v>
      </c>
      <c r="U237" t="s">
        <v>132</v>
      </c>
      <c r="V237" t="s">
        <v>16</v>
      </c>
      <c r="W237" t="s">
        <v>19</v>
      </c>
      <c r="X237" t="s">
        <v>15</v>
      </c>
      <c r="Y237">
        <v>4.8400001525878897</v>
      </c>
      <c r="Z237">
        <v>3.03999996185303</v>
      </c>
      <c r="AA237">
        <v>1.21000003814697</v>
      </c>
      <c r="AB237">
        <v>0.94999998807907104</v>
      </c>
      <c r="AC237">
        <v>191.64392089843801</v>
      </c>
      <c r="AD237">
        <v>99</v>
      </c>
      <c r="AE237">
        <v>1</v>
      </c>
      <c r="AF237">
        <v>25</v>
      </c>
      <c r="AG237">
        <v>119</v>
      </c>
      <c r="AH237">
        <v>5.6199998855590803</v>
      </c>
      <c r="AI237">
        <v>4.6199998855590803</v>
      </c>
      <c r="AJ237">
        <v>25.7600002288818</v>
      </c>
      <c r="AK237">
        <v>8.4300003051757795</v>
      </c>
      <c r="AL237">
        <v>4.5599999427795401</v>
      </c>
      <c r="AM237">
        <v>26.100000381469702</v>
      </c>
      <c r="AN237" t="s">
        <v>401</v>
      </c>
      <c r="AO237">
        <v>90</v>
      </c>
      <c r="AP237">
        <v>35.599857600569599</v>
      </c>
      <c r="AQ237" s="1" t="s">
        <v>16</v>
      </c>
      <c r="AR237" s="1" t="s">
        <v>16</v>
      </c>
      <c r="AS237" s="1" t="s">
        <v>16</v>
      </c>
      <c r="AT237" s="1" t="s">
        <v>16</v>
      </c>
      <c r="AU237" s="1">
        <v>42918</v>
      </c>
      <c r="AV237" s="1"/>
      <c r="AW237" s="1" t="s">
        <v>16</v>
      </c>
      <c r="AX237" s="1" t="s">
        <v>16</v>
      </c>
      <c r="AY237" t="s">
        <v>16</v>
      </c>
      <c r="AZ237">
        <v>151</v>
      </c>
      <c r="BA237">
        <v>63</v>
      </c>
      <c r="BB237">
        <v>0</v>
      </c>
      <c r="BC237">
        <f t="shared" si="14"/>
        <v>10.542168674698795</v>
      </c>
      <c r="BD237">
        <v>135</v>
      </c>
      <c r="BE237">
        <v>5.2</v>
      </c>
      <c r="BF237">
        <v>2.2000000000000002</v>
      </c>
      <c r="BG237">
        <v>9.5999999999999908</v>
      </c>
      <c r="BH237">
        <v>273</v>
      </c>
      <c r="BI237">
        <v>8.3000000000000007</v>
      </c>
      <c r="BJ237">
        <v>7.7999999999999901</v>
      </c>
      <c r="BK237">
        <v>11.1999999999999</v>
      </c>
      <c r="BL237">
        <v>9.8000000000000007</v>
      </c>
      <c r="BM237">
        <v>88.549999999999898</v>
      </c>
    </row>
    <row r="238" spans="1:66" x14ac:dyDescent="0.3">
      <c r="A238">
        <v>237</v>
      </c>
      <c r="B238" t="s">
        <v>434</v>
      </c>
      <c r="C238" s="2" t="s">
        <v>449</v>
      </c>
      <c r="D238">
        <v>91</v>
      </c>
      <c r="E238" s="1">
        <v>44681</v>
      </c>
      <c r="F238" s="1">
        <v>43328</v>
      </c>
      <c r="G238" s="1">
        <v>43221.369456018518</v>
      </c>
      <c r="H238" t="s">
        <v>15</v>
      </c>
      <c r="I238" t="s">
        <v>15</v>
      </c>
      <c r="J238" t="s">
        <v>24</v>
      </c>
      <c r="K238" t="s">
        <v>16</v>
      </c>
      <c r="L238">
        <v>53</v>
      </c>
      <c r="M238" t="s">
        <v>16</v>
      </c>
      <c r="N238" t="s">
        <v>16</v>
      </c>
      <c r="O238" t="s">
        <v>17</v>
      </c>
      <c r="P238" t="s">
        <v>75</v>
      </c>
      <c r="Q238" t="s">
        <v>16</v>
      </c>
      <c r="R238" t="s">
        <v>16</v>
      </c>
      <c r="S238" t="s">
        <v>16</v>
      </c>
      <c r="T238" t="s">
        <v>18</v>
      </c>
      <c r="U238" t="s">
        <v>96</v>
      </c>
      <c r="V238" t="s">
        <v>16</v>
      </c>
      <c r="W238" t="s">
        <v>18</v>
      </c>
      <c r="X238" t="s">
        <v>15</v>
      </c>
      <c r="Y238">
        <v>5.3099999427795401</v>
      </c>
      <c r="Z238">
        <v>3.6800000667571999</v>
      </c>
      <c r="AA238">
        <v>1</v>
      </c>
      <c r="AB238">
        <v>1.04999995231628</v>
      </c>
      <c r="AC238">
        <v>207.74050903320301</v>
      </c>
      <c r="AD238">
        <v>126</v>
      </c>
      <c r="AE238">
        <v>1</v>
      </c>
      <c r="AF238">
        <v>32</v>
      </c>
      <c r="AG238">
        <v>49.900001525878899</v>
      </c>
      <c r="AH238">
        <v>6.5500001907348597</v>
      </c>
      <c r="AI238">
        <v>5.1500000953674299</v>
      </c>
      <c r="AJ238">
        <v>9.6899995803833008</v>
      </c>
      <c r="AK238">
        <v>7.6399998664856001</v>
      </c>
      <c r="AL238">
        <v>5.53999996185303</v>
      </c>
      <c r="AM238">
        <v>9.0100002288818395</v>
      </c>
      <c r="AN238" t="s">
        <v>402</v>
      </c>
      <c r="AO238">
        <v>75</v>
      </c>
      <c r="AP238">
        <v>33.3333333333333</v>
      </c>
      <c r="AQ238" s="1" t="s">
        <v>16</v>
      </c>
      <c r="AR238" s="1" t="s">
        <v>16</v>
      </c>
      <c r="AS238" s="1" t="s">
        <v>16</v>
      </c>
      <c r="AT238" s="1">
        <v>40142</v>
      </c>
      <c r="AU238" s="1">
        <v>40990</v>
      </c>
      <c r="AV238" s="1">
        <v>40990.390403668978</v>
      </c>
      <c r="AW238" s="1">
        <v>41603</v>
      </c>
      <c r="AX238" s="1" t="s">
        <v>16</v>
      </c>
      <c r="AY238" t="s">
        <v>16</v>
      </c>
      <c r="AZ238">
        <v>168</v>
      </c>
      <c r="BA238">
        <v>69</v>
      </c>
      <c r="BB238">
        <v>1</v>
      </c>
      <c r="BC238">
        <f t="shared" si="14"/>
        <v>12.987701441899913</v>
      </c>
      <c r="BD238">
        <v>137</v>
      </c>
      <c r="BE238">
        <v>4.5</v>
      </c>
      <c r="BF238">
        <v>2.2000000000000002</v>
      </c>
      <c r="BG238">
        <v>10.1</v>
      </c>
      <c r="BH238">
        <v>136</v>
      </c>
      <c r="BI238">
        <v>3.93</v>
      </c>
      <c r="BJ238">
        <v>7.9</v>
      </c>
      <c r="BK238">
        <v>6.0999999999999899</v>
      </c>
      <c r="BL238">
        <v>6.4</v>
      </c>
      <c r="BM238">
        <v>41.759999999999899</v>
      </c>
      <c r="BN238">
        <v>5.7999999999999901</v>
      </c>
    </row>
    <row r="239" spans="1:66" x14ac:dyDescent="0.3">
      <c r="A239">
        <v>238</v>
      </c>
      <c r="B239" t="s">
        <v>430</v>
      </c>
      <c r="C239" s="2" t="s">
        <v>448</v>
      </c>
      <c r="D239">
        <v>72</v>
      </c>
      <c r="E239" s="1" t="s">
        <v>16</v>
      </c>
      <c r="F239" s="1">
        <v>45002</v>
      </c>
      <c r="G239" s="1">
        <v>45043.530127314814</v>
      </c>
      <c r="H239" t="s">
        <v>15</v>
      </c>
      <c r="I239" t="s">
        <v>16</v>
      </c>
      <c r="J239" t="s">
        <v>15</v>
      </c>
      <c r="K239" t="s">
        <v>161</v>
      </c>
      <c r="L239">
        <v>60</v>
      </c>
      <c r="M239" t="s">
        <v>16</v>
      </c>
      <c r="N239" t="s">
        <v>16</v>
      </c>
      <c r="O239" t="s">
        <v>25</v>
      </c>
      <c r="P239" t="s">
        <v>75</v>
      </c>
      <c r="Q239" t="s">
        <v>19</v>
      </c>
      <c r="R239" t="s">
        <v>16</v>
      </c>
      <c r="S239" t="s">
        <v>16</v>
      </c>
      <c r="T239" t="s">
        <v>19</v>
      </c>
      <c r="U239" t="s">
        <v>132</v>
      </c>
      <c r="V239" t="s">
        <v>16</v>
      </c>
      <c r="W239" t="s">
        <v>19</v>
      </c>
      <c r="X239" t="s">
        <v>78</v>
      </c>
      <c r="Y239">
        <v>4.8000001907348597</v>
      </c>
      <c r="Z239">
        <v>3.2999999523162802</v>
      </c>
      <c r="AA239">
        <v>1.29999995231628</v>
      </c>
      <c r="AB239">
        <v>1.20000004768372</v>
      </c>
      <c r="AC239">
        <v>232.24960327148401</v>
      </c>
      <c r="AD239">
        <v>134</v>
      </c>
      <c r="AE239">
        <v>1</v>
      </c>
      <c r="AF239">
        <v>42</v>
      </c>
      <c r="AG239">
        <v>110</v>
      </c>
      <c r="AH239" t="s">
        <v>16</v>
      </c>
      <c r="AI239" t="s">
        <v>16</v>
      </c>
      <c r="AJ239" t="s">
        <v>16</v>
      </c>
      <c r="AK239" t="s">
        <v>16</v>
      </c>
      <c r="AL239" t="s">
        <v>16</v>
      </c>
      <c r="AM239" t="s">
        <v>16</v>
      </c>
      <c r="AN239" t="s">
        <v>403</v>
      </c>
      <c r="AO239">
        <v>63</v>
      </c>
      <c r="AP239">
        <v>20.571428571428601</v>
      </c>
      <c r="AQ239" s="1" t="s">
        <v>16</v>
      </c>
      <c r="AR239" s="1" t="s">
        <v>16</v>
      </c>
      <c r="AS239" s="1">
        <v>42446</v>
      </c>
      <c r="AT239" s="1">
        <v>45044</v>
      </c>
      <c r="AU239" s="1">
        <v>42446</v>
      </c>
      <c r="AV239" s="1"/>
      <c r="AW239" s="1" t="s">
        <v>16</v>
      </c>
      <c r="AX239" s="1" t="s">
        <v>16</v>
      </c>
      <c r="AY239" t="s">
        <v>16</v>
      </c>
      <c r="AZ239">
        <v>139</v>
      </c>
      <c r="BA239">
        <v>76</v>
      </c>
      <c r="BB239">
        <v>2</v>
      </c>
      <c r="BC239">
        <f t="shared" si="14"/>
        <v>8.1843191196698886</v>
      </c>
      <c r="BD239">
        <v>140</v>
      </c>
      <c r="BE239">
        <v>4.7</v>
      </c>
      <c r="BF239">
        <v>3.1</v>
      </c>
      <c r="BG239">
        <v>13.8</v>
      </c>
      <c r="BH239">
        <v>320</v>
      </c>
      <c r="BI239">
        <v>7.2699999999999898</v>
      </c>
      <c r="BJ239">
        <v>7.4</v>
      </c>
      <c r="BK239">
        <v>12.6999999999999</v>
      </c>
      <c r="BL239">
        <v>9.5999999999999908</v>
      </c>
      <c r="BM239">
        <v>1.76</v>
      </c>
      <c r="BN239">
        <v>10.4</v>
      </c>
    </row>
    <row r="240" spans="1:66" x14ac:dyDescent="0.3">
      <c r="A240">
        <v>239</v>
      </c>
      <c r="B240" t="s">
        <v>430</v>
      </c>
      <c r="C240" s="2" t="s">
        <v>448</v>
      </c>
      <c r="D240">
        <v>88</v>
      </c>
      <c r="E240" s="1" t="s">
        <v>16</v>
      </c>
      <c r="F240" s="1">
        <v>45429</v>
      </c>
      <c r="G240" s="1">
        <v>45435.421909722223</v>
      </c>
      <c r="H240" t="s">
        <v>16</v>
      </c>
      <c r="I240" t="s">
        <v>16</v>
      </c>
      <c r="J240" t="s">
        <v>16</v>
      </c>
      <c r="K240" t="s">
        <v>74</v>
      </c>
      <c r="L240">
        <v>60</v>
      </c>
      <c r="M240" t="s">
        <v>16</v>
      </c>
      <c r="N240" t="s">
        <v>16</v>
      </c>
      <c r="O240" t="s">
        <v>15</v>
      </c>
      <c r="P240" t="s">
        <v>16</v>
      </c>
      <c r="Q240" t="s">
        <v>18</v>
      </c>
      <c r="R240" t="s">
        <v>16</v>
      </c>
      <c r="S240" t="s">
        <v>16</v>
      </c>
      <c r="T240" t="s">
        <v>19</v>
      </c>
      <c r="U240" t="s">
        <v>16</v>
      </c>
      <c r="V240" t="s">
        <v>16</v>
      </c>
      <c r="W240" t="s">
        <v>16</v>
      </c>
      <c r="X240" t="s">
        <v>16</v>
      </c>
      <c r="Y240">
        <v>3.9000000953674299</v>
      </c>
      <c r="Z240">
        <v>3</v>
      </c>
      <c r="AA240">
        <v>1.20000004768372</v>
      </c>
      <c r="AB240">
        <v>0.89999997615814198</v>
      </c>
      <c r="AC240">
        <v>130.95858764648401</v>
      </c>
      <c r="AD240" t="s">
        <v>16</v>
      </c>
      <c r="AE240">
        <v>1</v>
      </c>
      <c r="AF240" t="s">
        <v>16</v>
      </c>
      <c r="AG240">
        <v>76.199996948242202</v>
      </c>
      <c r="AH240" t="s">
        <v>16</v>
      </c>
      <c r="AI240">
        <v>7.0999999046325701</v>
      </c>
      <c r="AJ240">
        <v>10.7299995422363</v>
      </c>
      <c r="AK240" t="s">
        <v>16</v>
      </c>
      <c r="AL240">
        <v>8.5</v>
      </c>
      <c r="AM240">
        <v>8.9600000381469709</v>
      </c>
      <c r="AN240" t="s">
        <v>404</v>
      </c>
      <c r="AO240" t="s">
        <v>16</v>
      </c>
      <c r="AP240" t="s">
        <v>16</v>
      </c>
      <c r="AQ240" s="1" t="s">
        <v>16</v>
      </c>
      <c r="AR240" s="1" t="s">
        <v>16</v>
      </c>
      <c r="AS240" s="1">
        <v>45430</v>
      </c>
      <c r="AT240" s="1">
        <v>45429</v>
      </c>
      <c r="AU240" s="1" t="s">
        <v>16</v>
      </c>
      <c r="AV240" s="1"/>
      <c r="AW240" s="1" t="s">
        <v>16</v>
      </c>
      <c r="AX240" s="1" t="s">
        <v>16</v>
      </c>
      <c r="AY240" t="s">
        <v>16</v>
      </c>
      <c r="AZ240">
        <v>133</v>
      </c>
      <c r="BA240">
        <v>60</v>
      </c>
      <c r="BB240">
        <v>1</v>
      </c>
      <c r="BC240">
        <v>7.9</v>
      </c>
      <c r="BD240">
        <v>123</v>
      </c>
      <c r="BE240">
        <v>5.2999999999999901</v>
      </c>
      <c r="BF240">
        <v>3.8999999999999901</v>
      </c>
      <c r="BG240">
        <v>7.9</v>
      </c>
      <c r="BH240">
        <v>220</v>
      </c>
      <c r="BI240">
        <v>6</v>
      </c>
      <c r="BJ240">
        <v>6.7</v>
      </c>
      <c r="BK240">
        <v>8.5</v>
      </c>
      <c r="BL240">
        <v>10.6999999999999</v>
      </c>
      <c r="BM240">
        <v>59.96</v>
      </c>
    </row>
    <row r="241" spans="1:66" x14ac:dyDescent="0.3">
      <c r="A241">
        <v>240</v>
      </c>
      <c r="B241" t="s">
        <v>430</v>
      </c>
      <c r="C241" s="2" t="s">
        <v>448</v>
      </c>
      <c r="D241">
        <v>86</v>
      </c>
      <c r="E241" s="1">
        <v>41291</v>
      </c>
      <c r="F241" s="1">
        <v>41282</v>
      </c>
      <c r="G241" s="1">
        <v>41245.357129629629</v>
      </c>
      <c r="H241" t="s">
        <v>17</v>
      </c>
      <c r="I241" t="s">
        <v>15</v>
      </c>
      <c r="J241" t="s">
        <v>24</v>
      </c>
      <c r="K241" t="s">
        <v>16</v>
      </c>
      <c r="L241">
        <v>50</v>
      </c>
      <c r="M241" t="s">
        <v>15</v>
      </c>
      <c r="N241" t="s">
        <v>15</v>
      </c>
      <c r="O241" t="s">
        <v>17</v>
      </c>
      <c r="P241" t="s">
        <v>149</v>
      </c>
      <c r="Q241" t="s">
        <v>26</v>
      </c>
      <c r="R241" t="s">
        <v>16</v>
      </c>
      <c r="S241" t="s">
        <v>16</v>
      </c>
      <c r="T241" t="s">
        <v>19</v>
      </c>
      <c r="U241" t="s">
        <v>16</v>
      </c>
      <c r="V241" t="s">
        <v>16</v>
      </c>
      <c r="W241" t="s">
        <v>19</v>
      </c>
      <c r="X241" t="s">
        <v>78</v>
      </c>
      <c r="Y241">
        <v>6.3200001716613796</v>
      </c>
      <c r="Z241">
        <v>3.7300000190734899</v>
      </c>
      <c r="AA241">
        <v>0.81999999284744296</v>
      </c>
      <c r="AB241">
        <v>1.12999999523163</v>
      </c>
      <c r="AC241">
        <v>261.16018676757801</v>
      </c>
      <c r="AD241">
        <v>135</v>
      </c>
      <c r="AE241">
        <v>1</v>
      </c>
      <c r="AF241">
        <v>48</v>
      </c>
      <c r="AG241">
        <v>78</v>
      </c>
      <c r="AH241">
        <v>6</v>
      </c>
      <c r="AI241">
        <v>4</v>
      </c>
      <c r="AJ241">
        <v>19.5</v>
      </c>
      <c r="AK241">
        <v>6</v>
      </c>
      <c r="AL241">
        <v>8</v>
      </c>
      <c r="AM241">
        <v>9.75</v>
      </c>
      <c r="AN241" t="s">
        <v>405</v>
      </c>
      <c r="AO241">
        <v>66.849999999999994</v>
      </c>
      <c r="AP241" t="s">
        <v>16</v>
      </c>
      <c r="AQ241" s="1" t="s">
        <v>16</v>
      </c>
      <c r="AR241" s="1" t="s">
        <v>16</v>
      </c>
      <c r="AS241" s="1" t="s">
        <v>16</v>
      </c>
      <c r="AT241" s="1" t="s">
        <v>16</v>
      </c>
      <c r="AU241" s="1" t="s">
        <v>16</v>
      </c>
      <c r="AV241" s="1"/>
      <c r="AW241" s="1" t="s">
        <v>16</v>
      </c>
      <c r="AX241" s="1" t="s">
        <v>16</v>
      </c>
      <c r="AY241" t="s">
        <v>16</v>
      </c>
      <c r="AZ241">
        <v>120</v>
      </c>
      <c r="BA241">
        <v>53</v>
      </c>
      <c r="BB241">
        <v>0</v>
      </c>
      <c r="BC241">
        <f>(140-D241)*AO241/(72*BI241)</f>
        <v>9.8890532544378686</v>
      </c>
      <c r="BD241">
        <v>131</v>
      </c>
      <c r="BE241">
        <v>5.9</v>
      </c>
      <c r="BF241">
        <v>3.3999999999999901</v>
      </c>
      <c r="BG241">
        <v>14</v>
      </c>
      <c r="BH241">
        <v>354</v>
      </c>
      <c r="BI241">
        <v>5.07</v>
      </c>
      <c r="BJ241">
        <v>7.7999999999999901</v>
      </c>
      <c r="BK241">
        <v>11.9</v>
      </c>
      <c r="BL241">
        <v>19.899999999999899</v>
      </c>
      <c r="BM241">
        <v>45.56</v>
      </c>
    </row>
    <row r="242" spans="1:66" x14ac:dyDescent="0.3">
      <c r="A242">
        <v>241</v>
      </c>
      <c r="B242" t="s">
        <v>430</v>
      </c>
      <c r="C242" s="2" t="s">
        <v>448</v>
      </c>
      <c r="D242">
        <v>40</v>
      </c>
      <c r="E242" s="1">
        <v>42294</v>
      </c>
      <c r="F242" s="1">
        <v>40547</v>
      </c>
      <c r="G242" s="1">
        <v>40289.484317129631</v>
      </c>
      <c r="H242" t="s">
        <v>15</v>
      </c>
      <c r="I242" t="s">
        <v>78</v>
      </c>
      <c r="J242" t="s">
        <v>15</v>
      </c>
      <c r="K242" t="s">
        <v>16</v>
      </c>
      <c r="L242">
        <v>60</v>
      </c>
      <c r="M242" t="s">
        <v>16</v>
      </c>
      <c r="N242" t="s">
        <v>16</v>
      </c>
      <c r="O242" t="s">
        <v>17</v>
      </c>
      <c r="P242" t="s">
        <v>16</v>
      </c>
      <c r="Q242" t="s">
        <v>16</v>
      </c>
      <c r="R242" t="s">
        <v>16</v>
      </c>
      <c r="S242" t="s">
        <v>16</v>
      </c>
      <c r="T242" t="s">
        <v>36</v>
      </c>
      <c r="U242" t="s">
        <v>16</v>
      </c>
      <c r="V242" t="s">
        <v>16</v>
      </c>
      <c r="W242" t="s">
        <v>18</v>
      </c>
      <c r="X242" t="s">
        <v>15</v>
      </c>
      <c r="Y242">
        <v>4.5999999046325701</v>
      </c>
      <c r="Z242">
        <v>3.0999999046325701</v>
      </c>
      <c r="AA242">
        <v>1.1000000238418599</v>
      </c>
      <c r="AB242">
        <v>1.20000004768372</v>
      </c>
      <c r="AC242">
        <v>193</v>
      </c>
      <c r="AD242">
        <v>113</v>
      </c>
      <c r="AE242">
        <v>1</v>
      </c>
      <c r="AF242">
        <v>31</v>
      </c>
      <c r="AG242">
        <v>75</v>
      </c>
      <c r="AH242">
        <v>7</v>
      </c>
      <c r="AI242">
        <v>6</v>
      </c>
      <c r="AJ242">
        <v>12.5</v>
      </c>
      <c r="AK242">
        <v>6</v>
      </c>
      <c r="AL242">
        <v>5</v>
      </c>
      <c r="AM242">
        <v>15</v>
      </c>
      <c r="AN242" t="s">
        <v>406</v>
      </c>
      <c r="AO242">
        <v>50</v>
      </c>
      <c r="AP242">
        <v>17.301038062283698</v>
      </c>
      <c r="AQ242" s="1">
        <v>42058</v>
      </c>
      <c r="AR242" s="1" t="s">
        <v>16</v>
      </c>
      <c r="AS242" s="1" t="s">
        <v>16</v>
      </c>
      <c r="AT242" s="1" t="s">
        <v>16</v>
      </c>
      <c r="AU242" s="1">
        <v>41723</v>
      </c>
      <c r="AV242" s="1">
        <v>40077.585344710649</v>
      </c>
      <c r="AW242" s="1" t="s">
        <v>16</v>
      </c>
      <c r="AX242" s="1" t="s">
        <v>16</v>
      </c>
      <c r="AY242" t="s">
        <v>16</v>
      </c>
      <c r="AZ242">
        <v>145</v>
      </c>
      <c r="BA242">
        <v>88</v>
      </c>
      <c r="BB242">
        <v>4</v>
      </c>
      <c r="BC242">
        <f>(140-D242)*AO242/(72*BI242)</f>
        <v>14.681700728212354</v>
      </c>
      <c r="BD242">
        <v>132</v>
      </c>
      <c r="BE242">
        <v>5.7</v>
      </c>
      <c r="BF242">
        <v>3.1</v>
      </c>
      <c r="BG242">
        <v>13.3</v>
      </c>
      <c r="BH242">
        <v>336</v>
      </c>
      <c r="BI242">
        <v>4.7300000000000004</v>
      </c>
      <c r="BJ242">
        <v>7.7</v>
      </c>
      <c r="BK242">
        <v>10.4</v>
      </c>
      <c r="BL242">
        <v>19.399999999999899</v>
      </c>
      <c r="BM242">
        <v>21.6299999999999</v>
      </c>
    </row>
    <row r="243" spans="1:66" x14ac:dyDescent="0.3">
      <c r="A243">
        <v>242</v>
      </c>
      <c r="B243" t="s">
        <v>430</v>
      </c>
      <c r="C243" s="2" t="s">
        <v>448</v>
      </c>
      <c r="D243">
        <v>77</v>
      </c>
      <c r="E243" s="1">
        <v>41560</v>
      </c>
      <c r="F243" s="1">
        <v>41143</v>
      </c>
      <c r="G243" s="1">
        <v>41161.468668981484</v>
      </c>
      <c r="H243" t="s">
        <v>15</v>
      </c>
      <c r="I243" t="s">
        <v>16</v>
      </c>
      <c r="J243" t="s">
        <v>24</v>
      </c>
      <c r="K243" t="s">
        <v>16</v>
      </c>
      <c r="L243">
        <v>50</v>
      </c>
      <c r="M243" t="s">
        <v>16</v>
      </c>
      <c r="N243" t="s">
        <v>16</v>
      </c>
      <c r="O243" t="s">
        <v>17</v>
      </c>
      <c r="P243" t="s">
        <v>75</v>
      </c>
      <c r="Q243" t="s">
        <v>16</v>
      </c>
      <c r="R243" t="s">
        <v>80</v>
      </c>
      <c r="S243" t="s">
        <v>16</v>
      </c>
      <c r="T243" t="s">
        <v>18</v>
      </c>
      <c r="U243" t="s">
        <v>16</v>
      </c>
      <c r="V243" t="s">
        <v>16</v>
      </c>
      <c r="W243" t="s">
        <v>19</v>
      </c>
      <c r="X243" t="s">
        <v>90</v>
      </c>
      <c r="Y243">
        <v>4.1999998092651403</v>
      </c>
      <c r="Z243">
        <v>2</v>
      </c>
      <c r="AA243">
        <v>1.1000000238418599</v>
      </c>
      <c r="AB243">
        <v>1.1000000238418599</v>
      </c>
      <c r="AC243">
        <v>157.06259155273401</v>
      </c>
      <c r="AD243">
        <v>80</v>
      </c>
      <c r="AE243">
        <v>1.3099999427795399</v>
      </c>
      <c r="AF243">
        <v>60</v>
      </c>
      <c r="AG243">
        <v>65.040000915527301</v>
      </c>
      <c r="AH243">
        <v>9</v>
      </c>
      <c r="AI243">
        <v>7</v>
      </c>
      <c r="AJ243">
        <v>9.2899999618530291</v>
      </c>
      <c r="AK243">
        <v>9</v>
      </c>
      <c r="AL243">
        <v>7</v>
      </c>
      <c r="AM243">
        <v>9.2899999618530291</v>
      </c>
      <c r="AN243" t="s">
        <v>407</v>
      </c>
      <c r="AO243">
        <v>74</v>
      </c>
      <c r="AP243">
        <v>26.218820861678001</v>
      </c>
      <c r="AQ243" s="1">
        <v>41160</v>
      </c>
      <c r="AR243" s="1" t="s">
        <v>16</v>
      </c>
      <c r="AS243" s="1">
        <v>41168</v>
      </c>
      <c r="AT243" s="1" t="s">
        <v>16</v>
      </c>
      <c r="AU243" s="1">
        <v>41141</v>
      </c>
      <c r="AV243" s="1"/>
      <c r="AW243" s="1" t="s">
        <v>16</v>
      </c>
      <c r="AX243" s="1" t="s">
        <v>16</v>
      </c>
      <c r="AY243" t="s">
        <v>16</v>
      </c>
      <c r="AZ243">
        <v>156</v>
      </c>
      <c r="BA243">
        <v>75</v>
      </c>
      <c r="BB243">
        <v>2</v>
      </c>
      <c r="BC243">
        <f>(140-D243)*AO243/(72*BI243)</f>
        <v>39.969135802469133</v>
      </c>
      <c r="BD243">
        <v>122</v>
      </c>
      <c r="BE243">
        <v>4.5</v>
      </c>
      <c r="BF243">
        <v>2.1</v>
      </c>
      <c r="BG243">
        <v>13.4</v>
      </c>
      <c r="BH243">
        <v>119</v>
      </c>
      <c r="BI243">
        <v>1.62</v>
      </c>
      <c r="BJ243">
        <v>7.2</v>
      </c>
      <c r="BK243">
        <v>3.7</v>
      </c>
      <c r="BL243">
        <v>8.0999999999999908</v>
      </c>
      <c r="BM243">
        <v>7.8499999999999899</v>
      </c>
    </row>
    <row r="244" spans="1:66" x14ac:dyDescent="0.3">
      <c r="A244">
        <v>243</v>
      </c>
      <c r="B244" t="s">
        <v>430</v>
      </c>
      <c r="C244" s="2" t="s">
        <v>448</v>
      </c>
      <c r="D244">
        <v>69</v>
      </c>
      <c r="E244" s="1" t="s">
        <v>16</v>
      </c>
      <c r="F244" s="1">
        <v>45204</v>
      </c>
      <c r="G244" s="1">
        <v>45214.4137962963</v>
      </c>
      <c r="H244" t="s">
        <v>15</v>
      </c>
      <c r="I244" t="s">
        <v>78</v>
      </c>
      <c r="J244" t="s">
        <v>37</v>
      </c>
      <c r="K244" t="s">
        <v>16</v>
      </c>
      <c r="L244">
        <v>65</v>
      </c>
      <c r="M244" t="s">
        <v>16</v>
      </c>
      <c r="N244" t="s">
        <v>16</v>
      </c>
      <c r="O244" t="s">
        <v>17</v>
      </c>
      <c r="P244" t="s">
        <v>75</v>
      </c>
      <c r="Q244" t="s">
        <v>19</v>
      </c>
      <c r="R244" t="s">
        <v>16</v>
      </c>
      <c r="S244" t="s">
        <v>16</v>
      </c>
      <c r="T244" t="s">
        <v>18</v>
      </c>
      <c r="U244" t="s">
        <v>16</v>
      </c>
      <c r="V244" t="s">
        <v>16</v>
      </c>
      <c r="W244" t="s">
        <v>18</v>
      </c>
      <c r="X244" t="s">
        <v>15</v>
      </c>
      <c r="Y244">
        <v>4.7600002288818404</v>
      </c>
      <c r="Z244">
        <v>3.0799999237060498</v>
      </c>
      <c r="AA244">
        <v>1.3099999427795399</v>
      </c>
      <c r="AB244">
        <v>1.0900000333786</v>
      </c>
      <c r="AC244">
        <v>216.26399230957</v>
      </c>
      <c r="AD244">
        <v>116</v>
      </c>
      <c r="AE244">
        <v>1</v>
      </c>
      <c r="AF244">
        <v>34</v>
      </c>
      <c r="AG244">
        <v>88.699996948242202</v>
      </c>
      <c r="AH244" t="s">
        <v>16</v>
      </c>
      <c r="AI244">
        <v>6.0900001525878897</v>
      </c>
      <c r="AJ244">
        <v>14.560000419616699</v>
      </c>
      <c r="AK244">
        <v>6.1900000572204599</v>
      </c>
      <c r="AL244">
        <v>5.0300002098083496</v>
      </c>
      <c r="AM244">
        <v>17.629999160766602</v>
      </c>
      <c r="AN244" t="s">
        <v>408</v>
      </c>
      <c r="AO244">
        <v>78.7</v>
      </c>
      <c r="AP244">
        <v>25.6979591836735</v>
      </c>
      <c r="AQ244" s="1" t="s">
        <v>16</v>
      </c>
      <c r="AR244" s="1" t="s">
        <v>16</v>
      </c>
      <c r="AS244" s="1">
        <v>43571</v>
      </c>
      <c r="AT244" s="1">
        <v>43571</v>
      </c>
      <c r="AU244" s="1">
        <v>43571</v>
      </c>
      <c r="AV244" s="1"/>
      <c r="AW244" s="1">
        <v>43571</v>
      </c>
      <c r="AX244" s="1">
        <v>43571</v>
      </c>
      <c r="AY244" t="s">
        <v>16</v>
      </c>
      <c r="AZ244">
        <v>131</v>
      </c>
      <c r="BA244">
        <v>87</v>
      </c>
      <c r="BB244">
        <v>1</v>
      </c>
      <c r="BC244">
        <f>(140-D244)*AO244/(72*BI244)</f>
        <v>17.094040626529612</v>
      </c>
      <c r="BD244">
        <v>134</v>
      </c>
      <c r="BE244">
        <v>4.7999999999999901</v>
      </c>
      <c r="BF244">
        <v>3.7999999999999901</v>
      </c>
      <c r="BG244">
        <v>14.8</v>
      </c>
      <c r="BH244">
        <v>375</v>
      </c>
      <c r="BI244">
        <v>4.54</v>
      </c>
      <c r="BJ244">
        <v>8.0999999999999908</v>
      </c>
      <c r="BK244">
        <v>8.0999999999999908</v>
      </c>
      <c r="BL244">
        <v>15.1999999999999</v>
      </c>
      <c r="BM244">
        <v>6.2</v>
      </c>
      <c r="BN244">
        <v>5.9</v>
      </c>
    </row>
    <row r="245" spans="1:66" x14ac:dyDescent="0.3">
      <c r="A245">
        <v>244</v>
      </c>
      <c r="B245" t="s">
        <v>430</v>
      </c>
      <c r="C245" s="2" t="s">
        <v>448</v>
      </c>
      <c r="D245">
        <v>56</v>
      </c>
      <c r="E245" s="1">
        <v>44507</v>
      </c>
      <c r="F245" s="1">
        <v>43024</v>
      </c>
      <c r="G245" s="1">
        <v>42967.423171296294</v>
      </c>
      <c r="H245" t="s">
        <v>25</v>
      </c>
      <c r="I245" t="s">
        <v>78</v>
      </c>
      <c r="J245" t="s">
        <v>15</v>
      </c>
      <c r="K245" t="s">
        <v>16</v>
      </c>
      <c r="L245">
        <v>55</v>
      </c>
      <c r="M245" t="s">
        <v>16</v>
      </c>
      <c r="N245" t="s">
        <v>16</v>
      </c>
      <c r="O245" t="s">
        <v>25</v>
      </c>
      <c r="P245" t="s">
        <v>16</v>
      </c>
      <c r="Q245" t="s">
        <v>26</v>
      </c>
      <c r="R245" t="s">
        <v>16</v>
      </c>
      <c r="S245" t="s">
        <v>16</v>
      </c>
      <c r="T245" t="s">
        <v>19</v>
      </c>
      <c r="U245" t="s">
        <v>16</v>
      </c>
      <c r="V245" t="s">
        <v>16</v>
      </c>
      <c r="W245" t="s">
        <v>19</v>
      </c>
      <c r="X245" t="s">
        <v>15</v>
      </c>
      <c r="Y245">
        <v>6.4299998283386204</v>
      </c>
      <c r="Z245">
        <v>4.0199999809265101</v>
      </c>
      <c r="AA245">
        <v>1.2300000190734901</v>
      </c>
      <c r="AB245">
        <v>1.1499999761581401</v>
      </c>
      <c r="AC245">
        <v>348.33450317382801</v>
      </c>
      <c r="AD245">
        <v>152</v>
      </c>
      <c r="AE245">
        <v>1</v>
      </c>
      <c r="AF245">
        <v>34</v>
      </c>
      <c r="AG245">
        <v>55.799999237060497</v>
      </c>
      <c r="AH245">
        <v>9.5699996948242205</v>
      </c>
      <c r="AI245">
        <v>5.5500001907348597</v>
      </c>
      <c r="AJ245">
        <v>10.050000190734901</v>
      </c>
      <c r="AK245">
        <v>11.199999809265099</v>
      </c>
      <c r="AL245">
        <v>4.6799998283386204</v>
      </c>
      <c r="AM245">
        <v>11.920000076293899</v>
      </c>
      <c r="AN245" t="s">
        <v>409</v>
      </c>
      <c r="AO245">
        <v>97</v>
      </c>
      <c r="AP245">
        <v>25.509533201840899</v>
      </c>
      <c r="AQ245" s="1" t="s">
        <v>16</v>
      </c>
      <c r="AR245" s="1" t="s">
        <v>16</v>
      </c>
      <c r="AS245" s="1" t="s">
        <v>16</v>
      </c>
      <c r="AT245" s="1">
        <v>43034</v>
      </c>
      <c r="AU245" s="1">
        <v>42992</v>
      </c>
      <c r="AV245" s="1"/>
      <c r="AW245" s="1" t="s">
        <v>16</v>
      </c>
      <c r="AX245" s="1">
        <v>44341</v>
      </c>
      <c r="AY245" t="s">
        <v>16</v>
      </c>
      <c r="AZ245">
        <v>125</v>
      </c>
      <c r="BA245">
        <v>80</v>
      </c>
      <c r="BB245">
        <v>2</v>
      </c>
      <c r="BC245">
        <f>(140-D245)*AO245/(72*BI245)</f>
        <v>16.212989493791785</v>
      </c>
      <c r="BD245">
        <v>138</v>
      </c>
      <c r="BE245">
        <v>5.2999999999999901</v>
      </c>
      <c r="BF245">
        <v>2.7999999999999901</v>
      </c>
      <c r="BH245">
        <v>97</v>
      </c>
      <c r="BI245">
        <v>6.98</v>
      </c>
      <c r="BJ245">
        <v>7.4</v>
      </c>
      <c r="BK245">
        <v>2.6</v>
      </c>
      <c r="BL245">
        <v>8.1999999999999904</v>
      </c>
      <c r="BM245">
        <v>205.979999999999</v>
      </c>
      <c r="BN245">
        <v>4.5999999999999899</v>
      </c>
    </row>
    <row r="246" spans="1:66" x14ac:dyDescent="0.3">
      <c r="A246">
        <v>245</v>
      </c>
      <c r="B246" t="s">
        <v>430</v>
      </c>
      <c r="C246" s="2" t="s">
        <v>448</v>
      </c>
      <c r="D246">
        <v>55</v>
      </c>
      <c r="E246" s="1" t="s">
        <v>16</v>
      </c>
      <c r="F246" s="1">
        <v>42985</v>
      </c>
      <c r="G246" s="1">
        <v>42855.379780092589</v>
      </c>
      <c r="H246" t="s">
        <v>16</v>
      </c>
      <c r="I246" t="s">
        <v>16</v>
      </c>
      <c r="J246" t="s">
        <v>16</v>
      </c>
      <c r="K246" t="s">
        <v>74</v>
      </c>
      <c r="L246">
        <v>60</v>
      </c>
      <c r="M246" t="s">
        <v>16</v>
      </c>
      <c r="N246" t="s">
        <v>16</v>
      </c>
      <c r="O246" t="s">
        <v>17</v>
      </c>
      <c r="P246" t="s">
        <v>16</v>
      </c>
      <c r="Q246" t="s">
        <v>16</v>
      </c>
      <c r="R246" t="s">
        <v>16</v>
      </c>
      <c r="S246" t="s">
        <v>16</v>
      </c>
      <c r="T246" t="s">
        <v>19</v>
      </c>
      <c r="U246" t="s">
        <v>16</v>
      </c>
      <c r="V246" t="s">
        <v>16</v>
      </c>
      <c r="W246" t="s">
        <v>18</v>
      </c>
      <c r="X246" t="s">
        <v>16</v>
      </c>
      <c r="Y246">
        <v>4.6500000953674299</v>
      </c>
      <c r="Z246">
        <v>3.46000003814697</v>
      </c>
      <c r="AA246">
        <v>0.81000000238418601</v>
      </c>
      <c r="AB246">
        <v>0.93999999761581399</v>
      </c>
      <c r="AC246">
        <v>135.05067443847699</v>
      </c>
      <c r="AD246">
        <v>67</v>
      </c>
      <c r="AE246">
        <v>1</v>
      </c>
      <c r="AF246" t="s">
        <v>16</v>
      </c>
      <c r="AG246">
        <v>104</v>
      </c>
      <c r="AH246">
        <v>5.53999996185303</v>
      </c>
      <c r="AI246">
        <v>3.9800000190734899</v>
      </c>
      <c r="AJ246">
        <v>26.129999160766602</v>
      </c>
      <c r="AK246">
        <v>4.6799998283386204</v>
      </c>
      <c r="AL246">
        <v>6.71000003814697</v>
      </c>
      <c r="AM246">
        <v>15.5</v>
      </c>
      <c r="AN246" t="s">
        <v>410</v>
      </c>
      <c r="AO246" t="s">
        <v>16</v>
      </c>
      <c r="AP246" t="s">
        <v>16</v>
      </c>
      <c r="AQ246" s="1">
        <v>42984</v>
      </c>
      <c r="AR246" s="1" t="s">
        <v>16</v>
      </c>
      <c r="AS246" s="1">
        <v>43003</v>
      </c>
      <c r="AT246" s="1" t="s">
        <v>16</v>
      </c>
      <c r="AU246" s="1">
        <v>45378</v>
      </c>
      <c r="AV246" s="1"/>
      <c r="AW246" s="1">
        <v>45378</v>
      </c>
      <c r="AX246" s="1" t="s">
        <v>16</v>
      </c>
      <c r="AY246" t="s">
        <v>16</v>
      </c>
      <c r="AZ246">
        <v>128</v>
      </c>
      <c r="BA246">
        <v>79</v>
      </c>
      <c r="BB246">
        <v>1</v>
      </c>
      <c r="BC246">
        <v>8.4</v>
      </c>
      <c r="BD246">
        <v>134</v>
      </c>
      <c r="BE246">
        <v>3.8999999999999901</v>
      </c>
      <c r="BF246">
        <v>2.3999999999999901</v>
      </c>
      <c r="BH246">
        <v>213</v>
      </c>
      <c r="BI246">
        <v>6.8899999999999899</v>
      </c>
      <c r="BJ246">
        <v>7.5</v>
      </c>
      <c r="BK246">
        <v>5.2999999999999901</v>
      </c>
      <c r="BL246">
        <v>10.1</v>
      </c>
      <c r="BM246">
        <v>30.3599999999999</v>
      </c>
      <c r="BN246">
        <v>6.2</v>
      </c>
    </row>
    <row r="247" spans="1:66" x14ac:dyDescent="0.3">
      <c r="A247">
        <v>246</v>
      </c>
      <c r="B247" t="s">
        <v>430</v>
      </c>
      <c r="C247" s="2" t="s">
        <v>448</v>
      </c>
      <c r="D247">
        <v>83</v>
      </c>
      <c r="E247" s="1">
        <v>43536</v>
      </c>
      <c r="F247" s="1">
        <v>42318</v>
      </c>
      <c r="G247" s="1">
        <v>42316.414641203701</v>
      </c>
      <c r="H247" t="s">
        <v>15</v>
      </c>
      <c r="I247" t="s">
        <v>15</v>
      </c>
      <c r="J247" t="s">
        <v>14</v>
      </c>
      <c r="K247" t="s">
        <v>16</v>
      </c>
      <c r="L247">
        <v>45</v>
      </c>
      <c r="M247" t="s">
        <v>17</v>
      </c>
      <c r="N247" t="s">
        <v>35</v>
      </c>
      <c r="O247" t="s">
        <v>17</v>
      </c>
      <c r="P247" t="s">
        <v>75</v>
      </c>
      <c r="Q247" t="s">
        <v>16</v>
      </c>
      <c r="R247" t="s">
        <v>16</v>
      </c>
      <c r="S247" t="s">
        <v>16</v>
      </c>
      <c r="T247" t="s">
        <v>19</v>
      </c>
      <c r="U247" t="s">
        <v>16</v>
      </c>
      <c r="V247" t="s">
        <v>16</v>
      </c>
      <c r="W247" t="s">
        <v>19</v>
      </c>
      <c r="X247" t="s">
        <v>15</v>
      </c>
      <c r="Y247">
        <v>5</v>
      </c>
      <c r="Z247">
        <v>3.0999999046325701</v>
      </c>
      <c r="AA247">
        <v>1.1000000238418599</v>
      </c>
      <c r="AB247">
        <v>1</v>
      </c>
      <c r="AC247">
        <v>194.38195800781301</v>
      </c>
      <c r="AD247">
        <v>99</v>
      </c>
      <c r="AE247">
        <v>1.25</v>
      </c>
      <c r="AF247">
        <v>35</v>
      </c>
      <c r="AG247">
        <v>95</v>
      </c>
      <c r="AH247" t="s">
        <v>16</v>
      </c>
      <c r="AI247" t="s">
        <v>16</v>
      </c>
      <c r="AJ247" t="s">
        <v>16</v>
      </c>
      <c r="AK247" t="s">
        <v>16</v>
      </c>
      <c r="AL247" t="s">
        <v>16</v>
      </c>
      <c r="AM247" t="s">
        <v>16</v>
      </c>
      <c r="AN247" t="s">
        <v>411</v>
      </c>
      <c r="AO247">
        <v>84</v>
      </c>
      <c r="AP247">
        <v>31.615792841281198</v>
      </c>
      <c r="AQ247" s="1" t="s">
        <v>16</v>
      </c>
      <c r="AR247" s="1" t="s">
        <v>16</v>
      </c>
      <c r="AS247" s="1">
        <v>41115</v>
      </c>
      <c r="AT247" s="1">
        <v>41115</v>
      </c>
      <c r="AU247" s="1">
        <v>41115</v>
      </c>
      <c r="AV247" s="1">
        <v>41115.906548877312</v>
      </c>
      <c r="AW247" s="1">
        <v>41115</v>
      </c>
      <c r="AX247" s="1" t="s">
        <v>16</v>
      </c>
      <c r="AY247" t="s">
        <v>16</v>
      </c>
      <c r="AZ247">
        <v>126</v>
      </c>
      <c r="BA247">
        <v>54</v>
      </c>
      <c r="BB247">
        <v>0</v>
      </c>
      <c r="BC247">
        <f t="shared" ref="BC247:BC255" si="15">(140-D247)*AO247/(72*BI247)</f>
        <v>12.090909090909092</v>
      </c>
      <c r="BD247">
        <v>140.4</v>
      </c>
      <c r="BE247">
        <v>5.0899999999999901</v>
      </c>
      <c r="BF247">
        <v>2.7</v>
      </c>
      <c r="BG247">
        <v>9.1999999999999904</v>
      </c>
      <c r="BH247">
        <v>134</v>
      </c>
      <c r="BI247">
        <v>5.5</v>
      </c>
      <c r="BJ247">
        <v>7.5999999999999899</v>
      </c>
      <c r="BK247">
        <v>6</v>
      </c>
      <c r="BL247">
        <v>11.1</v>
      </c>
      <c r="BM247">
        <v>390.25</v>
      </c>
      <c r="BN247">
        <v>5.9</v>
      </c>
    </row>
    <row r="248" spans="1:66" x14ac:dyDescent="0.3">
      <c r="A248">
        <v>247</v>
      </c>
      <c r="B248" t="s">
        <v>430</v>
      </c>
      <c r="C248" s="2" t="s">
        <v>448</v>
      </c>
      <c r="D248">
        <v>61</v>
      </c>
      <c r="E248" s="1">
        <v>42942</v>
      </c>
      <c r="F248" s="1">
        <v>41633</v>
      </c>
      <c r="G248" s="1">
        <v>41553.489537037036</v>
      </c>
      <c r="H248" t="s">
        <v>16</v>
      </c>
      <c r="I248" t="s">
        <v>16</v>
      </c>
      <c r="J248" t="s">
        <v>16</v>
      </c>
      <c r="K248" t="s">
        <v>74</v>
      </c>
      <c r="L248">
        <v>55</v>
      </c>
      <c r="M248" t="s">
        <v>16</v>
      </c>
      <c r="N248" t="s">
        <v>16</v>
      </c>
      <c r="O248" t="s">
        <v>15</v>
      </c>
      <c r="P248" t="s">
        <v>16</v>
      </c>
      <c r="Q248" t="s">
        <v>16</v>
      </c>
      <c r="R248" t="s">
        <v>16</v>
      </c>
      <c r="S248" t="s">
        <v>16</v>
      </c>
      <c r="T248" t="s">
        <v>19</v>
      </c>
      <c r="U248" t="s">
        <v>110</v>
      </c>
      <c r="V248" t="s">
        <v>16</v>
      </c>
      <c r="W248" t="s">
        <v>16</v>
      </c>
      <c r="X248" t="s">
        <v>15</v>
      </c>
      <c r="Y248">
        <v>4.8000001907348597</v>
      </c>
      <c r="Z248">
        <v>3.2000000476837198</v>
      </c>
      <c r="AA248">
        <v>1.1000000238418599</v>
      </c>
      <c r="AB248">
        <v>1</v>
      </c>
      <c r="AC248">
        <v>181.90693664550801</v>
      </c>
      <c r="AD248">
        <v>91</v>
      </c>
      <c r="AE248">
        <v>1</v>
      </c>
      <c r="AF248">
        <v>33</v>
      </c>
      <c r="AG248">
        <v>74.400001525878906</v>
      </c>
      <c r="AH248">
        <v>11</v>
      </c>
      <c r="AI248">
        <v>8.3999996185302699</v>
      </c>
      <c r="AJ248">
        <v>8.8599996566772496</v>
      </c>
      <c r="AK248">
        <v>10.3999996185303</v>
      </c>
      <c r="AL248">
        <v>9.1599998474121094</v>
      </c>
      <c r="AM248">
        <v>8.1199998855590803</v>
      </c>
      <c r="AN248" t="s">
        <v>412</v>
      </c>
      <c r="AO248">
        <v>82</v>
      </c>
      <c r="AP248">
        <v>23.702162099664701</v>
      </c>
      <c r="AQ248" s="1" t="s">
        <v>16</v>
      </c>
      <c r="AR248" s="1" t="s">
        <v>16</v>
      </c>
      <c r="AS248" s="1" t="s">
        <v>16</v>
      </c>
      <c r="AT248" s="1" t="s">
        <v>16</v>
      </c>
      <c r="AU248" s="1">
        <v>41549</v>
      </c>
      <c r="AV248" s="1"/>
      <c r="AW248" s="1" t="s">
        <v>16</v>
      </c>
      <c r="AX248" s="1" t="s">
        <v>16</v>
      </c>
      <c r="AY248" t="s">
        <v>16</v>
      </c>
      <c r="AZ248">
        <v>129</v>
      </c>
      <c r="BA248">
        <v>85</v>
      </c>
      <c r="BB248">
        <v>1</v>
      </c>
      <c r="BC248">
        <f t="shared" si="15"/>
        <v>15.070723990322005</v>
      </c>
      <c r="BD248">
        <v>137</v>
      </c>
      <c r="BE248">
        <v>4.5</v>
      </c>
      <c r="BF248">
        <v>1.8999999999999899</v>
      </c>
      <c r="BG248">
        <v>6.2999999999999901</v>
      </c>
      <c r="BH248">
        <v>212</v>
      </c>
      <c r="BI248">
        <v>5.96999999999999</v>
      </c>
      <c r="BJ248">
        <v>5.7999999999999901</v>
      </c>
      <c r="BK248">
        <v>8.9</v>
      </c>
      <c r="BL248">
        <v>9.9</v>
      </c>
      <c r="BM248">
        <v>37.49</v>
      </c>
      <c r="BN248">
        <v>5.5</v>
      </c>
    </row>
    <row r="249" spans="1:66" x14ac:dyDescent="0.3">
      <c r="A249">
        <v>248</v>
      </c>
      <c r="B249" t="s">
        <v>430</v>
      </c>
      <c r="C249" s="2" t="s">
        <v>448</v>
      </c>
      <c r="D249">
        <v>67</v>
      </c>
      <c r="E249" s="1" t="s">
        <v>16</v>
      </c>
      <c r="F249" s="1">
        <v>44458</v>
      </c>
      <c r="G249" s="1">
        <v>44486.545393518521</v>
      </c>
      <c r="H249" t="s">
        <v>16</v>
      </c>
      <c r="I249" t="s">
        <v>16</v>
      </c>
      <c r="J249" t="s">
        <v>16</v>
      </c>
      <c r="K249" t="s">
        <v>74</v>
      </c>
      <c r="L249">
        <v>60</v>
      </c>
      <c r="M249" t="s">
        <v>16</v>
      </c>
      <c r="N249" t="s">
        <v>16</v>
      </c>
      <c r="O249" t="s">
        <v>15</v>
      </c>
      <c r="P249" t="s">
        <v>16</v>
      </c>
      <c r="Q249" t="s">
        <v>16</v>
      </c>
      <c r="R249" t="s">
        <v>16</v>
      </c>
      <c r="S249" t="s">
        <v>16</v>
      </c>
      <c r="T249" t="s">
        <v>18</v>
      </c>
      <c r="U249" t="s">
        <v>16</v>
      </c>
      <c r="V249" t="s">
        <v>16</v>
      </c>
      <c r="W249" t="s">
        <v>18</v>
      </c>
      <c r="X249" t="s">
        <v>16</v>
      </c>
      <c r="Y249">
        <v>4.6999998092651403</v>
      </c>
      <c r="Z249">
        <v>3.2000000476837198</v>
      </c>
      <c r="AA249">
        <v>1</v>
      </c>
      <c r="AB249">
        <v>1</v>
      </c>
      <c r="AC249">
        <v>164.45408630371099</v>
      </c>
      <c r="AD249" t="s">
        <v>16</v>
      </c>
      <c r="AE249">
        <v>1</v>
      </c>
      <c r="AF249" t="s">
        <v>16</v>
      </c>
      <c r="AG249">
        <v>143</v>
      </c>
      <c r="AH249">
        <v>7.9400000572204599</v>
      </c>
      <c r="AI249">
        <v>14.5</v>
      </c>
      <c r="AJ249">
        <v>9.8599996566772496</v>
      </c>
      <c r="AK249">
        <v>10</v>
      </c>
      <c r="AL249">
        <v>15.3999996185303</v>
      </c>
      <c r="AM249">
        <v>9.2899999618530291</v>
      </c>
      <c r="AN249" t="s">
        <v>413</v>
      </c>
      <c r="AO249">
        <v>90</v>
      </c>
      <c r="AP249" t="s">
        <v>16</v>
      </c>
      <c r="AQ249" s="1" t="s">
        <v>16</v>
      </c>
      <c r="AR249" s="1" t="s">
        <v>16</v>
      </c>
      <c r="AS249" s="1" t="s">
        <v>16</v>
      </c>
      <c r="AT249" s="1" t="s">
        <v>16</v>
      </c>
      <c r="AU249" s="1">
        <v>42901</v>
      </c>
      <c r="AV249" s="1">
        <v>42900.541119641202</v>
      </c>
      <c r="AW249" s="1" t="s">
        <v>16</v>
      </c>
      <c r="AX249" s="1" t="s">
        <v>16</v>
      </c>
      <c r="AY249" t="s">
        <v>16</v>
      </c>
      <c r="AZ249">
        <v>150</v>
      </c>
      <c r="BA249">
        <v>80</v>
      </c>
      <c r="BB249">
        <v>3</v>
      </c>
      <c r="BC249">
        <f t="shared" si="15"/>
        <v>73</v>
      </c>
      <c r="BD249">
        <v>135</v>
      </c>
      <c r="BE249">
        <v>4.5</v>
      </c>
      <c r="BF249">
        <v>2.2999999999999901</v>
      </c>
      <c r="BG249">
        <v>8.5</v>
      </c>
      <c r="BH249">
        <v>73</v>
      </c>
      <c r="BI249">
        <v>1.25</v>
      </c>
      <c r="BJ249">
        <v>7.9</v>
      </c>
      <c r="BK249">
        <v>3.6</v>
      </c>
      <c r="BL249">
        <v>6.5999999999999899</v>
      </c>
      <c r="BM249">
        <v>108.72</v>
      </c>
      <c r="BN249">
        <v>6.9</v>
      </c>
    </row>
    <row r="250" spans="1:66" x14ac:dyDescent="0.3">
      <c r="A250">
        <v>249</v>
      </c>
      <c r="B250" t="s">
        <v>430</v>
      </c>
      <c r="C250" s="2" t="s">
        <v>448</v>
      </c>
      <c r="D250">
        <v>71</v>
      </c>
      <c r="E250" s="1">
        <v>42708</v>
      </c>
      <c r="F250" s="1">
        <v>41130</v>
      </c>
      <c r="G250" s="1">
        <v>40981.590104166666</v>
      </c>
      <c r="H250" t="s">
        <v>17</v>
      </c>
      <c r="I250" t="s">
        <v>78</v>
      </c>
      <c r="J250" t="s">
        <v>24</v>
      </c>
      <c r="K250" t="s">
        <v>219</v>
      </c>
      <c r="L250">
        <v>50</v>
      </c>
      <c r="M250" t="s">
        <v>16</v>
      </c>
      <c r="N250" t="s">
        <v>16</v>
      </c>
      <c r="O250" t="s">
        <v>25</v>
      </c>
      <c r="P250" t="s">
        <v>16</v>
      </c>
      <c r="Q250" t="s">
        <v>19</v>
      </c>
      <c r="R250" t="s">
        <v>16</v>
      </c>
      <c r="S250" t="s">
        <v>16</v>
      </c>
      <c r="T250" t="s">
        <v>19</v>
      </c>
      <c r="U250" t="s">
        <v>16</v>
      </c>
      <c r="V250" t="s">
        <v>16</v>
      </c>
      <c r="W250" t="s">
        <v>19</v>
      </c>
      <c r="X250" t="s">
        <v>87</v>
      </c>
      <c r="Y250">
        <v>5.8200001716613796</v>
      </c>
      <c r="Z250">
        <v>4.4400000572204599</v>
      </c>
      <c r="AA250">
        <v>1.2300000190734901</v>
      </c>
      <c r="AB250">
        <v>1.1000000238418599</v>
      </c>
      <c r="AC250">
        <v>286.97940063476602</v>
      </c>
      <c r="AD250">
        <v>135</v>
      </c>
      <c r="AE250">
        <v>1</v>
      </c>
      <c r="AF250">
        <v>52</v>
      </c>
      <c r="AG250">
        <v>93.239997863769503</v>
      </c>
      <c r="AH250">
        <v>6</v>
      </c>
      <c r="AI250">
        <v>4</v>
      </c>
      <c r="AJ250">
        <v>23.309999465942401</v>
      </c>
      <c r="AK250">
        <v>11</v>
      </c>
      <c r="AL250">
        <v>8</v>
      </c>
      <c r="AM250">
        <v>11.6599998474121</v>
      </c>
      <c r="AN250" t="s">
        <v>414</v>
      </c>
      <c r="AO250">
        <v>77</v>
      </c>
      <c r="AP250">
        <v>21.785875961973701</v>
      </c>
      <c r="AQ250" s="1" t="s">
        <v>16</v>
      </c>
      <c r="AR250" s="1" t="s">
        <v>16</v>
      </c>
      <c r="AS250" s="1" t="s">
        <v>16</v>
      </c>
      <c r="AT250" s="1" t="s">
        <v>16</v>
      </c>
      <c r="AU250" s="1">
        <v>40975</v>
      </c>
      <c r="AV250" s="1">
        <v>44228.461252928239</v>
      </c>
      <c r="AW250" s="1" t="s">
        <v>16</v>
      </c>
      <c r="AX250" s="1" t="s">
        <v>16</v>
      </c>
      <c r="AY250" t="s">
        <v>16</v>
      </c>
      <c r="AZ250">
        <v>145</v>
      </c>
      <c r="BA250">
        <v>77</v>
      </c>
      <c r="BB250">
        <v>1</v>
      </c>
      <c r="BC250">
        <f t="shared" si="15"/>
        <v>15.700354609929077</v>
      </c>
      <c r="BD250">
        <v>136</v>
      </c>
      <c r="BE250">
        <v>4</v>
      </c>
      <c r="BF250">
        <v>2.8999999999999901</v>
      </c>
      <c r="BH250">
        <v>98</v>
      </c>
      <c r="BI250">
        <v>4.7</v>
      </c>
      <c r="BJ250">
        <v>8.4</v>
      </c>
      <c r="BK250">
        <v>5.9</v>
      </c>
      <c r="BL250">
        <v>10.9</v>
      </c>
      <c r="BM250">
        <v>3.46</v>
      </c>
    </row>
    <row r="251" spans="1:66" x14ac:dyDescent="0.3">
      <c r="A251">
        <v>250</v>
      </c>
      <c r="B251" t="s">
        <v>430</v>
      </c>
      <c r="C251" s="2" t="s">
        <v>448</v>
      </c>
      <c r="D251">
        <v>74</v>
      </c>
      <c r="E251" s="1">
        <v>44696</v>
      </c>
      <c r="F251" s="1">
        <v>44665</v>
      </c>
      <c r="G251" s="1">
        <v>44659.412430555552</v>
      </c>
      <c r="H251" t="s">
        <v>15</v>
      </c>
      <c r="I251" t="s">
        <v>16</v>
      </c>
      <c r="J251" t="s">
        <v>15</v>
      </c>
      <c r="K251" t="s">
        <v>161</v>
      </c>
      <c r="L251">
        <v>60</v>
      </c>
      <c r="M251" t="s">
        <v>16</v>
      </c>
      <c r="N251" t="s">
        <v>16</v>
      </c>
      <c r="O251" t="s">
        <v>25</v>
      </c>
      <c r="P251" t="s">
        <v>85</v>
      </c>
      <c r="Q251" t="s">
        <v>29</v>
      </c>
      <c r="R251" t="s">
        <v>16</v>
      </c>
      <c r="S251" t="s">
        <v>16</v>
      </c>
      <c r="T251" t="s">
        <v>18</v>
      </c>
      <c r="U251" t="s">
        <v>16</v>
      </c>
      <c r="V251" t="s">
        <v>16</v>
      </c>
      <c r="W251" t="s">
        <v>19</v>
      </c>
      <c r="X251" t="s">
        <v>78</v>
      </c>
      <c r="Y251">
        <v>5</v>
      </c>
      <c r="Z251">
        <v>3.7999999523162802</v>
      </c>
      <c r="AA251">
        <v>1.20000004768372</v>
      </c>
      <c r="AB251">
        <v>1.20000004768372</v>
      </c>
      <c r="AC251">
        <v>233.74636840820301</v>
      </c>
      <c r="AD251" t="s">
        <v>16</v>
      </c>
      <c r="AE251">
        <v>1</v>
      </c>
      <c r="AF251">
        <v>38</v>
      </c>
      <c r="AG251">
        <v>90</v>
      </c>
      <c r="AH251" t="s">
        <v>16</v>
      </c>
      <c r="AI251">
        <v>7</v>
      </c>
      <c r="AJ251">
        <v>12.8599996566772</v>
      </c>
      <c r="AK251" t="s">
        <v>16</v>
      </c>
      <c r="AL251">
        <v>8</v>
      </c>
      <c r="AM251">
        <v>11.25</v>
      </c>
      <c r="AN251" t="s">
        <v>415</v>
      </c>
      <c r="AO251">
        <v>90</v>
      </c>
      <c r="AP251">
        <v>33.057851239669397</v>
      </c>
      <c r="AQ251" s="1">
        <v>42284</v>
      </c>
      <c r="AR251" s="1">
        <v>42286</v>
      </c>
      <c r="AS251" s="1">
        <v>42284</v>
      </c>
      <c r="AT251" s="1" t="s">
        <v>16</v>
      </c>
      <c r="AU251" s="1">
        <v>42295</v>
      </c>
      <c r="AV251" s="1"/>
      <c r="AW251" s="1">
        <v>42295</v>
      </c>
      <c r="AX251" s="1" t="s">
        <v>16</v>
      </c>
      <c r="AY251" t="s">
        <v>21</v>
      </c>
      <c r="AZ251">
        <v>120</v>
      </c>
      <c r="BA251">
        <v>60</v>
      </c>
      <c r="BB251">
        <v>0</v>
      </c>
      <c r="BC251">
        <f t="shared" si="15"/>
        <v>16.905737704918067</v>
      </c>
      <c r="BD251">
        <v>129</v>
      </c>
      <c r="BE251">
        <v>3.8999999999999901</v>
      </c>
      <c r="BF251">
        <v>2.2999999999999901</v>
      </c>
      <c r="BG251">
        <v>8</v>
      </c>
      <c r="BH251">
        <v>168</v>
      </c>
      <c r="BI251">
        <v>4.8799999999999901</v>
      </c>
      <c r="BJ251">
        <v>8.1999999999999904</v>
      </c>
      <c r="BK251">
        <v>4.0999999999999899</v>
      </c>
      <c r="BL251">
        <v>3.7</v>
      </c>
      <c r="BM251">
        <v>125.16</v>
      </c>
    </row>
    <row r="252" spans="1:66" x14ac:dyDescent="0.3">
      <c r="A252">
        <v>251</v>
      </c>
      <c r="B252" t="s">
        <v>434</v>
      </c>
      <c r="C252" s="2" t="s">
        <v>449</v>
      </c>
      <c r="D252">
        <v>71</v>
      </c>
      <c r="E252" s="1">
        <v>43908</v>
      </c>
      <c r="F252" s="1">
        <v>42543</v>
      </c>
      <c r="G252" s="1">
        <v>42478.329965277779</v>
      </c>
      <c r="H252" t="s">
        <v>16</v>
      </c>
      <c r="I252" t="s">
        <v>16</v>
      </c>
      <c r="J252" t="s">
        <v>16</v>
      </c>
      <c r="K252" t="s">
        <v>74</v>
      </c>
      <c r="L252">
        <v>60</v>
      </c>
      <c r="M252" t="s">
        <v>16</v>
      </c>
      <c r="N252" t="s">
        <v>16</v>
      </c>
      <c r="O252" t="s">
        <v>15</v>
      </c>
      <c r="P252" t="s">
        <v>75</v>
      </c>
      <c r="Q252" t="s">
        <v>16</v>
      </c>
      <c r="R252" t="s">
        <v>16</v>
      </c>
      <c r="S252" t="s">
        <v>92</v>
      </c>
      <c r="T252" t="s">
        <v>23</v>
      </c>
      <c r="U252" t="s">
        <v>228</v>
      </c>
      <c r="V252" t="s">
        <v>16</v>
      </c>
      <c r="W252" t="s">
        <v>19</v>
      </c>
      <c r="X252" t="s">
        <v>78</v>
      </c>
      <c r="Y252">
        <v>4.7199997901916504</v>
      </c>
      <c r="Z252">
        <v>2.2999999523162802</v>
      </c>
      <c r="AA252">
        <v>0.82999998331069902</v>
      </c>
      <c r="AB252">
        <v>0.74000000953674305</v>
      </c>
      <c r="AC252">
        <v>120.16184234619099</v>
      </c>
      <c r="AD252">
        <v>73</v>
      </c>
      <c r="AE252">
        <v>1</v>
      </c>
      <c r="AF252">
        <v>43</v>
      </c>
      <c r="AG252">
        <v>100</v>
      </c>
      <c r="AH252">
        <v>7.3099999427795401</v>
      </c>
      <c r="AI252">
        <v>5.0700001716613796</v>
      </c>
      <c r="AJ252">
        <v>19.719999313354499</v>
      </c>
      <c r="AK252">
        <v>9.75</v>
      </c>
      <c r="AL252">
        <v>6.8200001716613796</v>
      </c>
      <c r="AM252">
        <v>14.6599998474121</v>
      </c>
      <c r="AN252" t="s">
        <v>416</v>
      </c>
      <c r="AO252">
        <v>69.7</v>
      </c>
      <c r="AP252">
        <v>30.167936288088601</v>
      </c>
      <c r="AQ252" s="1" t="s">
        <v>16</v>
      </c>
      <c r="AR252" s="1" t="s">
        <v>16</v>
      </c>
      <c r="AS252" s="1" t="s">
        <v>16</v>
      </c>
      <c r="AT252" s="1" t="s">
        <v>16</v>
      </c>
      <c r="AU252" s="1">
        <v>42473</v>
      </c>
      <c r="AV252" s="1">
        <v>42473.128203969907</v>
      </c>
      <c r="AW252" s="1" t="s">
        <v>16</v>
      </c>
      <c r="AX252" s="1" t="s">
        <v>16</v>
      </c>
      <c r="AY252" t="s">
        <v>16</v>
      </c>
      <c r="AZ252">
        <v>113</v>
      </c>
      <c r="BA252">
        <v>58</v>
      </c>
      <c r="BB252">
        <v>0</v>
      </c>
      <c r="BC252">
        <f t="shared" si="15"/>
        <v>8.5198767006802818</v>
      </c>
      <c r="BD252">
        <v>133</v>
      </c>
      <c r="BE252">
        <v>5.4</v>
      </c>
      <c r="BF252">
        <v>3.3999999999999901</v>
      </c>
      <c r="BG252">
        <v>7.5999999999999899</v>
      </c>
      <c r="BH252">
        <v>188</v>
      </c>
      <c r="BI252">
        <v>7.8399999999999901</v>
      </c>
      <c r="BJ252">
        <v>8.4</v>
      </c>
      <c r="BK252">
        <v>8.5</v>
      </c>
      <c r="BL252">
        <v>9.0999999999999908</v>
      </c>
      <c r="BM252">
        <v>0.27</v>
      </c>
      <c r="BN252">
        <v>4.7</v>
      </c>
    </row>
    <row r="253" spans="1:66" x14ac:dyDescent="0.3">
      <c r="A253">
        <v>252</v>
      </c>
      <c r="B253" t="s">
        <v>430</v>
      </c>
      <c r="C253" s="2" t="s">
        <v>449</v>
      </c>
      <c r="D253">
        <v>61</v>
      </c>
      <c r="E253" s="1">
        <v>45337</v>
      </c>
      <c r="F253" s="1">
        <v>40781</v>
      </c>
      <c r="G253" s="1">
        <v>40791.469085648147</v>
      </c>
      <c r="H253" t="s">
        <v>15</v>
      </c>
      <c r="I253" t="s">
        <v>78</v>
      </c>
      <c r="J253" t="s">
        <v>37</v>
      </c>
      <c r="K253" t="s">
        <v>16</v>
      </c>
      <c r="L253">
        <v>70</v>
      </c>
      <c r="M253" t="s">
        <v>16</v>
      </c>
      <c r="N253" t="s">
        <v>16</v>
      </c>
      <c r="O253" t="s">
        <v>17</v>
      </c>
      <c r="P253" t="s">
        <v>16</v>
      </c>
      <c r="Q253" t="s">
        <v>16</v>
      </c>
      <c r="R253" t="s">
        <v>153</v>
      </c>
      <c r="S253" t="s">
        <v>16</v>
      </c>
      <c r="T253" t="s">
        <v>18</v>
      </c>
      <c r="U253" t="s">
        <v>16</v>
      </c>
      <c r="V253" t="s">
        <v>16</v>
      </c>
      <c r="W253" t="s">
        <v>19</v>
      </c>
      <c r="X253" t="s">
        <v>78</v>
      </c>
      <c r="Y253">
        <v>4.8000001907348597</v>
      </c>
      <c r="Z253">
        <v>2.7000000476837198</v>
      </c>
      <c r="AA253">
        <v>1.20000004768372</v>
      </c>
      <c r="AB253">
        <v>1</v>
      </c>
      <c r="AC253">
        <v>193.963455200195</v>
      </c>
      <c r="AD253">
        <v>97</v>
      </c>
      <c r="AE253">
        <v>1</v>
      </c>
      <c r="AF253">
        <v>36</v>
      </c>
      <c r="AG253">
        <v>86</v>
      </c>
      <c r="AH253">
        <v>7</v>
      </c>
      <c r="AI253">
        <v>5</v>
      </c>
      <c r="AJ253">
        <v>17.200000762939499</v>
      </c>
      <c r="AK253">
        <v>11</v>
      </c>
      <c r="AL253">
        <v>7</v>
      </c>
      <c r="AM253">
        <v>12.289999961853001</v>
      </c>
      <c r="AN253" t="s">
        <v>417</v>
      </c>
      <c r="AO253">
        <v>71</v>
      </c>
      <c r="AP253">
        <v>26.7228725206067</v>
      </c>
      <c r="AQ253" s="1" t="s">
        <v>16</v>
      </c>
      <c r="AR253" s="1" t="s">
        <v>16</v>
      </c>
      <c r="AS253" s="1">
        <v>40885</v>
      </c>
      <c r="AT253" s="1" t="s">
        <v>16</v>
      </c>
      <c r="AU253" s="1">
        <v>40778</v>
      </c>
      <c r="AV253" s="1">
        <v>40778.111769097217</v>
      </c>
      <c r="AW253" s="1">
        <v>40778</v>
      </c>
      <c r="AX253" s="1" t="s">
        <v>16</v>
      </c>
      <c r="AY253" t="s">
        <v>16</v>
      </c>
      <c r="AZ253">
        <v>159</v>
      </c>
      <c r="BA253">
        <v>92</v>
      </c>
      <c r="BB253">
        <v>3</v>
      </c>
      <c r="BC253">
        <f t="shared" si="15"/>
        <v>10.865101503176831</v>
      </c>
      <c r="BD253">
        <v>132</v>
      </c>
      <c r="BE253">
        <v>4.4000000000000004</v>
      </c>
      <c r="BF253">
        <v>3.7</v>
      </c>
      <c r="BG253">
        <v>10.6999999999999</v>
      </c>
      <c r="BH253">
        <v>191</v>
      </c>
      <c r="BI253">
        <v>7.1699999999999902</v>
      </c>
      <c r="BJ253">
        <v>8.9</v>
      </c>
      <c r="BK253">
        <v>5.5</v>
      </c>
      <c r="BL253">
        <v>10.1999999999999</v>
      </c>
      <c r="BM253">
        <v>5.0999999999999899</v>
      </c>
      <c r="BN253">
        <v>4.5</v>
      </c>
    </row>
    <row r="254" spans="1:66" x14ac:dyDescent="0.3">
      <c r="A254">
        <v>253</v>
      </c>
      <c r="B254" t="s">
        <v>430</v>
      </c>
      <c r="C254" s="2" t="s">
        <v>449</v>
      </c>
      <c r="D254">
        <v>78</v>
      </c>
      <c r="E254" s="1">
        <v>42114</v>
      </c>
      <c r="F254" s="1">
        <v>41208</v>
      </c>
      <c r="G254" s="1">
        <v>41024.451180555552</v>
      </c>
      <c r="H254" t="s">
        <v>15</v>
      </c>
      <c r="I254" t="s">
        <v>16</v>
      </c>
      <c r="J254" t="s">
        <v>15</v>
      </c>
      <c r="K254" t="s">
        <v>77</v>
      </c>
      <c r="L254">
        <v>70</v>
      </c>
      <c r="M254" t="s">
        <v>16</v>
      </c>
      <c r="N254" t="s">
        <v>16</v>
      </c>
      <c r="O254" t="s">
        <v>17</v>
      </c>
      <c r="P254" t="s">
        <v>75</v>
      </c>
      <c r="Q254" t="s">
        <v>19</v>
      </c>
      <c r="R254" t="s">
        <v>16</v>
      </c>
      <c r="S254" t="s">
        <v>16</v>
      </c>
      <c r="T254" t="s">
        <v>19</v>
      </c>
      <c r="U254" t="s">
        <v>418</v>
      </c>
      <c r="V254" t="s">
        <v>16</v>
      </c>
      <c r="W254" t="s">
        <v>16</v>
      </c>
      <c r="X254" t="s">
        <v>15</v>
      </c>
      <c r="Y254">
        <v>4.1999998092651403</v>
      </c>
      <c r="Z254">
        <v>2.5999999046325701</v>
      </c>
      <c r="AA254">
        <v>1.29999995231628</v>
      </c>
      <c r="AB254">
        <v>9</v>
      </c>
      <c r="AC254">
        <v>2475.41479492188</v>
      </c>
      <c r="AD254">
        <v>1538</v>
      </c>
      <c r="AE254">
        <v>1</v>
      </c>
      <c r="AF254">
        <v>19</v>
      </c>
      <c r="AG254">
        <v>112</v>
      </c>
      <c r="AH254">
        <v>7</v>
      </c>
      <c r="AI254">
        <v>4</v>
      </c>
      <c r="AJ254">
        <v>28</v>
      </c>
      <c r="AK254">
        <v>10</v>
      </c>
      <c r="AL254">
        <v>5</v>
      </c>
      <c r="AM254">
        <v>22.399999618530298</v>
      </c>
      <c r="AN254" t="s">
        <v>419</v>
      </c>
      <c r="AO254">
        <v>75</v>
      </c>
      <c r="AP254">
        <v>29.296875</v>
      </c>
      <c r="AQ254" s="1" t="s">
        <v>16</v>
      </c>
      <c r="AR254" s="1" t="s">
        <v>16</v>
      </c>
      <c r="AS254" s="1" t="s">
        <v>16</v>
      </c>
      <c r="AT254" s="1" t="s">
        <v>16</v>
      </c>
      <c r="AU254" s="1">
        <v>40148</v>
      </c>
      <c r="AV254" s="1">
        <v>40148.26957592593</v>
      </c>
      <c r="AW254" s="1" t="s">
        <v>16</v>
      </c>
      <c r="AX254" s="1" t="s">
        <v>16</v>
      </c>
      <c r="AY254" t="s">
        <v>21</v>
      </c>
      <c r="AZ254">
        <v>175</v>
      </c>
      <c r="BA254">
        <v>67</v>
      </c>
      <c r="BB254">
        <v>0</v>
      </c>
      <c r="BC254">
        <f t="shared" si="15"/>
        <v>13.596491228070175</v>
      </c>
      <c r="BD254">
        <v>135</v>
      </c>
      <c r="BE254">
        <v>3.7999999999999901</v>
      </c>
      <c r="BF254">
        <v>2.7999999999999901</v>
      </c>
      <c r="BG254">
        <v>10.6</v>
      </c>
      <c r="BH254">
        <v>141</v>
      </c>
      <c r="BI254">
        <v>4.75</v>
      </c>
      <c r="BJ254">
        <v>8.4</v>
      </c>
      <c r="BK254">
        <v>3</v>
      </c>
      <c r="BL254">
        <v>7</v>
      </c>
      <c r="BM254">
        <v>22.09</v>
      </c>
      <c r="BN254">
        <v>8.6999999999999904</v>
      </c>
    </row>
    <row r="255" spans="1:66" x14ac:dyDescent="0.3">
      <c r="A255">
        <v>254</v>
      </c>
      <c r="B255" t="s">
        <v>430</v>
      </c>
      <c r="C255" s="2" t="s">
        <v>448</v>
      </c>
      <c r="D255">
        <v>76</v>
      </c>
      <c r="E255" s="1">
        <v>43594</v>
      </c>
      <c r="F255" s="1">
        <v>43381</v>
      </c>
      <c r="G255" s="1">
        <v>43335.355520833335</v>
      </c>
      <c r="H255" t="s">
        <v>15</v>
      </c>
      <c r="I255" t="s">
        <v>16</v>
      </c>
      <c r="J255" t="s">
        <v>15</v>
      </c>
      <c r="K255" t="s">
        <v>16</v>
      </c>
      <c r="L255">
        <v>60</v>
      </c>
      <c r="M255" t="s">
        <v>17</v>
      </c>
      <c r="N255" t="s">
        <v>15</v>
      </c>
      <c r="O255" t="s">
        <v>25</v>
      </c>
      <c r="P255" t="s">
        <v>85</v>
      </c>
      <c r="Q255" t="s">
        <v>18</v>
      </c>
      <c r="R255" t="s">
        <v>16</v>
      </c>
      <c r="S255" t="s">
        <v>126</v>
      </c>
      <c r="T255" t="s">
        <v>18</v>
      </c>
      <c r="U255" t="s">
        <v>16</v>
      </c>
      <c r="V255" t="s">
        <v>16</v>
      </c>
      <c r="W255" t="s">
        <v>29</v>
      </c>
      <c r="X255" t="s">
        <v>90</v>
      </c>
      <c r="Y255">
        <v>4.4000000953674299</v>
      </c>
      <c r="Z255">
        <v>3.2000000476837198</v>
      </c>
      <c r="AA255">
        <v>1.1000000238418599</v>
      </c>
      <c r="AB255">
        <v>1.1000000238418599</v>
      </c>
      <c r="AC255">
        <v>168.923583984375</v>
      </c>
      <c r="AD255" t="s">
        <v>16</v>
      </c>
      <c r="AE255">
        <v>1</v>
      </c>
      <c r="AF255">
        <v>63</v>
      </c>
      <c r="AG255" t="s">
        <v>16</v>
      </c>
      <c r="AH255" t="s">
        <v>16</v>
      </c>
      <c r="AI255" t="s">
        <v>16</v>
      </c>
      <c r="AJ255" t="s">
        <v>16</v>
      </c>
      <c r="AK255" t="s">
        <v>16</v>
      </c>
      <c r="AL255" t="s">
        <v>16</v>
      </c>
      <c r="AM255" t="s">
        <v>16</v>
      </c>
      <c r="AN255" t="s">
        <v>420</v>
      </c>
      <c r="AO255">
        <v>63</v>
      </c>
      <c r="AP255">
        <v>21.295294753920999</v>
      </c>
      <c r="AQ255" s="1" t="s">
        <v>16</v>
      </c>
      <c r="AR255" s="1" t="s">
        <v>16</v>
      </c>
      <c r="AS255" s="1">
        <v>43335</v>
      </c>
      <c r="AT255" s="1">
        <v>43334</v>
      </c>
      <c r="AU255" s="1">
        <v>43334</v>
      </c>
      <c r="AV255" s="1"/>
      <c r="AW255" s="1" t="s">
        <v>16</v>
      </c>
      <c r="AX255" s="1">
        <v>43334</v>
      </c>
      <c r="AY255" t="s">
        <v>16</v>
      </c>
      <c r="AZ255">
        <v>124</v>
      </c>
      <c r="BA255">
        <v>41</v>
      </c>
      <c r="BB255">
        <v>0</v>
      </c>
      <c r="BC255">
        <f t="shared" si="15"/>
        <v>25.112107623318384</v>
      </c>
      <c r="BD255">
        <v>132.19999999999899</v>
      </c>
      <c r="BE255">
        <v>5.29</v>
      </c>
      <c r="BF255">
        <v>1.8999999999999899</v>
      </c>
      <c r="BG255">
        <v>7.2</v>
      </c>
      <c r="BH255">
        <v>257</v>
      </c>
      <c r="BI255">
        <v>2.23</v>
      </c>
      <c r="BJ255">
        <v>8.0999999999999908</v>
      </c>
      <c r="BK255">
        <v>7.5</v>
      </c>
      <c r="BL255">
        <v>5.5</v>
      </c>
      <c r="BM255">
        <v>52.1</v>
      </c>
    </row>
    <row r="256" spans="1:66" x14ac:dyDescent="0.3">
      <c r="A256">
        <v>255</v>
      </c>
      <c r="B256" t="s">
        <v>430</v>
      </c>
      <c r="C256" s="2" t="s">
        <v>448</v>
      </c>
      <c r="D256">
        <v>63</v>
      </c>
      <c r="E256" s="1">
        <v>41728</v>
      </c>
      <c r="F256" s="1">
        <v>41698</v>
      </c>
      <c r="G256" s="1">
        <v>41705.382905092592</v>
      </c>
      <c r="H256" t="s">
        <v>15</v>
      </c>
      <c r="I256" t="s">
        <v>16</v>
      </c>
      <c r="J256" t="s">
        <v>28</v>
      </c>
      <c r="K256" t="s">
        <v>16</v>
      </c>
      <c r="L256">
        <v>35</v>
      </c>
      <c r="M256" t="s">
        <v>15</v>
      </c>
      <c r="N256" t="s">
        <v>15</v>
      </c>
      <c r="O256" t="s">
        <v>15</v>
      </c>
      <c r="P256" t="s">
        <v>75</v>
      </c>
      <c r="Q256" t="s">
        <v>16</v>
      </c>
      <c r="R256" t="s">
        <v>219</v>
      </c>
      <c r="S256" t="s">
        <v>16</v>
      </c>
      <c r="T256" t="s">
        <v>18</v>
      </c>
      <c r="U256" t="s">
        <v>16</v>
      </c>
      <c r="V256" t="s">
        <v>16</v>
      </c>
      <c r="W256" t="s">
        <v>18</v>
      </c>
      <c r="X256" t="s">
        <v>15</v>
      </c>
      <c r="Y256">
        <v>5.1999998092651403</v>
      </c>
      <c r="Z256">
        <v>3.0999999046325701</v>
      </c>
      <c r="AA256">
        <v>1.1000000238418599</v>
      </c>
      <c r="AB256">
        <v>1</v>
      </c>
      <c r="AC256">
        <v>207.276290893555</v>
      </c>
      <c r="AD256" t="s">
        <v>16</v>
      </c>
      <c r="AE256">
        <v>2.1900000572204599</v>
      </c>
      <c r="AF256">
        <v>34</v>
      </c>
      <c r="AG256">
        <v>64.800003051757798</v>
      </c>
      <c r="AH256">
        <v>8.6000003814697301</v>
      </c>
      <c r="AI256">
        <v>5.1999998092651403</v>
      </c>
      <c r="AJ256">
        <v>12.460000038146999</v>
      </c>
      <c r="AK256">
        <v>9.3000001907348597</v>
      </c>
      <c r="AL256">
        <v>7.0999999046325701</v>
      </c>
      <c r="AM256">
        <v>9.1300001144409197</v>
      </c>
      <c r="AN256" t="s">
        <v>421</v>
      </c>
      <c r="AO256" t="s">
        <v>16</v>
      </c>
      <c r="AP256" t="s">
        <v>16</v>
      </c>
      <c r="AQ256" s="1" t="s">
        <v>16</v>
      </c>
      <c r="AR256" s="1" t="s">
        <v>16</v>
      </c>
      <c r="AS256" s="1">
        <v>41699</v>
      </c>
      <c r="AT256" s="1" t="s">
        <v>16</v>
      </c>
      <c r="AU256" s="1" t="s">
        <v>16</v>
      </c>
      <c r="AV256" s="1"/>
      <c r="AW256" s="1" t="s">
        <v>16</v>
      </c>
      <c r="AX256" s="1" t="s">
        <v>16</v>
      </c>
      <c r="AY256" t="s">
        <v>16</v>
      </c>
      <c r="AZ256">
        <v>125</v>
      </c>
      <c r="BA256">
        <v>69</v>
      </c>
      <c r="BB256">
        <v>0</v>
      </c>
      <c r="BC256">
        <v>11.1</v>
      </c>
      <c r="BD256">
        <v>139</v>
      </c>
      <c r="BE256">
        <v>6.4</v>
      </c>
      <c r="BF256">
        <v>3.3999999999999901</v>
      </c>
      <c r="BG256">
        <v>8.8000000000000007</v>
      </c>
      <c r="BH256">
        <v>84</v>
      </c>
      <c r="BI256">
        <v>5.2699999999999898</v>
      </c>
      <c r="BJ256">
        <v>8.1999999999999904</v>
      </c>
      <c r="BK256">
        <v>6.2</v>
      </c>
      <c r="BL256">
        <v>1.7</v>
      </c>
    </row>
    <row r="257" spans="1:66" x14ac:dyDescent="0.3">
      <c r="A257">
        <v>256</v>
      </c>
      <c r="B257" t="s">
        <v>434</v>
      </c>
      <c r="C257" s="2" t="s">
        <v>448</v>
      </c>
      <c r="D257">
        <v>29</v>
      </c>
      <c r="E257" s="1" t="s">
        <v>16</v>
      </c>
      <c r="F257" s="1">
        <v>42142</v>
      </c>
      <c r="G257" s="1">
        <v>42101.376076388886</v>
      </c>
      <c r="H257" t="s">
        <v>25</v>
      </c>
      <c r="I257" t="s">
        <v>15</v>
      </c>
      <c r="J257" t="s">
        <v>35</v>
      </c>
      <c r="K257" t="s">
        <v>16</v>
      </c>
      <c r="L257">
        <v>25</v>
      </c>
      <c r="M257" t="s">
        <v>79</v>
      </c>
      <c r="N257" t="s">
        <v>28</v>
      </c>
      <c r="O257" t="s">
        <v>16</v>
      </c>
      <c r="P257" t="s">
        <v>422</v>
      </c>
      <c r="Q257" t="s">
        <v>16</v>
      </c>
      <c r="R257" t="s">
        <v>16</v>
      </c>
      <c r="S257" t="s">
        <v>16</v>
      </c>
      <c r="T257" t="s">
        <v>29</v>
      </c>
      <c r="U257" t="s">
        <v>16</v>
      </c>
      <c r="V257" t="s">
        <v>16</v>
      </c>
      <c r="W257" t="s">
        <v>19</v>
      </c>
      <c r="X257" t="s">
        <v>87</v>
      </c>
      <c r="Y257">
        <v>6.4000000953674299</v>
      </c>
      <c r="Z257">
        <v>5.1300001144409197</v>
      </c>
      <c r="AA257">
        <v>0.94999998807907104</v>
      </c>
      <c r="AB257">
        <v>0.81999999284744296</v>
      </c>
      <c r="AC257">
        <v>236.21783447265599</v>
      </c>
      <c r="AD257">
        <v>102</v>
      </c>
      <c r="AE257">
        <v>2.3099999427795401</v>
      </c>
      <c r="AF257">
        <v>44</v>
      </c>
      <c r="AG257">
        <v>80.559997558593807</v>
      </c>
      <c r="AH257" t="s">
        <v>16</v>
      </c>
      <c r="AI257" t="s">
        <v>16</v>
      </c>
      <c r="AJ257" t="s">
        <v>16</v>
      </c>
      <c r="AK257" t="s">
        <v>16</v>
      </c>
      <c r="AL257" t="s">
        <v>16</v>
      </c>
      <c r="AM257" t="s">
        <v>16</v>
      </c>
      <c r="AN257" t="s">
        <v>423</v>
      </c>
      <c r="AO257">
        <v>99</v>
      </c>
      <c r="AP257">
        <v>25.770512286547302</v>
      </c>
      <c r="AQ257" s="1" t="s">
        <v>16</v>
      </c>
      <c r="AR257" s="1" t="s">
        <v>16</v>
      </c>
      <c r="AS257" s="1" t="s">
        <v>16</v>
      </c>
      <c r="AT257" s="1">
        <v>42106</v>
      </c>
      <c r="AU257" s="1" t="s">
        <v>16</v>
      </c>
      <c r="AV257" s="1"/>
      <c r="AW257" s="1" t="s">
        <v>16</v>
      </c>
      <c r="AX257" s="1" t="s">
        <v>16</v>
      </c>
      <c r="AY257" t="s">
        <v>16</v>
      </c>
      <c r="AZ257">
        <v>118</v>
      </c>
      <c r="BA257">
        <v>43</v>
      </c>
      <c r="BB257">
        <v>0</v>
      </c>
      <c r="BC257">
        <f>(140-D257)*AO257/(72*BI257)</f>
        <v>82.948369565217376</v>
      </c>
      <c r="BD257">
        <v>129.9</v>
      </c>
      <c r="BE257">
        <v>4.16</v>
      </c>
      <c r="BF257">
        <v>2.6</v>
      </c>
      <c r="BH257">
        <v>139</v>
      </c>
      <c r="BI257">
        <v>1.84</v>
      </c>
      <c r="BJ257">
        <v>7.4</v>
      </c>
      <c r="BK257">
        <v>4.5999999999999899</v>
      </c>
      <c r="BL257">
        <v>11.9</v>
      </c>
      <c r="BM257">
        <v>131.02000000000001</v>
      </c>
      <c r="BN257">
        <v>4.5999999999999899</v>
      </c>
    </row>
    <row r="258" spans="1:66" x14ac:dyDescent="0.3">
      <c r="A258">
        <v>257</v>
      </c>
      <c r="B258" t="s">
        <v>430</v>
      </c>
      <c r="C258" s="2" t="s">
        <v>449</v>
      </c>
      <c r="D258">
        <v>67</v>
      </c>
      <c r="E258" s="1">
        <v>45031</v>
      </c>
      <c r="F258" s="1">
        <v>44978</v>
      </c>
      <c r="G258" s="1">
        <v>44959.413252314815</v>
      </c>
      <c r="H258" t="s">
        <v>15</v>
      </c>
      <c r="I258" t="s">
        <v>15</v>
      </c>
      <c r="J258" t="s">
        <v>35</v>
      </c>
      <c r="K258" t="s">
        <v>16</v>
      </c>
      <c r="L258">
        <v>28</v>
      </c>
      <c r="M258" t="s">
        <v>16</v>
      </c>
      <c r="N258" t="s">
        <v>16</v>
      </c>
      <c r="O258" t="s">
        <v>17</v>
      </c>
      <c r="P258" t="s">
        <v>85</v>
      </c>
      <c r="Q258" t="s">
        <v>19</v>
      </c>
      <c r="R258" t="s">
        <v>16</v>
      </c>
      <c r="S258" t="s">
        <v>16</v>
      </c>
      <c r="T258" t="s">
        <v>19</v>
      </c>
      <c r="U258" t="s">
        <v>132</v>
      </c>
      <c r="V258" t="s">
        <v>16</v>
      </c>
      <c r="W258" t="s">
        <v>19</v>
      </c>
      <c r="X258" t="s">
        <v>90</v>
      </c>
      <c r="Y258">
        <v>5.28999996185303</v>
      </c>
      <c r="Z258">
        <v>4.0999999046325701</v>
      </c>
      <c r="AA258">
        <v>0.92000001668930098</v>
      </c>
      <c r="AB258">
        <v>0.81999999284744296</v>
      </c>
      <c r="AC258">
        <v>166.49501037597699</v>
      </c>
      <c r="AD258" t="s">
        <v>16</v>
      </c>
      <c r="AE258">
        <v>1.9400000572204601</v>
      </c>
      <c r="AF258">
        <v>95</v>
      </c>
      <c r="AG258">
        <v>128</v>
      </c>
      <c r="AH258" t="s">
        <v>16</v>
      </c>
      <c r="AI258">
        <v>9.4799995422363299</v>
      </c>
      <c r="AJ258">
        <v>13.5</v>
      </c>
      <c r="AK258">
        <v>13.199999809265099</v>
      </c>
      <c r="AL258">
        <v>8.1199998855590803</v>
      </c>
      <c r="AM258">
        <v>15.7600002288818</v>
      </c>
      <c r="AN258" t="s">
        <v>424</v>
      </c>
      <c r="AO258">
        <v>105</v>
      </c>
      <c r="AP258">
        <v>38.567493112947702</v>
      </c>
      <c r="AQ258" s="1">
        <v>44940</v>
      </c>
      <c r="AR258" s="1" t="s">
        <v>16</v>
      </c>
      <c r="AS258" s="1">
        <v>44959</v>
      </c>
      <c r="AT258" s="1">
        <v>44959</v>
      </c>
      <c r="AU258" s="1">
        <v>44959</v>
      </c>
      <c r="AV258" s="1">
        <v>44959.289042013887</v>
      </c>
      <c r="AW258" s="1">
        <v>44979</v>
      </c>
      <c r="AX258" s="1" t="s">
        <v>16</v>
      </c>
      <c r="AY258" t="s">
        <v>16</v>
      </c>
      <c r="AZ258">
        <v>97</v>
      </c>
      <c r="BA258">
        <v>62</v>
      </c>
      <c r="BB258">
        <v>0</v>
      </c>
      <c r="BC258">
        <f>(140-D258)*AO258/(72*BI258)</f>
        <v>18.013254371122393</v>
      </c>
      <c r="BD258">
        <v>139</v>
      </c>
      <c r="BE258">
        <v>2.8999999999999901</v>
      </c>
      <c r="BF258">
        <v>2.1</v>
      </c>
      <c r="BG258">
        <v>8</v>
      </c>
      <c r="BH258">
        <v>179</v>
      </c>
      <c r="BI258">
        <v>5.91</v>
      </c>
      <c r="BJ258">
        <v>8.8000000000000007</v>
      </c>
      <c r="BK258">
        <v>8.3000000000000007</v>
      </c>
      <c r="BL258">
        <v>10.1999999999999</v>
      </c>
      <c r="BM258">
        <v>102.3</v>
      </c>
      <c r="BN258">
        <v>10.1999999999999</v>
      </c>
    </row>
    <row r="259" spans="1:66" x14ac:dyDescent="0.3">
      <c r="A259">
        <v>258</v>
      </c>
      <c r="B259" t="s">
        <v>430</v>
      </c>
      <c r="C259" s="2" t="s">
        <v>448</v>
      </c>
      <c r="D259">
        <v>80</v>
      </c>
      <c r="E259" s="1" t="s">
        <v>16</v>
      </c>
      <c r="F259" s="1">
        <v>44672</v>
      </c>
      <c r="G259" s="1">
        <v>44689.453310185185</v>
      </c>
      <c r="H259" t="s">
        <v>15</v>
      </c>
      <c r="I259" t="s">
        <v>87</v>
      </c>
      <c r="J259" t="s">
        <v>37</v>
      </c>
      <c r="K259" t="s">
        <v>16</v>
      </c>
      <c r="L259">
        <v>70</v>
      </c>
      <c r="M259" t="s">
        <v>16</v>
      </c>
      <c r="N259" t="s">
        <v>16</v>
      </c>
      <c r="O259" t="s">
        <v>17</v>
      </c>
      <c r="P259" t="s">
        <v>75</v>
      </c>
      <c r="Q259" t="s">
        <v>16</v>
      </c>
      <c r="R259" t="s">
        <v>16</v>
      </c>
      <c r="S259" t="s">
        <v>16</v>
      </c>
      <c r="T259" t="s">
        <v>18</v>
      </c>
      <c r="U259" t="s">
        <v>96</v>
      </c>
      <c r="V259" t="s">
        <v>16</v>
      </c>
      <c r="W259" t="s">
        <v>18</v>
      </c>
      <c r="X259" t="s">
        <v>16</v>
      </c>
      <c r="Y259">
        <v>3.9900000095367401</v>
      </c>
      <c r="Z259">
        <v>2.5699999332428001</v>
      </c>
      <c r="AA259">
        <v>1.6499999761581401</v>
      </c>
      <c r="AB259">
        <v>1.4400000572204601</v>
      </c>
      <c r="AC259">
        <v>243.02293395996099</v>
      </c>
      <c r="AD259">
        <v>100</v>
      </c>
      <c r="AE259">
        <v>1</v>
      </c>
      <c r="AF259" t="s">
        <v>16</v>
      </c>
      <c r="AG259">
        <v>138</v>
      </c>
      <c r="AH259" t="s">
        <v>16</v>
      </c>
      <c r="AI259">
        <v>6.0900001525878897</v>
      </c>
      <c r="AJ259">
        <v>22.659999847412099</v>
      </c>
      <c r="AK259">
        <v>8.8999996185302699</v>
      </c>
      <c r="AL259">
        <v>10.199999809265099</v>
      </c>
      <c r="AM259">
        <v>13.5299997329712</v>
      </c>
      <c r="AN259" t="s">
        <v>425</v>
      </c>
      <c r="AO259">
        <v>104</v>
      </c>
      <c r="AP259">
        <v>32.824138366367897</v>
      </c>
      <c r="AQ259" s="1" t="s">
        <v>16</v>
      </c>
      <c r="AR259" s="1" t="s">
        <v>16</v>
      </c>
      <c r="AS259" t="s">
        <v>16</v>
      </c>
      <c r="AT259" s="1">
        <v>44685</v>
      </c>
      <c r="AU259" s="1">
        <v>44685</v>
      </c>
      <c r="AV259" s="1"/>
      <c r="AW259" s="1" t="s">
        <v>16</v>
      </c>
      <c r="AX259" s="1" t="s">
        <v>16</v>
      </c>
      <c r="AY259" t="s">
        <v>16</v>
      </c>
      <c r="AZ259">
        <v>133</v>
      </c>
      <c r="BA259">
        <v>82</v>
      </c>
      <c r="BB259">
        <v>0</v>
      </c>
      <c r="BC259">
        <f>(140-D259)*AO259/(72*BI259)</f>
        <v>13.800424628450106</v>
      </c>
      <c r="BD259">
        <v>125</v>
      </c>
      <c r="BE259">
        <v>4.9000000000000004</v>
      </c>
      <c r="BF259">
        <v>3.2999999999999901</v>
      </c>
      <c r="BG259">
        <v>8.9</v>
      </c>
      <c r="BH259">
        <v>237</v>
      </c>
      <c r="BI259">
        <v>6.28</v>
      </c>
      <c r="BJ259">
        <v>6.9</v>
      </c>
      <c r="BK259">
        <v>7.5999999999999899</v>
      </c>
      <c r="BL259">
        <v>8.0999999999999908</v>
      </c>
      <c r="BM259">
        <v>34.159999999999897</v>
      </c>
      <c r="BN259">
        <v>5.7999999999999901</v>
      </c>
    </row>
    <row r="260" spans="1:66" x14ac:dyDescent="0.3">
      <c r="A260">
        <v>259</v>
      </c>
      <c r="B260" t="s">
        <v>430</v>
      </c>
      <c r="C260" s="2" t="s">
        <v>448</v>
      </c>
      <c r="D260">
        <v>32</v>
      </c>
      <c r="E260" s="1">
        <v>43545</v>
      </c>
      <c r="F260" s="1">
        <v>43521</v>
      </c>
      <c r="G260" s="1">
        <v>43292.520381944443</v>
      </c>
      <c r="H260" t="s">
        <v>17</v>
      </c>
      <c r="I260" t="s">
        <v>15</v>
      </c>
      <c r="J260" t="s">
        <v>22</v>
      </c>
      <c r="K260" t="s">
        <v>16</v>
      </c>
      <c r="L260">
        <v>40</v>
      </c>
      <c r="M260" t="s">
        <v>15</v>
      </c>
      <c r="N260" t="s">
        <v>15</v>
      </c>
      <c r="O260" t="s">
        <v>17</v>
      </c>
      <c r="P260" t="s">
        <v>15</v>
      </c>
      <c r="Q260" t="s">
        <v>33</v>
      </c>
      <c r="R260" t="s">
        <v>16</v>
      </c>
      <c r="S260" t="s">
        <v>16</v>
      </c>
      <c r="T260" t="s">
        <v>18</v>
      </c>
      <c r="U260" t="s">
        <v>16</v>
      </c>
      <c r="V260" t="s">
        <v>93</v>
      </c>
      <c r="W260" t="s">
        <v>18</v>
      </c>
      <c r="X260" t="s">
        <v>78</v>
      </c>
      <c r="Y260">
        <v>6.0999999046325701</v>
      </c>
      <c r="Z260">
        <v>4.9000000953674299</v>
      </c>
      <c r="AA260">
        <v>0.80000001192092896</v>
      </c>
      <c r="AB260">
        <v>0.80000001192092896</v>
      </c>
      <c r="AC260">
        <v>191.58726501464801</v>
      </c>
      <c r="AD260">
        <v>89</v>
      </c>
      <c r="AE260">
        <v>2</v>
      </c>
      <c r="AF260">
        <v>43</v>
      </c>
      <c r="AG260">
        <v>138</v>
      </c>
      <c r="AH260">
        <v>5</v>
      </c>
      <c r="AI260">
        <v>15</v>
      </c>
      <c r="AJ260">
        <v>9.1999998092651403</v>
      </c>
      <c r="AK260">
        <v>11</v>
      </c>
      <c r="AL260">
        <v>18</v>
      </c>
      <c r="AM260">
        <v>7.6700000762939498</v>
      </c>
      <c r="AN260" t="s">
        <v>426</v>
      </c>
      <c r="AO260">
        <v>155</v>
      </c>
      <c r="AP260">
        <v>50.038739669421503</v>
      </c>
      <c r="AQ260" s="1" t="s">
        <v>16</v>
      </c>
      <c r="AR260" s="1" t="s">
        <v>16</v>
      </c>
      <c r="AS260" t="s">
        <v>16</v>
      </c>
      <c r="AT260" s="1" t="s">
        <v>16</v>
      </c>
      <c r="AU260" t="s">
        <v>16</v>
      </c>
      <c r="AV260" s="1"/>
      <c r="AW260" s="1" t="s">
        <v>16</v>
      </c>
      <c r="AX260" s="1" t="s">
        <v>16</v>
      </c>
      <c r="AY260" t="s">
        <v>21</v>
      </c>
      <c r="AZ260">
        <v>120</v>
      </c>
      <c r="BA260">
        <v>66</v>
      </c>
      <c r="BB260">
        <v>0</v>
      </c>
      <c r="BC260">
        <f>(140-D260)*AO260/(72*BI260)</f>
        <v>62.668463611859835</v>
      </c>
      <c r="BD260">
        <v>139</v>
      </c>
      <c r="BE260">
        <v>3.6</v>
      </c>
      <c r="BF260">
        <v>2.3999999999999901</v>
      </c>
      <c r="BG260">
        <v>8.0999999999999908</v>
      </c>
      <c r="BH260">
        <v>123</v>
      </c>
      <c r="BI260">
        <v>3.71</v>
      </c>
      <c r="BJ260">
        <v>7.7</v>
      </c>
      <c r="BK260">
        <v>7</v>
      </c>
      <c r="BL260">
        <v>5.5</v>
      </c>
      <c r="BM260">
        <v>399.48</v>
      </c>
      <c r="BN260">
        <v>5.2</v>
      </c>
    </row>
    <row r="261" spans="1:66" x14ac:dyDescent="0.3">
      <c r="A261">
        <v>260</v>
      </c>
      <c r="B261" t="s">
        <v>430</v>
      </c>
      <c r="C261" s="2" t="s">
        <v>448</v>
      </c>
      <c r="D261">
        <v>80</v>
      </c>
      <c r="E261" s="1">
        <v>44913</v>
      </c>
      <c r="F261" s="1">
        <v>44909</v>
      </c>
      <c r="G261" s="1">
        <v>44754.390914351854</v>
      </c>
      <c r="H261" t="s">
        <v>15</v>
      </c>
      <c r="I261" t="s">
        <v>78</v>
      </c>
      <c r="J261" t="s">
        <v>24</v>
      </c>
      <c r="K261" t="s">
        <v>16</v>
      </c>
      <c r="L261">
        <v>50</v>
      </c>
      <c r="M261" t="s">
        <v>16</v>
      </c>
      <c r="N261" t="s">
        <v>16</v>
      </c>
      <c r="O261" t="s">
        <v>25</v>
      </c>
      <c r="P261" t="s">
        <v>16</v>
      </c>
      <c r="Q261" t="s">
        <v>16</v>
      </c>
      <c r="R261" t="s">
        <v>16</v>
      </c>
      <c r="S261" t="s">
        <v>16</v>
      </c>
      <c r="T261" t="s">
        <v>19</v>
      </c>
      <c r="U261" t="s">
        <v>16</v>
      </c>
      <c r="V261" t="s">
        <v>16</v>
      </c>
      <c r="W261" t="s">
        <v>34</v>
      </c>
      <c r="X261" t="s">
        <v>90</v>
      </c>
      <c r="Y261">
        <v>4.6999998092651403</v>
      </c>
      <c r="Z261">
        <v>3.0999999046325701</v>
      </c>
      <c r="AA261">
        <v>1.20000004768372</v>
      </c>
      <c r="AB261">
        <v>1</v>
      </c>
      <c r="AC261">
        <v>187.53875732421901</v>
      </c>
      <c r="AD261">
        <v>85</v>
      </c>
      <c r="AE261">
        <v>1</v>
      </c>
      <c r="AF261">
        <v>75</v>
      </c>
      <c r="AG261">
        <v>92.5</v>
      </c>
      <c r="AH261" t="s">
        <v>16</v>
      </c>
      <c r="AI261">
        <v>7.0700001716613796</v>
      </c>
      <c r="AJ261">
        <v>13.079999923706101</v>
      </c>
      <c r="AK261">
        <v>5.1100001335143999</v>
      </c>
      <c r="AL261">
        <v>8.1599998474121094</v>
      </c>
      <c r="AM261">
        <v>11.3400001525879</v>
      </c>
      <c r="AN261" t="s">
        <v>427</v>
      </c>
      <c r="AO261" t="s">
        <v>16</v>
      </c>
      <c r="AP261" t="s">
        <v>16</v>
      </c>
      <c r="AQ261" s="1" t="s">
        <v>16</v>
      </c>
      <c r="AR261" s="1" t="s">
        <v>16</v>
      </c>
      <c r="AS261" t="s">
        <v>16</v>
      </c>
      <c r="AT261" s="1">
        <v>43880</v>
      </c>
      <c r="AU261" t="s">
        <v>16</v>
      </c>
      <c r="AV261" s="1"/>
      <c r="AW261" s="1" t="s">
        <v>16</v>
      </c>
      <c r="AX261" s="1" t="s">
        <v>16</v>
      </c>
      <c r="AY261" t="s">
        <v>16</v>
      </c>
      <c r="AZ261">
        <v>150</v>
      </c>
      <c r="BA261">
        <v>70</v>
      </c>
      <c r="BB261">
        <v>1</v>
      </c>
      <c r="BC261">
        <v>13.4</v>
      </c>
      <c r="BD261">
        <v>152</v>
      </c>
      <c r="BE261">
        <v>3.6</v>
      </c>
      <c r="BF261">
        <v>3.2</v>
      </c>
      <c r="BG261">
        <v>9.0999999999999908</v>
      </c>
      <c r="BH261">
        <v>286</v>
      </c>
      <c r="BI261">
        <v>4.28</v>
      </c>
      <c r="BJ261">
        <v>8.0999999999999908</v>
      </c>
      <c r="BK261">
        <v>4</v>
      </c>
      <c r="BL261">
        <v>11.9</v>
      </c>
      <c r="BM261">
        <v>7.87</v>
      </c>
      <c r="BN261">
        <v>4.9000000000000004</v>
      </c>
    </row>
    <row r="262" spans="1:66" x14ac:dyDescent="0.3">
      <c r="A262">
        <v>261</v>
      </c>
      <c r="B262" t="s">
        <v>430</v>
      </c>
      <c r="C262" s="2" t="s">
        <v>449</v>
      </c>
      <c r="D262">
        <v>55</v>
      </c>
      <c r="E262" s="1">
        <v>44633</v>
      </c>
      <c r="F262" s="1">
        <v>44603</v>
      </c>
      <c r="G262" s="1">
        <v>44633.472974537035</v>
      </c>
      <c r="H262" t="s">
        <v>15</v>
      </c>
      <c r="I262" t="s">
        <v>78</v>
      </c>
      <c r="J262" t="s">
        <v>15</v>
      </c>
      <c r="K262" t="s">
        <v>16</v>
      </c>
      <c r="L262">
        <v>55</v>
      </c>
      <c r="M262" t="s">
        <v>79</v>
      </c>
      <c r="N262" t="s">
        <v>35</v>
      </c>
      <c r="O262" t="s">
        <v>15</v>
      </c>
      <c r="P262" t="s">
        <v>85</v>
      </c>
      <c r="Q262" t="s">
        <v>16</v>
      </c>
      <c r="R262" t="s">
        <v>16</v>
      </c>
      <c r="S262" t="s">
        <v>16</v>
      </c>
      <c r="T262" t="s">
        <v>18</v>
      </c>
      <c r="U262" t="s">
        <v>96</v>
      </c>
      <c r="V262" t="s">
        <v>16</v>
      </c>
      <c r="W262" t="s">
        <v>34</v>
      </c>
      <c r="X262" t="s">
        <v>78</v>
      </c>
      <c r="Y262">
        <v>3.8800001144409202</v>
      </c>
      <c r="Z262">
        <v>3.03999996185303</v>
      </c>
      <c r="AA262">
        <v>1.1499999761581401</v>
      </c>
      <c r="AB262">
        <v>1.1100000143051101</v>
      </c>
      <c r="AC262">
        <v>144.58964538574199</v>
      </c>
      <c r="AD262" t="s">
        <v>16</v>
      </c>
      <c r="AE262">
        <v>1</v>
      </c>
      <c r="AF262">
        <v>40</v>
      </c>
      <c r="AG262">
        <v>84.800003051757798</v>
      </c>
      <c r="AH262" t="s">
        <v>16</v>
      </c>
      <c r="AI262">
        <v>6.8499999046325701</v>
      </c>
      <c r="AJ262">
        <v>12.3800001144409</v>
      </c>
      <c r="AK262">
        <v>9.1499996185302699</v>
      </c>
      <c r="AL262">
        <v>8.8699998855590803</v>
      </c>
      <c r="AM262">
        <v>9.5600004196166992</v>
      </c>
      <c r="AN262" t="s">
        <v>428</v>
      </c>
      <c r="AO262" t="s">
        <v>16</v>
      </c>
      <c r="AP262" t="s">
        <v>16</v>
      </c>
      <c r="AQ262" s="1" t="s">
        <v>16</v>
      </c>
      <c r="AR262" s="1" t="s">
        <v>16</v>
      </c>
      <c r="AS262" t="s">
        <v>16</v>
      </c>
      <c r="AT262" s="1" t="s">
        <v>16</v>
      </c>
      <c r="AU262" t="s">
        <v>16</v>
      </c>
      <c r="AV262" s="1"/>
      <c r="AW262" s="1" t="s">
        <v>16</v>
      </c>
      <c r="AX262" s="1" t="s">
        <v>16</v>
      </c>
      <c r="AY262" t="s">
        <v>16</v>
      </c>
      <c r="AZ262">
        <v>130</v>
      </c>
      <c r="BA262">
        <v>69</v>
      </c>
      <c r="BB262">
        <v>1</v>
      </c>
      <c r="BC262">
        <v>6.8</v>
      </c>
      <c r="BD262">
        <v>130</v>
      </c>
      <c r="BE262">
        <v>6.7999999999999901</v>
      </c>
      <c r="BF262">
        <v>2.5</v>
      </c>
      <c r="BG262">
        <v>7.2</v>
      </c>
      <c r="BH262">
        <v>267</v>
      </c>
      <c r="BI262">
        <v>6.33</v>
      </c>
      <c r="BJ262">
        <v>7.2</v>
      </c>
      <c r="BK262">
        <v>8.5</v>
      </c>
      <c r="BL262">
        <v>14.9</v>
      </c>
      <c r="BM262">
        <v>218.19</v>
      </c>
    </row>
    <row r="263" spans="1:66" x14ac:dyDescent="0.3">
      <c r="A263">
        <v>262</v>
      </c>
      <c r="B263" s="2" t="s">
        <v>430</v>
      </c>
      <c r="C263" s="2" t="s">
        <v>448</v>
      </c>
      <c r="D263">
        <v>82.300957592339003</v>
      </c>
      <c r="E263" s="3">
        <v>44711.238888888889</v>
      </c>
      <c r="F263" s="1">
        <v>44697</v>
      </c>
      <c r="G263" s="1">
        <v>44409.716550925928</v>
      </c>
      <c r="H263" t="s">
        <v>17</v>
      </c>
      <c r="I263" t="s">
        <v>451</v>
      </c>
      <c r="J263" t="s">
        <v>453</v>
      </c>
      <c r="L263">
        <v>25</v>
      </c>
      <c r="M263" t="s">
        <v>451</v>
      </c>
      <c r="N263" t="s">
        <v>451</v>
      </c>
      <c r="O263" t="s">
        <v>25</v>
      </c>
      <c r="P263" t="s">
        <v>75</v>
      </c>
      <c r="Q263" t="s">
        <v>19</v>
      </c>
      <c r="R263" t="s">
        <v>481</v>
      </c>
      <c r="S263" t="s">
        <v>75</v>
      </c>
      <c r="T263" t="s">
        <v>19</v>
      </c>
      <c r="V263" t="s">
        <v>451</v>
      </c>
      <c r="W263" t="s">
        <v>19</v>
      </c>
      <c r="X263" t="s">
        <v>15</v>
      </c>
      <c r="Y263">
        <v>5.7600002288818297</v>
      </c>
      <c r="Z263">
        <v>3.92000007629394</v>
      </c>
      <c r="AA263">
        <v>1.03999996185302</v>
      </c>
      <c r="AB263">
        <v>0.93999999761581399</v>
      </c>
      <c r="AC263">
        <v>227.388092041015</v>
      </c>
      <c r="AD263">
        <v>136</v>
      </c>
      <c r="AE263">
        <v>1</v>
      </c>
      <c r="AF263">
        <v>31</v>
      </c>
      <c r="AG263">
        <v>104</v>
      </c>
      <c r="AH263">
        <v>5.3600001335143999</v>
      </c>
      <c r="AI263">
        <v>3.5</v>
      </c>
      <c r="AJ263">
        <v>29.709999084472599</v>
      </c>
      <c r="AK263">
        <v>9.1400003433227504</v>
      </c>
      <c r="AL263">
        <v>8.8599996566772408</v>
      </c>
      <c r="AM263">
        <v>11.7399997711181</v>
      </c>
      <c r="AN263" t="s">
        <v>532</v>
      </c>
      <c r="AO263">
        <v>68</v>
      </c>
      <c r="AP263">
        <v>26.562500000000004</v>
      </c>
      <c r="AS263" s="1">
        <v>42306.492207488423</v>
      </c>
      <c r="AT263" s="1">
        <v>43460.661659837962</v>
      </c>
      <c r="AU263" s="1">
        <v>42306.492207488423</v>
      </c>
      <c r="AV263" s="1"/>
      <c r="BB263" s="2">
        <v>1</v>
      </c>
      <c r="BC263">
        <f>(140-D263)*AO263/(72*BI263)</f>
        <v>19.255667862784392</v>
      </c>
      <c r="BD263">
        <v>133</v>
      </c>
      <c r="BE263">
        <v>5</v>
      </c>
      <c r="BF263">
        <v>2.7999999999999901</v>
      </c>
      <c r="BG263">
        <v>11.5</v>
      </c>
      <c r="BH263">
        <v>270</v>
      </c>
      <c r="BI263">
        <v>2.83</v>
      </c>
      <c r="BJ263">
        <v>7.5999999999999899</v>
      </c>
      <c r="BK263">
        <v>5.5999999999999899</v>
      </c>
      <c r="BL263">
        <v>17.100000000000001</v>
      </c>
      <c r="BM263">
        <v>139.63999999999899</v>
      </c>
      <c r="BN263">
        <v>5.7</v>
      </c>
    </row>
    <row r="264" spans="1:66" x14ac:dyDescent="0.3">
      <c r="A264">
        <v>263</v>
      </c>
      <c r="B264" s="2" t="s">
        <v>430</v>
      </c>
      <c r="C264" s="2" t="s">
        <v>449</v>
      </c>
      <c r="D264">
        <v>79.863201094391002</v>
      </c>
      <c r="E264" s="3">
        <v>42893</v>
      </c>
      <c r="F264" s="1">
        <v>42340</v>
      </c>
      <c r="G264" s="1">
        <v>42290.655694444453</v>
      </c>
      <c r="H264" t="s">
        <v>451</v>
      </c>
      <c r="I264" t="s">
        <v>451</v>
      </c>
      <c r="J264" t="s">
        <v>451</v>
      </c>
      <c r="K264" t="s">
        <v>74</v>
      </c>
      <c r="L264">
        <v>45</v>
      </c>
      <c r="M264" t="s">
        <v>451</v>
      </c>
      <c r="N264" t="s">
        <v>451</v>
      </c>
      <c r="O264" t="s">
        <v>31</v>
      </c>
      <c r="P264" t="s">
        <v>451</v>
      </c>
      <c r="Q264" t="s">
        <v>451</v>
      </c>
      <c r="S264" t="s">
        <v>451</v>
      </c>
      <c r="T264" t="s">
        <v>29</v>
      </c>
      <c r="V264" t="s">
        <v>451</v>
      </c>
      <c r="W264" t="s">
        <v>26</v>
      </c>
      <c r="X264" t="s">
        <v>90</v>
      </c>
      <c r="Y264">
        <v>4.7399997711181596</v>
      </c>
      <c r="Z264">
        <v>3.5499999523162802</v>
      </c>
      <c r="AA264">
        <v>1.12000000476837</v>
      </c>
      <c r="AB264">
        <v>0.68999999761581399</v>
      </c>
      <c r="AC264">
        <v>145.79643249511699</v>
      </c>
      <c r="AD264">
        <v>78</v>
      </c>
      <c r="AE264">
        <v>1</v>
      </c>
      <c r="AF264">
        <v>64</v>
      </c>
      <c r="AG264">
        <v>71.099998474120994</v>
      </c>
      <c r="AH264">
        <v>5.0999999046325604</v>
      </c>
      <c r="AI264">
        <v>8.9399995803833008</v>
      </c>
      <c r="AJ264">
        <v>7.9499998092651296</v>
      </c>
      <c r="AK264">
        <v>7.8499999046325604</v>
      </c>
      <c r="AL264">
        <v>11.899999618530201</v>
      </c>
      <c r="AM264">
        <v>5.9699997901916504</v>
      </c>
      <c r="AN264" t="s">
        <v>533</v>
      </c>
      <c r="AO264">
        <v>87.299999999999898</v>
      </c>
      <c r="AP264">
        <v>32.066115702479301</v>
      </c>
      <c r="AS264" s="1"/>
      <c r="AT264" s="1">
        <v>42339.419502314813</v>
      </c>
      <c r="AU264" s="1">
        <v>42304.329328703701</v>
      </c>
      <c r="AV264" s="1"/>
      <c r="BB264" s="5">
        <v>0</v>
      </c>
      <c r="BC264">
        <f>(140-D264)*AO264/(72*BI264)</f>
        <v>26.906224602601778</v>
      </c>
      <c r="BD264">
        <v>134.5</v>
      </c>
      <c r="BE264">
        <v>3.6099999999999901</v>
      </c>
      <c r="BF264">
        <v>2.2999999999999901</v>
      </c>
      <c r="BH264">
        <v>200</v>
      </c>
      <c r="BI264">
        <v>2.71</v>
      </c>
      <c r="BJ264">
        <v>9.0999999999999908</v>
      </c>
      <c r="BK264">
        <v>2.7999999999999901</v>
      </c>
      <c r="BL264">
        <v>6.7999999999999901</v>
      </c>
      <c r="BM264">
        <v>93.069999999999894</v>
      </c>
      <c r="BN264">
        <v>6</v>
      </c>
    </row>
    <row r="265" spans="1:66" x14ac:dyDescent="0.3">
      <c r="A265">
        <v>264</v>
      </c>
      <c r="B265" s="2" t="s">
        <v>430</v>
      </c>
      <c r="C265" s="2" t="s">
        <v>448</v>
      </c>
      <c r="D265">
        <v>83.559507523939004</v>
      </c>
      <c r="E265" s="3">
        <v>43475</v>
      </c>
      <c r="F265" s="1">
        <v>43451</v>
      </c>
      <c r="G265" s="1">
        <v>43438.533668981479</v>
      </c>
      <c r="H265" t="s">
        <v>17</v>
      </c>
      <c r="I265" t="s">
        <v>78</v>
      </c>
      <c r="J265" t="s">
        <v>30</v>
      </c>
      <c r="K265" t="s">
        <v>145</v>
      </c>
      <c r="L265">
        <v>30</v>
      </c>
      <c r="M265" t="s">
        <v>79</v>
      </c>
      <c r="N265" t="s">
        <v>14</v>
      </c>
      <c r="O265" t="s">
        <v>31</v>
      </c>
      <c r="P265" t="s">
        <v>75</v>
      </c>
      <c r="Q265" t="s">
        <v>26</v>
      </c>
      <c r="R265" t="s">
        <v>76</v>
      </c>
      <c r="S265" t="s">
        <v>75</v>
      </c>
      <c r="T265" t="s">
        <v>29</v>
      </c>
      <c r="V265" t="s">
        <v>15</v>
      </c>
      <c r="W265" t="s">
        <v>29</v>
      </c>
      <c r="X265" t="s">
        <v>90</v>
      </c>
      <c r="Y265">
        <v>5.8099999427795401</v>
      </c>
      <c r="Z265">
        <v>3.2899999618530198</v>
      </c>
      <c r="AA265">
        <v>1.37999999523162</v>
      </c>
      <c r="AB265">
        <v>1.2200000286102199</v>
      </c>
      <c r="AC265">
        <v>332.31872558593699</v>
      </c>
      <c r="AD265">
        <v>164</v>
      </c>
      <c r="AE265">
        <v>2</v>
      </c>
      <c r="AF265">
        <v>66</v>
      </c>
      <c r="AG265">
        <v>109</v>
      </c>
      <c r="AH265">
        <v>6.5199999809265101</v>
      </c>
      <c r="AI265">
        <v>5.1799998283386204</v>
      </c>
      <c r="AJ265">
        <v>21.040000915527301</v>
      </c>
      <c r="AK265">
        <v>4.1799998283386204</v>
      </c>
      <c r="AL265">
        <v>12.899999618530201</v>
      </c>
      <c r="AM265">
        <v>8.4499998092651296</v>
      </c>
      <c r="AN265" t="s">
        <v>534</v>
      </c>
      <c r="AO265">
        <v>107</v>
      </c>
      <c r="AP265">
        <v>37.910997732426303</v>
      </c>
      <c r="AQ265" s="1">
        <v>40162</v>
      </c>
      <c r="AS265" s="1">
        <v>40128.575413194441</v>
      </c>
      <c r="AT265" s="1">
        <v>40162.454508252318</v>
      </c>
      <c r="AU265" s="1">
        <v>40128.575763113433</v>
      </c>
      <c r="AV265" s="1">
        <v>40128.686855902779</v>
      </c>
      <c r="AW265" s="1">
        <v>40128.575664201388</v>
      </c>
      <c r="AY265" t="s">
        <v>21</v>
      </c>
      <c r="BB265" s="2">
        <v>1</v>
      </c>
      <c r="BC265">
        <f>(140-D265)*AO265/(72*BI265)</f>
        <v>13.616370614489824</v>
      </c>
      <c r="BD265">
        <v>142</v>
      </c>
      <c r="BE265">
        <v>4.7999999999999901</v>
      </c>
      <c r="BF265">
        <v>3.2999999999999901</v>
      </c>
      <c r="BG265">
        <v>8.9</v>
      </c>
      <c r="BH265">
        <v>242</v>
      </c>
      <c r="BI265">
        <v>6.16</v>
      </c>
      <c r="BJ265">
        <v>9.3000000000000007</v>
      </c>
      <c r="BK265">
        <v>8.0999999999999908</v>
      </c>
      <c r="BL265">
        <v>9.4</v>
      </c>
      <c r="BM265">
        <v>142.66</v>
      </c>
      <c r="BN265">
        <v>5.5</v>
      </c>
    </row>
    <row r="266" spans="1:66" x14ac:dyDescent="0.3">
      <c r="A266">
        <v>265</v>
      </c>
      <c r="B266" s="2" t="s">
        <v>430</v>
      </c>
      <c r="C266" s="2" t="s">
        <v>449</v>
      </c>
      <c r="D266">
        <v>90.243502051983</v>
      </c>
      <c r="E266" s="3">
        <v>42035.692361111112</v>
      </c>
      <c r="F266" s="1">
        <v>42032</v>
      </c>
      <c r="G266" s="1">
        <v>42017.465150462973</v>
      </c>
      <c r="H266" t="s">
        <v>15</v>
      </c>
      <c r="I266" t="s">
        <v>78</v>
      </c>
      <c r="J266" t="s">
        <v>15</v>
      </c>
      <c r="L266">
        <v>60</v>
      </c>
      <c r="M266" t="s">
        <v>79</v>
      </c>
      <c r="N266" t="s">
        <v>14</v>
      </c>
      <c r="O266" t="s">
        <v>17</v>
      </c>
      <c r="P266" t="s">
        <v>75</v>
      </c>
      <c r="Q266" t="s">
        <v>451</v>
      </c>
      <c r="S266" t="s">
        <v>75</v>
      </c>
      <c r="T266" t="s">
        <v>18</v>
      </c>
      <c r="U266" t="s">
        <v>96</v>
      </c>
      <c r="V266" t="s">
        <v>451</v>
      </c>
      <c r="W266" t="s">
        <v>34</v>
      </c>
      <c r="X266" t="s">
        <v>90</v>
      </c>
      <c r="Y266">
        <v>4.2399997711181596</v>
      </c>
      <c r="Z266">
        <v>1.9299999475479099</v>
      </c>
      <c r="AA266">
        <v>1.0900000333786</v>
      </c>
      <c r="AB266">
        <v>1.16999995708465</v>
      </c>
      <c r="AC266">
        <v>165.66877746582</v>
      </c>
      <c r="AD266">
        <v>90</v>
      </c>
      <c r="AE266">
        <v>1</v>
      </c>
      <c r="AF266">
        <v>65</v>
      </c>
      <c r="AG266">
        <v>160</v>
      </c>
      <c r="AH266">
        <v>6.4000000953674299</v>
      </c>
      <c r="AI266">
        <v>10.199999809265099</v>
      </c>
      <c r="AJ266">
        <v>15.689999580383301</v>
      </c>
      <c r="AK266">
        <v>6.6999998092651296</v>
      </c>
      <c r="AL266">
        <v>12.399999618530201</v>
      </c>
      <c r="AM266">
        <v>12.899999618530201</v>
      </c>
      <c r="AN266" t="s">
        <v>535</v>
      </c>
      <c r="AS266" s="1"/>
      <c r="AT266" s="1">
        <v>39788.044750659719</v>
      </c>
      <c r="AU266" s="1">
        <v>39788.252721412027</v>
      </c>
      <c r="AV266" s="1">
        <v>39788.252596446757</v>
      </c>
      <c r="AW266" s="1">
        <v>39788.253047835649</v>
      </c>
      <c r="AY266" t="s">
        <v>21</v>
      </c>
      <c r="BB266" s="5">
        <v>0</v>
      </c>
      <c r="BC266">
        <v>14.7</v>
      </c>
      <c r="BD266">
        <v>140</v>
      </c>
      <c r="BE266">
        <v>6.0999999999999899</v>
      </c>
      <c r="BF266">
        <v>3.2</v>
      </c>
      <c r="BG266">
        <v>14.1</v>
      </c>
      <c r="BH266">
        <v>192</v>
      </c>
      <c r="BI266">
        <v>2.99</v>
      </c>
      <c r="BJ266">
        <v>8.9</v>
      </c>
      <c r="BK266">
        <v>7.2999999999999901</v>
      </c>
      <c r="BL266">
        <v>14.3</v>
      </c>
      <c r="BM266">
        <v>21.76</v>
      </c>
    </row>
    <row r="267" spans="1:66" x14ac:dyDescent="0.3">
      <c r="A267">
        <v>266</v>
      </c>
      <c r="B267" s="2" t="s">
        <v>430</v>
      </c>
      <c r="C267" s="2" t="s">
        <v>449</v>
      </c>
      <c r="D267">
        <v>95.439124487003895</v>
      </c>
      <c r="E267" s="3">
        <v>44587.563888888893</v>
      </c>
      <c r="F267" s="1">
        <v>44580</v>
      </c>
      <c r="G267" s="1">
        <v>44554.29351851852</v>
      </c>
      <c r="H267" t="s">
        <v>17</v>
      </c>
      <c r="I267" t="s">
        <v>78</v>
      </c>
      <c r="J267" t="s">
        <v>15</v>
      </c>
      <c r="L267">
        <v>60</v>
      </c>
      <c r="M267" t="s">
        <v>79</v>
      </c>
      <c r="N267" t="s">
        <v>14</v>
      </c>
      <c r="O267" t="s">
        <v>25</v>
      </c>
      <c r="P267" t="s">
        <v>451</v>
      </c>
      <c r="Q267" t="s">
        <v>18</v>
      </c>
      <c r="S267" t="s">
        <v>451</v>
      </c>
      <c r="T267" t="s">
        <v>34</v>
      </c>
      <c r="V267" t="s">
        <v>451</v>
      </c>
      <c r="W267" t="s">
        <v>19</v>
      </c>
      <c r="X267" t="s">
        <v>90</v>
      </c>
      <c r="Y267">
        <v>5.3099999427795401</v>
      </c>
      <c r="Z267">
        <v>3.2699999809265101</v>
      </c>
      <c r="AA267">
        <v>1.2799999713897701</v>
      </c>
      <c r="AB267">
        <v>0.83999997377395597</v>
      </c>
      <c r="AC267">
        <v>217.29533386230401</v>
      </c>
      <c r="AD267">
        <v>115</v>
      </c>
      <c r="AE267">
        <v>1</v>
      </c>
      <c r="AF267">
        <v>60</v>
      </c>
      <c r="AG267">
        <v>175</v>
      </c>
      <c r="AI267">
        <v>5</v>
      </c>
      <c r="AJ267">
        <v>35</v>
      </c>
      <c r="AK267">
        <v>6.8499999046325604</v>
      </c>
      <c r="AL267">
        <v>5.9800000190734801</v>
      </c>
      <c r="AM267">
        <v>29.2600002288818</v>
      </c>
      <c r="AN267" t="s">
        <v>536</v>
      </c>
      <c r="AQ267" s="1">
        <v>40504</v>
      </c>
      <c r="AS267" s="1">
        <v>39899.561356516213</v>
      </c>
      <c r="AT267" s="1">
        <v>43130.44128417824</v>
      </c>
      <c r="AU267" s="1">
        <v>39899.561739201388</v>
      </c>
      <c r="AV267" s="1">
        <v>42198.514915856482</v>
      </c>
      <c r="AW267" s="1"/>
      <c r="AY267" t="s">
        <v>21</v>
      </c>
      <c r="AZ267">
        <v>134</v>
      </c>
      <c r="BA267">
        <v>71</v>
      </c>
      <c r="BB267" s="5">
        <v>0</v>
      </c>
      <c r="BC267">
        <v>9.6</v>
      </c>
      <c r="BD267">
        <v>135</v>
      </c>
      <c r="BE267">
        <v>4.4000000000000004</v>
      </c>
      <c r="BF267">
        <v>2.6</v>
      </c>
      <c r="BG267">
        <v>8.8000000000000007</v>
      </c>
      <c r="BH267">
        <v>288</v>
      </c>
      <c r="BI267">
        <v>4.2999999999999901</v>
      </c>
      <c r="BJ267">
        <v>8.3000000000000007</v>
      </c>
      <c r="BK267">
        <v>7</v>
      </c>
      <c r="BL267">
        <v>17.399999999999899</v>
      </c>
      <c r="BM267">
        <v>112.93</v>
      </c>
      <c r="BN267">
        <v>7.2999999999999901</v>
      </c>
    </row>
    <row r="268" spans="1:66" x14ac:dyDescent="0.3">
      <c r="A268">
        <v>267</v>
      </c>
      <c r="B268" s="2" t="s">
        <v>430</v>
      </c>
      <c r="C268" s="2" t="s">
        <v>448</v>
      </c>
      <c r="D268">
        <v>84.186046511626898</v>
      </c>
      <c r="E268" s="3">
        <v>42044</v>
      </c>
      <c r="F268" s="1">
        <v>41782</v>
      </c>
      <c r="G268" s="1">
        <v>41772.583761574067</v>
      </c>
      <c r="H268" t="s">
        <v>15</v>
      </c>
      <c r="I268" t="s">
        <v>451</v>
      </c>
      <c r="J268" t="s">
        <v>15</v>
      </c>
      <c r="K268" t="s">
        <v>454</v>
      </c>
      <c r="L268">
        <v>60</v>
      </c>
      <c r="M268" t="s">
        <v>451</v>
      </c>
      <c r="N268" t="s">
        <v>451</v>
      </c>
      <c r="O268" t="s">
        <v>17</v>
      </c>
      <c r="P268" t="s">
        <v>126</v>
      </c>
      <c r="Q268" t="s">
        <v>19</v>
      </c>
      <c r="S268" t="s">
        <v>75</v>
      </c>
      <c r="T268" t="s">
        <v>19</v>
      </c>
      <c r="V268" t="s">
        <v>451</v>
      </c>
      <c r="W268" t="s">
        <v>23</v>
      </c>
      <c r="X268" t="s">
        <v>87</v>
      </c>
      <c r="Y268">
        <v>5.4400000572204501</v>
      </c>
      <c r="Z268">
        <v>2.5499999523162802</v>
      </c>
      <c r="AA268">
        <v>1.46000003814697</v>
      </c>
      <c r="AB268">
        <v>1.04999995231628</v>
      </c>
      <c r="AC268">
        <v>284.70361328125</v>
      </c>
      <c r="AD268">
        <v>142</v>
      </c>
      <c r="AE268">
        <v>1</v>
      </c>
      <c r="AF268">
        <v>52</v>
      </c>
      <c r="AG268">
        <v>124</v>
      </c>
      <c r="AH268">
        <v>6.3499999046325604</v>
      </c>
      <c r="AI268">
        <v>4.4299998283386204</v>
      </c>
      <c r="AJ268">
        <v>27.9899997711181</v>
      </c>
      <c r="AK268">
        <v>9.3599996566772408</v>
      </c>
      <c r="AL268">
        <v>7.8499999046325604</v>
      </c>
      <c r="AM268">
        <v>15.800000190734799</v>
      </c>
      <c r="AN268" t="s">
        <v>537</v>
      </c>
      <c r="AO268">
        <v>78</v>
      </c>
      <c r="AP268">
        <v>27.636054421768709</v>
      </c>
      <c r="AR268" s="1">
        <v>40889</v>
      </c>
      <c r="AS268" s="1"/>
      <c r="AT268" s="1"/>
      <c r="AU268" s="1">
        <v>40889.926200729169</v>
      </c>
      <c r="AV268" s="1"/>
      <c r="AW268" s="1"/>
      <c r="BB268" s="5">
        <v>0</v>
      </c>
      <c r="BC268">
        <f>(140-D268)*AO268/(72*BI268)</f>
        <v>16.475508522907639</v>
      </c>
      <c r="BD268">
        <v>149</v>
      </c>
      <c r="BE268">
        <v>4.2999999999999901</v>
      </c>
      <c r="BF268">
        <v>2.7</v>
      </c>
      <c r="BG268">
        <v>12.3</v>
      </c>
      <c r="BH268">
        <v>305</v>
      </c>
      <c r="BI268">
        <v>3.6699999999999902</v>
      </c>
      <c r="BJ268">
        <v>8.0999999999999908</v>
      </c>
      <c r="BK268">
        <v>5.2999999999999901</v>
      </c>
      <c r="BL268">
        <v>18.6999999999999</v>
      </c>
      <c r="BM268">
        <v>105.55</v>
      </c>
    </row>
    <row r="269" spans="1:66" x14ac:dyDescent="0.3">
      <c r="A269">
        <v>268</v>
      </c>
      <c r="B269" s="2" t="s">
        <v>430</v>
      </c>
      <c r="C269" s="2" t="s">
        <v>448</v>
      </c>
      <c r="D269">
        <v>85.789329685362006</v>
      </c>
      <c r="E269" s="3">
        <v>43297.598611111112</v>
      </c>
      <c r="F269" s="1">
        <v>43279</v>
      </c>
      <c r="G269" s="1">
        <v>43047.656805555547</v>
      </c>
      <c r="H269" t="s">
        <v>15</v>
      </c>
      <c r="I269" t="s">
        <v>78</v>
      </c>
      <c r="J269" t="s">
        <v>14</v>
      </c>
      <c r="L269">
        <v>40</v>
      </c>
      <c r="M269" t="s">
        <v>15</v>
      </c>
      <c r="N269" t="s">
        <v>15</v>
      </c>
      <c r="O269" t="s">
        <v>17</v>
      </c>
      <c r="P269" t="s">
        <v>75</v>
      </c>
      <c r="Q269" t="s">
        <v>451</v>
      </c>
      <c r="R269" t="s">
        <v>102</v>
      </c>
      <c r="S269" t="s">
        <v>75</v>
      </c>
      <c r="T269" t="s">
        <v>19</v>
      </c>
      <c r="V269" t="s">
        <v>451</v>
      </c>
      <c r="W269" t="s">
        <v>18</v>
      </c>
      <c r="X269" t="s">
        <v>15</v>
      </c>
      <c r="Y269">
        <v>4.8200001716613698</v>
      </c>
      <c r="Z269">
        <v>3.0099999904632502</v>
      </c>
      <c r="AA269">
        <v>1.1900000572204501</v>
      </c>
      <c r="AB269">
        <v>0.89999997615814198</v>
      </c>
      <c r="AC269">
        <v>181.94206237792901</v>
      </c>
      <c r="AD269">
        <v>106</v>
      </c>
      <c r="AE269">
        <v>1.5599999427795399</v>
      </c>
      <c r="AF269">
        <v>34</v>
      </c>
      <c r="AG269">
        <v>99.900001525878906</v>
      </c>
      <c r="AH269">
        <v>5</v>
      </c>
      <c r="AI269">
        <v>6.42000007629394</v>
      </c>
      <c r="AJ269">
        <v>15.5600004196166</v>
      </c>
      <c r="AK269">
        <v>6.1999998092651296</v>
      </c>
      <c r="AL269">
        <v>10.1000003814697</v>
      </c>
      <c r="AM269">
        <v>9.8900003433227504</v>
      </c>
      <c r="AN269" t="s">
        <v>538</v>
      </c>
      <c r="AS269" s="1"/>
      <c r="AT269" s="1"/>
      <c r="AU269" s="1">
        <v>42877.467507407397</v>
      </c>
      <c r="AV269" s="1">
        <v>42877.467507407397</v>
      </c>
      <c r="AW269" s="1"/>
      <c r="BB269" s="5">
        <v>0</v>
      </c>
      <c r="BC269">
        <v>7</v>
      </c>
      <c r="BD269">
        <v>144</v>
      </c>
      <c r="BE269">
        <v>4.2</v>
      </c>
      <c r="BF269">
        <v>2.2999999999999901</v>
      </c>
      <c r="BG269">
        <v>11.6</v>
      </c>
      <c r="BH269">
        <v>256</v>
      </c>
      <c r="BI269">
        <v>7.45</v>
      </c>
      <c r="BJ269">
        <v>7.5999999999999899</v>
      </c>
      <c r="BK269">
        <v>8.5999999999999908</v>
      </c>
      <c r="BL269">
        <v>10.6</v>
      </c>
      <c r="BM269">
        <v>245.039999999999</v>
      </c>
      <c r="BN269">
        <v>5.7999999999999901</v>
      </c>
    </row>
    <row r="270" spans="1:66" x14ac:dyDescent="0.3">
      <c r="A270">
        <v>269</v>
      </c>
      <c r="B270" s="2" t="s">
        <v>430</v>
      </c>
      <c r="C270" s="2" t="s">
        <v>448</v>
      </c>
      <c r="D270">
        <v>79.770177838576899</v>
      </c>
      <c r="E270" s="3">
        <v>42092.412499999999</v>
      </c>
      <c r="F270" s="1">
        <v>42014</v>
      </c>
      <c r="G270" s="1">
        <v>41704.672199074077</v>
      </c>
      <c r="H270" t="s">
        <v>31</v>
      </c>
      <c r="I270" t="s">
        <v>451</v>
      </c>
      <c r="J270" t="s">
        <v>30</v>
      </c>
      <c r="K270" t="s">
        <v>455</v>
      </c>
      <c r="L270">
        <v>28</v>
      </c>
      <c r="M270" t="s">
        <v>15</v>
      </c>
      <c r="N270" t="s">
        <v>15</v>
      </c>
      <c r="O270" t="s">
        <v>17</v>
      </c>
      <c r="P270" t="s">
        <v>479</v>
      </c>
      <c r="Q270" t="s">
        <v>18</v>
      </c>
      <c r="S270" t="s">
        <v>451</v>
      </c>
      <c r="T270" t="s">
        <v>19</v>
      </c>
      <c r="V270" t="s">
        <v>451</v>
      </c>
      <c r="W270" t="s">
        <v>451</v>
      </c>
      <c r="Y270">
        <v>6.8299999237060502</v>
      </c>
      <c r="Z270">
        <v>6.17000007629394</v>
      </c>
      <c r="AA270">
        <v>1.4299999475479099</v>
      </c>
      <c r="AB270">
        <v>1</v>
      </c>
      <c r="AC270">
        <v>396.14178466796801</v>
      </c>
      <c r="AD270">
        <v>205</v>
      </c>
      <c r="AE270">
        <v>2.25</v>
      </c>
      <c r="AG270">
        <v>59.740001678466697</v>
      </c>
      <c r="AH270">
        <v>5</v>
      </c>
      <c r="AI270">
        <v>4</v>
      </c>
      <c r="AJ270">
        <v>14.939999580383301</v>
      </c>
      <c r="AK270">
        <v>5</v>
      </c>
      <c r="AL270">
        <v>10</v>
      </c>
      <c r="AM270">
        <v>5.9699997901916504</v>
      </c>
      <c r="AN270" t="s">
        <v>539</v>
      </c>
      <c r="AO270">
        <v>78</v>
      </c>
      <c r="AP270">
        <v>26.989619377162629</v>
      </c>
      <c r="AQ270" s="1">
        <v>42009</v>
      </c>
      <c r="AS270" s="1">
        <v>39646.458145254634</v>
      </c>
      <c r="AT270" s="1">
        <v>39646.462560567132</v>
      </c>
      <c r="AU270" s="1"/>
      <c r="AV270" s="1">
        <v>41584.088935995373</v>
      </c>
      <c r="AW270" s="1"/>
      <c r="AY270" t="s">
        <v>21</v>
      </c>
      <c r="AZ270">
        <v>116</v>
      </c>
      <c r="BA270">
        <v>51</v>
      </c>
      <c r="BB270" s="2">
        <v>1</v>
      </c>
      <c r="BC270">
        <f t="shared" ref="BC270:BC282" si="16">(140-D270)*AO270/(72*BI270)</f>
        <v>31.070940003908738</v>
      </c>
      <c r="BD270">
        <v>134</v>
      </c>
      <c r="BE270">
        <v>6.0999999999999899</v>
      </c>
      <c r="BF270">
        <v>2.7999999999999901</v>
      </c>
      <c r="BH270">
        <v>120</v>
      </c>
      <c r="BI270">
        <v>2.1</v>
      </c>
      <c r="BJ270">
        <v>7.5</v>
      </c>
      <c r="BK270">
        <v>12.1</v>
      </c>
      <c r="BL270">
        <v>14.6999999999999</v>
      </c>
      <c r="BM270">
        <v>13.4</v>
      </c>
      <c r="BN270">
        <v>6</v>
      </c>
    </row>
    <row r="271" spans="1:66" x14ac:dyDescent="0.3">
      <c r="A271">
        <v>270</v>
      </c>
      <c r="B271" s="2" t="s">
        <v>434</v>
      </c>
      <c r="C271" s="2" t="s">
        <v>448</v>
      </c>
      <c r="D271">
        <v>84.481532147742001</v>
      </c>
      <c r="E271" s="3">
        <v>45352</v>
      </c>
      <c r="F271" s="1">
        <v>44979</v>
      </c>
      <c r="G271" s="1">
        <v>44664.709953703707</v>
      </c>
      <c r="H271" t="s">
        <v>15</v>
      </c>
      <c r="I271" t="s">
        <v>78</v>
      </c>
      <c r="J271" t="s">
        <v>453</v>
      </c>
      <c r="L271">
        <v>50</v>
      </c>
      <c r="M271" t="s">
        <v>79</v>
      </c>
      <c r="N271" t="s">
        <v>28</v>
      </c>
      <c r="O271" t="s">
        <v>25</v>
      </c>
      <c r="P271" t="s">
        <v>124</v>
      </c>
      <c r="Q271" t="s">
        <v>451</v>
      </c>
      <c r="S271" t="s">
        <v>92</v>
      </c>
      <c r="T271" t="s">
        <v>29</v>
      </c>
      <c r="V271" t="s">
        <v>451</v>
      </c>
      <c r="W271" t="s">
        <v>26</v>
      </c>
      <c r="X271" t="s">
        <v>90</v>
      </c>
      <c r="Y271">
        <v>5.0999999046325604</v>
      </c>
      <c r="Z271">
        <v>3.20000004768371</v>
      </c>
      <c r="AA271">
        <v>1.29999995231628</v>
      </c>
      <c r="AB271">
        <v>1</v>
      </c>
      <c r="AC271">
        <v>227.38073730468699</v>
      </c>
      <c r="AD271">
        <v>108</v>
      </c>
      <c r="AE271">
        <v>1</v>
      </c>
      <c r="AF271">
        <v>72</v>
      </c>
      <c r="AG271">
        <v>142</v>
      </c>
      <c r="AN271" t="s">
        <v>540</v>
      </c>
      <c r="AO271">
        <v>95</v>
      </c>
      <c r="AP271">
        <v>34.063609308329447</v>
      </c>
      <c r="AR271" s="1">
        <v>33604</v>
      </c>
      <c r="AS271" s="1">
        <v>39818.233701655103</v>
      </c>
      <c r="AT271" s="1">
        <v>39790.640160960647</v>
      </c>
      <c r="AU271" s="1">
        <v>39818.233881250002</v>
      </c>
      <c r="AV271" s="1">
        <v>40842.49781241898</v>
      </c>
      <c r="AW271" s="1"/>
      <c r="AY271" t="s">
        <v>21</v>
      </c>
      <c r="BB271" s="2">
        <v>6</v>
      </c>
      <c r="BC271">
        <f t="shared" si="16"/>
        <v>33.602538519141881</v>
      </c>
      <c r="BD271">
        <v>140</v>
      </c>
      <c r="BE271">
        <v>4</v>
      </c>
      <c r="BF271">
        <v>3.3999999999999901</v>
      </c>
      <c r="BG271">
        <v>10.9</v>
      </c>
      <c r="BH271">
        <v>186</v>
      </c>
      <c r="BI271">
        <v>2.1800000000000002</v>
      </c>
      <c r="BJ271">
        <v>9.5</v>
      </c>
      <c r="BK271">
        <v>3</v>
      </c>
      <c r="BL271">
        <v>12.8</v>
      </c>
      <c r="BM271">
        <v>6.58</v>
      </c>
      <c r="BN271">
        <v>6.0999999999999899</v>
      </c>
    </row>
    <row r="272" spans="1:66" x14ac:dyDescent="0.3">
      <c r="A272">
        <v>271</v>
      </c>
      <c r="B272" s="2" t="s">
        <v>430</v>
      </c>
      <c r="C272" s="2" t="s">
        <v>448</v>
      </c>
      <c r="D272">
        <v>83.546872625017897</v>
      </c>
      <c r="E272" s="3">
        <v>41301</v>
      </c>
      <c r="F272" s="1">
        <v>41115.381944444453</v>
      </c>
      <c r="G272" s="1">
        <v>41021.480370370373</v>
      </c>
      <c r="H272" t="s">
        <v>15</v>
      </c>
      <c r="I272" t="s">
        <v>87</v>
      </c>
      <c r="J272" t="s">
        <v>15</v>
      </c>
      <c r="L272">
        <v>50</v>
      </c>
      <c r="M272" t="s">
        <v>15</v>
      </c>
      <c r="N272" t="s">
        <v>15</v>
      </c>
      <c r="O272" t="s">
        <v>25</v>
      </c>
      <c r="P272" t="s">
        <v>451</v>
      </c>
      <c r="Q272" t="s">
        <v>451</v>
      </c>
      <c r="R272" t="s">
        <v>482</v>
      </c>
      <c r="S272" t="s">
        <v>92</v>
      </c>
      <c r="T272" t="s">
        <v>29</v>
      </c>
      <c r="V272" t="s">
        <v>451</v>
      </c>
      <c r="W272" t="s">
        <v>26</v>
      </c>
      <c r="X272" t="s">
        <v>90</v>
      </c>
      <c r="Y272">
        <v>4.3299999237060502</v>
      </c>
      <c r="Z272">
        <v>3.21000003814697</v>
      </c>
      <c r="AA272">
        <v>1.5</v>
      </c>
      <c r="AB272">
        <v>1.3500000238418499</v>
      </c>
      <c r="AC272">
        <v>241.01762390136699</v>
      </c>
      <c r="AE272">
        <v>1</v>
      </c>
      <c r="AF272">
        <v>80</v>
      </c>
      <c r="AG272">
        <v>139</v>
      </c>
      <c r="AN272" t="s">
        <v>541</v>
      </c>
      <c r="AO272">
        <v>65</v>
      </c>
      <c r="AP272">
        <v>25.390625</v>
      </c>
      <c r="AS272" s="1">
        <v>39865.108095752323</v>
      </c>
      <c r="AT272" s="1">
        <v>39865.110395983793</v>
      </c>
      <c r="AU272" s="1">
        <v>39865.110557870372</v>
      </c>
      <c r="AV272" s="1"/>
      <c r="AW272" s="1"/>
      <c r="AX272" s="1">
        <v>40989.663176388887</v>
      </c>
      <c r="AY272" t="s">
        <v>21</v>
      </c>
      <c r="AZ272">
        <v>108</v>
      </c>
      <c r="BA272">
        <v>65</v>
      </c>
      <c r="BB272" s="2">
        <v>4</v>
      </c>
      <c r="BC272">
        <f t="shared" si="16"/>
        <v>8.4518455854381713</v>
      </c>
      <c r="BD272">
        <v>129</v>
      </c>
      <c r="BE272">
        <v>3.6</v>
      </c>
      <c r="BF272">
        <v>3.6</v>
      </c>
      <c r="BG272">
        <v>11.8</v>
      </c>
      <c r="BH272">
        <v>226</v>
      </c>
      <c r="BI272">
        <v>6.03</v>
      </c>
      <c r="BJ272">
        <v>8.8000000000000007</v>
      </c>
      <c r="BK272">
        <v>5.9</v>
      </c>
      <c r="BL272">
        <v>11.9</v>
      </c>
      <c r="BM272">
        <v>66.969999999999899</v>
      </c>
    </row>
    <row r="273" spans="1:66" x14ac:dyDescent="0.3">
      <c r="A273">
        <v>272</v>
      </c>
      <c r="B273" s="2" t="s">
        <v>430</v>
      </c>
      <c r="C273" s="2" t="s">
        <v>449</v>
      </c>
      <c r="D273">
        <v>87.006839945280007</v>
      </c>
      <c r="E273" s="3">
        <v>44816.490277777782</v>
      </c>
      <c r="F273" s="1">
        <v>44692</v>
      </c>
      <c r="G273" s="1">
        <v>44740.606041666673</v>
      </c>
      <c r="H273" t="s">
        <v>452</v>
      </c>
      <c r="I273" t="s">
        <v>15</v>
      </c>
      <c r="J273" t="s">
        <v>37</v>
      </c>
      <c r="L273">
        <v>65</v>
      </c>
      <c r="M273" t="s">
        <v>451</v>
      </c>
      <c r="N273" t="s">
        <v>451</v>
      </c>
      <c r="O273" t="s">
        <v>451</v>
      </c>
      <c r="P273" t="s">
        <v>75</v>
      </c>
      <c r="Q273" t="s">
        <v>451</v>
      </c>
      <c r="R273" t="s">
        <v>102</v>
      </c>
      <c r="S273" t="s">
        <v>503</v>
      </c>
      <c r="T273" t="s">
        <v>451</v>
      </c>
      <c r="V273" t="s">
        <v>451</v>
      </c>
      <c r="W273" t="s">
        <v>451</v>
      </c>
      <c r="Y273">
        <v>3.2200000286102202</v>
      </c>
      <c r="AA273">
        <v>0.91000002622604304</v>
      </c>
      <c r="AB273">
        <v>1</v>
      </c>
      <c r="AC273">
        <v>85.147384643554602</v>
      </c>
      <c r="AD273">
        <v>53</v>
      </c>
      <c r="AE273">
        <v>1</v>
      </c>
      <c r="AN273" t="s">
        <v>542</v>
      </c>
      <c r="AO273">
        <v>62</v>
      </c>
      <c r="AP273">
        <v>27.555555555555554</v>
      </c>
      <c r="AR273" s="1">
        <v>41941</v>
      </c>
      <c r="AS273" s="1">
        <v>40755.990500150459</v>
      </c>
      <c r="AT273" s="1"/>
      <c r="AU273" s="1">
        <v>40755.990500150459</v>
      </c>
      <c r="AV273" s="1">
        <v>40755.990500150459</v>
      </c>
      <c r="AW273" s="1"/>
      <c r="AX273" s="1"/>
      <c r="AZ273">
        <v>157</v>
      </c>
      <c r="BA273">
        <v>53</v>
      </c>
      <c r="BB273" s="2">
        <v>6</v>
      </c>
      <c r="BC273">
        <f t="shared" si="16"/>
        <v>9.8346980465536618</v>
      </c>
      <c r="BD273">
        <v>132</v>
      </c>
      <c r="BE273">
        <v>4.7</v>
      </c>
      <c r="BF273">
        <v>2.6</v>
      </c>
      <c r="BG273">
        <v>8.0999999999999908</v>
      </c>
      <c r="BH273">
        <v>322</v>
      </c>
      <c r="BI273">
        <v>4.6399999999999899</v>
      </c>
      <c r="BJ273">
        <v>7.9</v>
      </c>
      <c r="BK273">
        <v>6.2</v>
      </c>
      <c r="BL273">
        <v>8.3000000000000007</v>
      </c>
      <c r="BM273">
        <v>19.239999999999899</v>
      </c>
      <c r="BN273">
        <v>5.7</v>
      </c>
    </row>
    <row r="274" spans="1:66" x14ac:dyDescent="0.3">
      <c r="A274">
        <v>273</v>
      </c>
      <c r="B274" s="2" t="s">
        <v>430</v>
      </c>
      <c r="C274" s="2" t="s">
        <v>448</v>
      </c>
      <c r="D274">
        <v>86.481532147742001</v>
      </c>
      <c r="E274" s="3">
        <v>42854.947916666657</v>
      </c>
      <c r="F274" s="1">
        <v>42752</v>
      </c>
      <c r="G274" s="1">
        <v>42747.573877314811</v>
      </c>
      <c r="H274" t="s">
        <v>15</v>
      </c>
      <c r="I274" t="s">
        <v>78</v>
      </c>
      <c r="J274" t="s">
        <v>14</v>
      </c>
      <c r="L274">
        <v>50</v>
      </c>
      <c r="M274" t="s">
        <v>451</v>
      </c>
      <c r="N274" t="s">
        <v>451</v>
      </c>
      <c r="O274" t="s">
        <v>25</v>
      </c>
      <c r="P274" t="s">
        <v>75</v>
      </c>
      <c r="Q274" t="s">
        <v>451</v>
      </c>
      <c r="S274" t="s">
        <v>75</v>
      </c>
      <c r="T274" t="s">
        <v>26</v>
      </c>
      <c r="U274" t="s">
        <v>266</v>
      </c>
      <c r="V274" t="s">
        <v>451</v>
      </c>
      <c r="W274" t="s">
        <v>19</v>
      </c>
      <c r="X274" t="s">
        <v>87</v>
      </c>
      <c r="Y274">
        <v>5.4000000953674299</v>
      </c>
      <c r="Z274">
        <v>4.1999998092651296</v>
      </c>
      <c r="AA274">
        <v>1.20000004768371</v>
      </c>
      <c r="AB274">
        <v>1.20000004768371</v>
      </c>
      <c r="AC274">
        <v>264.41720581054602</v>
      </c>
      <c r="AD274">
        <v>131</v>
      </c>
      <c r="AE274">
        <v>1</v>
      </c>
      <c r="AF274">
        <v>48</v>
      </c>
      <c r="AN274" t="s">
        <v>543</v>
      </c>
      <c r="AO274">
        <v>85</v>
      </c>
      <c r="AP274">
        <v>27.755102040816329</v>
      </c>
      <c r="AS274" s="1"/>
      <c r="AT274" s="1"/>
      <c r="AU274" s="1">
        <v>40693.544408564812</v>
      </c>
      <c r="AV274" s="1">
        <v>40693.544408564812</v>
      </c>
      <c r="AW274" s="1">
        <v>40693.544408564812</v>
      </c>
      <c r="AX274" s="1"/>
      <c r="BB274" s="2">
        <v>3</v>
      </c>
      <c r="BC274">
        <f t="shared" si="16"/>
        <v>8.4693732637807742</v>
      </c>
      <c r="BD274">
        <v>136</v>
      </c>
      <c r="BE274">
        <v>4.2</v>
      </c>
      <c r="BF274">
        <v>3.1</v>
      </c>
      <c r="BG274">
        <v>5.7</v>
      </c>
      <c r="BH274">
        <v>244</v>
      </c>
      <c r="BI274">
        <v>7.46</v>
      </c>
      <c r="BJ274">
        <v>7.9</v>
      </c>
      <c r="BK274">
        <v>6.0999999999999899</v>
      </c>
      <c r="BL274">
        <v>9.3000000000000007</v>
      </c>
      <c r="BM274">
        <v>25.52</v>
      </c>
      <c r="BN274">
        <v>5.2</v>
      </c>
    </row>
    <row r="275" spans="1:66" x14ac:dyDescent="0.3">
      <c r="A275">
        <v>274</v>
      </c>
      <c r="B275" s="2" t="s">
        <v>430</v>
      </c>
      <c r="C275" s="2" t="s">
        <v>448</v>
      </c>
      <c r="D275">
        <v>79.411764705882007</v>
      </c>
      <c r="E275" s="3"/>
      <c r="F275" s="1">
        <v>45418</v>
      </c>
      <c r="G275" s="1">
        <v>45154.486226851863</v>
      </c>
      <c r="H275" t="s">
        <v>15</v>
      </c>
      <c r="I275" t="s">
        <v>78</v>
      </c>
      <c r="J275" t="s">
        <v>15</v>
      </c>
      <c r="L275">
        <v>60</v>
      </c>
      <c r="M275" t="s">
        <v>15</v>
      </c>
      <c r="N275" t="s">
        <v>15</v>
      </c>
      <c r="O275" t="s">
        <v>15</v>
      </c>
      <c r="P275" t="s">
        <v>479</v>
      </c>
      <c r="Q275" t="s">
        <v>451</v>
      </c>
      <c r="S275" t="s">
        <v>92</v>
      </c>
      <c r="T275" t="s">
        <v>19</v>
      </c>
      <c r="V275" t="s">
        <v>479</v>
      </c>
      <c r="W275" t="s">
        <v>23</v>
      </c>
      <c r="X275" t="s">
        <v>87</v>
      </c>
      <c r="Y275">
        <v>4.9000000953674299</v>
      </c>
      <c r="Z275">
        <v>2</v>
      </c>
      <c r="AA275">
        <v>1.29999995231628</v>
      </c>
      <c r="AB275">
        <v>1</v>
      </c>
      <c r="AC275">
        <v>213.25836181640599</v>
      </c>
      <c r="AD275">
        <v>103</v>
      </c>
      <c r="AE275">
        <v>1</v>
      </c>
      <c r="AF275">
        <v>55</v>
      </c>
      <c r="AG275">
        <v>84.400001525878906</v>
      </c>
      <c r="AI275">
        <v>7.9400000572204501</v>
      </c>
      <c r="AJ275">
        <v>10.6300001144409</v>
      </c>
      <c r="AK275">
        <v>8.2700004577636701</v>
      </c>
      <c r="AL275">
        <v>6.7399997711181596</v>
      </c>
      <c r="AM275">
        <v>12.520000457763601</v>
      </c>
      <c r="AN275" t="s">
        <v>544</v>
      </c>
      <c r="AO275">
        <v>95.299999999999898</v>
      </c>
      <c r="AP275">
        <v>31.11836734693874</v>
      </c>
      <c r="AS275" s="1"/>
      <c r="AT275" s="1"/>
      <c r="AU275" s="1">
        <v>40598.576450266213</v>
      </c>
      <c r="AV275" s="1"/>
      <c r="AW275" s="1">
        <v>45005.465773611111</v>
      </c>
      <c r="AX275" s="1">
        <v>42749.312492129633</v>
      </c>
      <c r="AY275" t="s">
        <v>21</v>
      </c>
      <c r="BA275">
        <v>42</v>
      </c>
      <c r="BB275" s="5">
        <v>0</v>
      </c>
      <c r="BC275">
        <f t="shared" si="16"/>
        <v>16.847743999560723</v>
      </c>
      <c r="BD275">
        <v>142</v>
      </c>
      <c r="BE275">
        <v>5</v>
      </c>
      <c r="BF275">
        <v>3.7</v>
      </c>
      <c r="BG275">
        <v>14.1</v>
      </c>
      <c r="BH275">
        <v>233</v>
      </c>
      <c r="BI275">
        <v>4.75999999999999</v>
      </c>
      <c r="BJ275">
        <v>8.9</v>
      </c>
      <c r="BK275">
        <v>6.7999999999999901</v>
      </c>
      <c r="BL275">
        <v>12.1999999999999</v>
      </c>
      <c r="BM275">
        <v>94.879999999999896</v>
      </c>
      <c r="BN275">
        <v>5.9</v>
      </c>
    </row>
    <row r="276" spans="1:66" x14ac:dyDescent="0.3">
      <c r="A276">
        <v>275</v>
      </c>
      <c r="B276" s="2" t="s">
        <v>430</v>
      </c>
      <c r="C276" s="2" t="s">
        <v>448</v>
      </c>
      <c r="D276">
        <v>87.833105335157001</v>
      </c>
      <c r="E276" s="3">
        <v>44137.25</v>
      </c>
      <c r="F276" s="1">
        <v>43958</v>
      </c>
      <c r="G276" s="1">
        <v>43837.54546296296</v>
      </c>
      <c r="H276" t="s">
        <v>15</v>
      </c>
      <c r="I276" t="s">
        <v>87</v>
      </c>
      <c r="J276" t="s">
        <v>453</v>
      </c>
      <c r="L276">
        <v>45</v>
      </c>
      <c r="M276" t="s">
        <v>79</v>
      </c>
      <c r="N276" t="s">
        <v>15</v>
      </c>
      <c r="O276" t="s">
        <v>25</v>
      </c>
      <c r="P276" t="s">
        <v>75</v>
      </c>
      <c r="S276" t="s">
        <v>126</v>
      </c>
      <c r="T276" t="s">
        <v>19</v>
      </c>
      <c r="V276" t="s">
        <v>451</v>
      </c>
      <c r="W276" t="s">
        <v>29</v>
      </c>
      <c r="X276" t="s">
        <v>87</v>
      </c>
      <c r="Y276">
        <v>5.3000001907348597</v>
      </c>
      <c r="Z276">
        <v>4.1999998092651296</v>
      </c>
      <c r="AA276">
        <v>1.6000000238418499</v>
      </c>
      <c r="AB276">
        <v>0.980000019073486</v>
      </c>
      <c r="AC276">
        <v>283.83514404296801</v>
      </c>
      <c r="AD276">
        <v>154</v>
      </c>
      <c r="AE276">
        <v>1.5</v>
      </c>
      <c r="AF276">
        <v>56</v>
      </c>
      <c r="AG276">
        <v>153</v>
      </c>
      <c r="AN276" t="s">
        <v>545</v>
      </c>
      <c r="AO276">
        <v>70</v>
      </c>
      <c r="AP276">
        <v>22.857142857142858</v>
      </c>
      <c r="AR276" s="1">
        <v>41948</v>
      </c>
      <c r="AS276" s="1">
        <v>41940.792626504634</v>
      </c>
      <c r="AT276" s="1">
        <v>41291.503103703697</v>
      </c>
      <c r="AU276" s="1">
        <v>41262.466551504629</v>
      </c>
      <c r="AV276" s="1"/>
      <c r="AW276" s="1">
        <v>41262.466551504629</v>
      </c>
      <c r="AX276" s="1"/>
      <c r="AZ276">
        <v>138</v>
      </c>
      <c r="BA276">
        <v>60</v>
      </c>
      <c r="BB276" s="2">
        <v>2</v>
      </c>
      <c r="BC276">
        <f t="shared" si="16"/>
        <v>14.088281738190625</v>
      </c>
      <c r="BD276">
        <v>141</v>
      </c>
      <c r="BE276">
        <v>4.2</v>
      </c>
      <c r="BF276">
        <v>3</v>
      </c>
      <c r="BG276">
        <v>9.1999999999999904</v>
      </c>
      <c r="BH276">
        <v>167</v>
      </c>
      <c r="BI276">
        <v>3.6</v>
      </c>
      <c r="BJ276">
        <v>8</v>
      </c>
      <c r="BK276">
        <v>6</v>
      </c>
      <c r="BL276">
        <v>12.5</v>
      </c>
      <c r="BM276">
        <v>157.81</v>
      </c>
      <c r="BN276">
        <v>5.2999999999999901</v>
      </c>
    </row>
    <row r="277" spans="1:66" x14ac:dyDescent="0.3">
      <c r="A277">
        <v>276</v>
      </c>
      <c r="B277" s="2" t="s">
        <v>430</v>
      </c>
      <c r="C277" s="2" t="s">
        <v>448</v>
      </c>
      <c r="D277">
        <v>82.967759157925897</v>
      </c>
      <c r="E277" s="3">
        <v>44434</v>
      </c>
      <c r="F277" s="1">
        <v>44160.71597222222</v>
      </c>
      <c r="G277" s="1">
        <v>43947.482175925928</v>
      </c>
      <c r="H277" t="s">
        <v>15</v>
      </c>
      <c r="I277" t="s">
        <v>87</v>
      </c>
      <c r="J277" t="s">
        <v>15</v>
      </c>
      <c r="L277">
        <v>60</v>
      </c>
      <c r="M277" t="s">
        <v>451</v>
      </c>
      <c r="N277" t="s">
        <v>451</v>
      </c>
      <c r="O277" t="s">
        <v>25</v>
      </c>
      <c r="P277" t="s">
        <v>75</v>
      </c>
      <c r="Q277" t="s">
        <v>19</v>
      </c>
      <c r="R277" t="s">
        <v>102</v>
      </c>
      <c r="S277" t="s">
        <v>451</v>
      </c>
      <c r="T277" t="s">
        <v>29</v>
      </c>
      <c r="U277" t="s">
        <v>505</v>
      </c>
      <c r="V277" t="s">
        <v>15</v>
      </c>
      <c r="W277" t="s">
        <v>19</v>
      </c>
      <c r="X277" t="s">
        <v>90</v>
      </c>
      <c r="Y277">
        <v>5.0399999618530202</v>
      </c>
      <c r="Z277">
        <v>3.5099999904632502</v>
      </c>
      <c r="AA277">
        <v>1.40999996662139</v>
      </c>
      <c r="AB277">
        <v>1.40999996662139</v>
      </c>
      <c r="AC277">
        <v>298.09289550781199</v>
      </c>
      <c r="AD277">
        <v>148</v>
      </c>
      <c r="AE277">
        <v>1</v>
      </c>
      <c r="AF277">
        <v>60</v>
      </c>
      <c r="AG277">
        <v>151.22999572753901</v>
      </c>
      <c r="AH277">
        <v>6.5900001525878897</v>
      </c>
      <c r="AI277">
        <v>5.2300000190734801</v>
      </c>
      <c r="AJ277">
        <v>28.920000076293899</v>
      </c>
      <c r="AK277">
        <v>10.779999732971101</v>
      </c>
      <c r="AL277">
        <v>10.779999732971101</v>
      </c>
      <c r="AM277">
        <v>14.029999732971101</v>
      </c>
      <c r="AN277" t="s">
        <v>546</v>
      </c>
      <c r="AO277">
        <v>83.2</v>
      </c>
      <c r="AP277">
        <v>26.859504132231404</v>
      </c>
      <c r="AS277" s="1">
        <v>39994.004843634262</v>
      </c>
      <c r="AT277" s="1"/>
      <c r="AU277" s="1">
        <v>39994.004688541667</v>
      </c>
      <c r="AV277" s="1">
        <v>39994.005027511572</v>
      </c>
      <c r="AW277" s="1">
        <v>39995.82980324074</v>
      </c>
      <c r="AX277" s="1"/>
      <c r="AZ277">
        <v>140</v>
      </c>
      <c r="BA277">
        <v>62</v>
      </c>
      <c r="BB277" s="2">
        <v>8</v>
      </c>
      <c r="BC277">
        <f t="shared" si="16"/>
        <v>10.107963612092222</v>
      </c>
      <c r="BD277">
        <v>133</v>
      </c>
      <c r="BE277">
        <v>3.7</v>
      </c>
      <c r="BF277">
        <v>3.3999999999999901</v>
      </c>
      <c r="BG277">
        <v>10.5</v>
      </c>
      <c r="BH277">
        <v>202</v>
      </c>
      <c r="BI277">
        <v>6.5199999999999898</v>
      </c>
      <c r="BJ277">
        <v>9</v>
      </c>
      <c r="BK277">
        <v>5.5</v>
      </c>
      <c r="BL277">
        <v>9.8000000000000007</v>
      </c>
      <c r="BM277">
        <v>59.85</v>
      </c>
      <c r="BN277">
        <v>5</v>
      </c>
    </row>
    <row r="278" spans="1:66" x14ac:dyDescent="0.3">
      <c r="A278">
        <v>277</v>
      </c>
      <c r="B278" s="2" t="s">
        <v>430</v>
      </c>
      <c r="C278" s="2" t="s">
        <v>448</v>
      </c>
      <c r="D278">
        <v>80.812585499316</v>
      </c>
      <c r="E278" s="3">
        <v>44564.140277777777</v>
      </c>
      <c r="F278" s="1">
        <v>44550</v>
      </c>
      <c r="G278" s="1">
        <v>44545.500833333332</v>
      </c>
      <c r="H278" t="s">
        <v>15</v>
      </c>
      <c r="I278" t="s">
        <v>15</v>
      </c>
      <c r="J278" t="s">
        <v>35</v>
      </c>
      <c r="L278">
        <v>25</v>
      </c>
      <c r="M278" t="s">
        <v>451</v>
      </c>
      <c r="N278" t="s">
        <v>451</v>
      </c>
      <c r="O278" t="s">
        <v>17</v>
      </c>
      <c r="P278" t="s">
        <v>75</v>
      </c>
      <c r="Q278" t="s">
        <v>451</v>
      </c>
      <c r="S278" t="s">
        <v>451</v>
      </c>
      <c r="T278" t="s">
        <v>19</v>
      </c>
      <c r="U278" t="s">
        <v>205</v>
      </c>
      <c r="V278" t="s">
        <v>451</v>
      </c>
      <c r="W278" t="s">
        <v>19</v>
      </c>
      <c r="X278" t="s">
        <v>78</v>
      </c>
      <c r="Y278">
        <v>4.75</v>
      </c>
      <c r="Z278">
        <v>3.5399999618530198</v>
      </c>
      <c r="AA278">
        <v>1.1000000238418499</v>
      </c>
      <c r="AB278">
        <v>0.91000002622604304</v>
      </c>
      <c r="AC278">
        <v>168.450927734375</v>
      </c>
      <c r="AD278">
        <v>86</v>
      </c>
      <c r="AE278">
        <v>1</v>
      </c>
      <c r="AF278">
        <v>37</v>
      </c>
      <c r="AN278" t="s">
        <v>547</v>
      </c>
      <c r="AO278">
        <v>80</v>
      </c>
      <c r="AP278">
        <v>27.681660899653977</v>
      </c>
      <c r="AS278" s="1"/>
      <c r="AT278" s="1"/>
      <c r="AU278" s="1">
        <v>44544.951973148149</v>
      </c>
      <c r="AV278" s="1">
        <v>44544.951973148149</v>
      </c>
      <c r="AW278" s="1">
        <v>44544.951973148149</v>
      </c>
      <c r="AX278" s="1"/>
      <c r="AY278" t="s">
        <v>21</v>
      </c>
      <c r="AZ278">
        <v>113</v>
      </c>
      <c r="BA278">
        <v>61</v>
      </c>
      <c r="BB278" s="5">
        <v>0</v>
      </c>
      <c r="BC278">
        <f t="shared" si="16"/>
        <v>18.84349395118879</v>
      </c>
      <c r="BD278">
        <v>143</v>
      </c>
      <c r="BE278">
        <v>3.7999999999999901</v>
      </c>
      <c r="BF278">
        <v>3</v>
      </c>
      <c r="BG278">
        <v>9.4</v>
      </c>
      <c r="BH278">
        <v>193</v>
      </c>
      <c r="BI278">
        <v>3.49</v>
      </c>
      <c r="BJ278">
        <v>6.9</v>
      </c>
      <c r="BK278">
        <v>5</v>
      </c>
      <c r="BL278">
        <v>8.3000000000000007</v>
      </c>
      <c r="BM278">
        <v>64.329999999999899</v>
      </c>
      <c r="BN278">
        <v>6.2999999999999901</v>
      </c>
    </row>
    <row r="279" spans="1:66" x14ac:dyDescent="0.3">
      <c r="A279">
        <v>278</v>
      </c>
      <c r="B279" s="2" t="s">
        <v>430</v>
      </c>
      <c r="C279" s="2" t="s">
        <v>448</v>
      </c>
      <c r="D279">
        <v>68.051983584130895</v>
      </c>
      <c r="E279" s="3">
        <v>42226.895833333343</v>
      </c>
      <c r="F279" s="1">
        <v>41883</v>
      </c>
      <c r="G279" s="1">
        <v>41872.555798611109</v>
      </c>
      <c r="H279" t="s">
        <v>15</v>
      </c>
      <c r="I279" t="s">
        <v>78</v>
      </c>
      <c r="J279" t="s">
        <v>14</v>
      </c>
      <c r="L279">
        <v>40</v>
      </c>
      <c r="M279" t="s">
        <v>451</v>
      </c>
      <c r="N279" t="s">
        <v>451</v>
      </c>
      <c r="O279" t="s">
        <v>17</v>
      </c>
      <c r="P279" t="s">
        <v>451</v>
      </c>
      <c r="Q279" t="s">
        <v>451</v>
      </c>
      <c r="S279" t="s">
        <v>75</v>
      </c>
      <c r="T279" t="s">
        <v>18</v>
      </c>
      <c r="V279" t="s">
        <v>451</v>
      </c>
      <c r="W279" t="s">
        <v>451</v>
      </c>
      <c r="Y279">
        <v>4.3000001907348597</v>
      </c>
      <c r="Z279">
        <v>3.9000000953674299</v>
      </c>
      <c r="AA279">
        <v>1.29999995231628</v>
      </c>
      <c r="AB279">
        <v>1.1000000238418499</v>
      </c>
      <c r="AC279">
        <v>184.68499755859301</v>
      </c>
      <c r="AD279">
        <v>79</v>
      </c>
      <c r="AE279">
        <v>1</v>
      </c>
      <c r="AG279">
        <v>114</v>
      </c>
      <c r="AH279">
        <v>6.9000000953674299</v>
      </c>
      <c r="AI279">
        <v>5.0999999046325604</v>
      </c>
      <c r="AJ279">
        <v>22.350000381469702</v>
      </c>
      <c r="AK279">
        <v>5.8000001907348597</v>
      </c>
      <c r="AL279">
        <v>5.5999999046325604</v>
      </c>
      <c r="AM279">
        <v>20.360000610351499</v>
      </c>
      <c r="AN279" t="s">
        <v>548</v>
      </c>
      <c r="AO279">
        <v>130</v>
      </c>
      <c r="AP279">
        <v>42.448979591836732</v>
      </c>
      <c r="AS279" s="1"/>
      <c r="AT279" s="1">
        <v>41875.924733796302</v>
      </c>
      <c r="AU279" s="1">
        <v>41875.924733796302</v>
      </c>
      <c r="AV279" s="1"/>
      <c r="AW279" s="1"/>
      <c r="AX279" s="1"/>
      <c r="AZ279">
        <v>130</v>
      </c>
      <c r="BA279">
        <v>50</v>
      </c>
      <c r="BB279" s="2">
        <v>3</v>
      </c>
      <c r="BC279">
        <f t="shared" si="16"/>
        <v>28.425851367806295</v>
      </c>
      <c r="BD279">
        <v>139</v>
      </c>
      <c r="BE279">
        <v>3.74</v>
      </c>
      <c r="BF279">
        <v>2.5</v>
      </c>
      <c r="BG279">
        <v>9.4</v>
      </c>
      <c r="BH279">
        <v>89</v>
      </c>
      <c r="BI279">
        <v>4.57</v>
      </c>
      <c r="BJ279">
        <v>9.5</v>
      </c>
      <c r="BK279">
        <v>4.2999999999999901</v>
      </c>
      <c r="BL279">
        <v>6.9</v>
      </c>
      <c r="BM279">
        <v>47.439999999999898</v>
      </c>
    </row>
    <row r="280" spans="1:66" x14ac:dyDescent="0.3">
      <c r="A280">
        <v>279</v>
      </c>
      <c r="B280" s="2" t="s">
        <v>434</v>
      </c>
      <c r="C280" s="2" t="s">
        <v>448</v>
      </c>
      <c r="D280">
        <v>82.774281805745005</v>
      </c>
      <c r="E280" s="3">
        <v>43634</v>
      </c>
      <c r="F280" s="1">
        <v>43443</v>
      </c>
      <c r="G280" s="1">
        <v>43277.388692129629</v>
      </c>
      <c r="H280" t="s">
        <v>17</v>
      </c>
      <c r="I280" t="s">
        <v>78</v>
      </c>
      <c r="J280" t="s">
        <v>453</v>
      </c>
      <c r="L280">
        <v>50</v>
      </c>
      <c r="M280" t="s">
        <v>79</v>
      </c>
      <c r="N280" t="s">
        <v>14</v>
      </c>
      <c r="O280" t="s">
        <v>25</v>
      </c>
      <c r="P280" t="s">
        <v>75</v>
      </c>
      <c r="Q280" t="s">
        <v>18</v>
      </c>
      <c r="S280" t="s">
        <v>451</v>
      </c>
      <c r="T280" t="s">
        <v>26</v>
      </c>
      <c r="U280" t="s">
        <v>96</v>
      </c>
      <c r="V280" t="s">
        <v>451</v>
      </c>
      <c r="W280" t="s">
        <v>34</v>
      </c>
      <c r="X280" t="s">
        <v>90</v>
      </c>
      <c r="Y280">
        <v>6.4000000953674299</v>
      </c>
      <c r="Z280">
        <v>4.3699998855590803</v>
      </c>
      <c r="AA280">
        <v>1.3400000333786</v>
      </c>
      <c r="AB280">
        <v>1.1000000238418499</v>
      </c>
      <c r="AC280">
        <v>357.24771118164</v>
      </c>
      <c r="AD280">
        <v>185</v>
      </c>
      <c r="AE280">
        <v>1.62000000476837</v>
      </c>
      <c r="AF280">
        <v>77</v>
      </c>
      <c r="AG280">
        <v>139</v>
      </c>
      <c r="AH280">
        <v>5.3099999427795401</v>
      </c>
      <c r="AI280">
        <v>6.3499999046325604</v>
      </c>
      <c r="AJ280">
        <v>21.889999389648398</v>
      </c>
      <c r="AK280">
        <v>7.5700001716613698</v>
      </c>
      <c r="AL280">
        <v>12.399999618530201</v>
      </c>
      <c r="AM280">
        <v>11.2100000381469</v>
      </c>
      <c r="AN280" t="s">
        <v>549</v>
      </c>
      <c r="AO280">
        <v>90.049999999999898</v>
      </c>
      <c r="AP280">
        <v>30.438750676041071</v>
      </c>
      <c r="AQ280" s="1">
        <v>43279</v>
      </c>
      <c r="AR280" s="1">
        <v>43279</v>
      </c>
      <c r="AS280" s="1">
        <v>41537.558442048612</v>
      </c>
      <c r="AT280" s="1">
        <v>41537.558442048612</v>
      </c>
      <c r="AU280" s="1"/>
      <c r="AV280" s="1">
        <v>41537.558442048612</v>
      </c>
      <c r="AW280" s="1"/>
      <c r="AX280" s="1"/>
      <c r="BB280" s="2">
        <v>2</v>
      </c>
      <c r="BC280">
        <f t="shared" si="16"/>
        <v>29.094263343454475</v>
      </c>
      <c r="BD280">
        <v>144</v>
      </c>
      <c r="BE280">
        <v>4.2999999999999901</v>
      </c>
      <c r="BF280">
        <v>3.5</v>
      </c>
      <c r="BG280">
        <v>9.8000000000000007</v>
      </c>
      <c r="BH280">
        <v>199</v>
      </c>
      <c r="BI280">
        <v>2.46</v>
      </c>
      <c r="BJ280">
        <v>9.0999999999999908</v>
      </c>
      <c r="BK280">
        <v>3.2</v>
      </c>
      <c r="BL280">
        <v>12.6999999999999</v>
      </c>
      <c r="BM280">
        <v>31.71</v>
      </c>
      <c r="BN280">
        <v>6.5</v>
      </c>
    </row>
    <row r="281" spans="1:66" x14ac:dyDescent="0.3">
      <c r="A281">
        <v>280</v>
      </c>
      <c r="B281" s="2" t="s">
        <v>430</v>
      </c>
      <c r="C281" s="2" t="s">
        <v>449</v>
      </c>
      <c r="D281">
        <v>71.409028727770107</v>
      </c>
      <c r="E281" s="3"/>
      <c r="F281" s="1">
        <v>44465</v>
      </c>
      <c r="G281" s="1">
        <v>44139.463784722233</v>
      </c>
      <c r="H281" t="s">
        <v>15</v>
      </c>
      <c r="I281" t="s">
        <v>451</v>
      </c>
      <c r="J281" t="s">
        <v>15</v>
      </c>
      <c r="L281">
        <v>63</v>
      </c>
      <c r="M281" t="s">
        <v>451</v>
      </c>
      <c r="N281" t="s">
        <v>451</v>
      </c>
      <c r="O281" t="s">
        <v>17</v>
      </c>
      <c r="P281" t="s">
        <v>75</v>
      </c>
      <c r="Q281" t="s">
        <v>18</v>
      </c>
      <c r="R281" t="s">
        <v>483</v>
      </c>
      <c r="S281" t="s">
        <v>92</v>
      </c>
      <c r="T281" t="s">
        <v>19</v>
      </c>
      <c r="U281" t="s">
        <v>132</v>
      </c>
      <c r="V281" t="s">
        <v>15</v>
      </c>
      <c r="W281" t="s">
        <v>19</v>
      </c>
      <c r="X281" t="s">
        <v>15</v>
      </c>
      <c r="Y281">
        <v>5.13000011444091</v>
      </c>
      <c r="Z281">
        <v>3.3699998855590798</v>
      </c>
      <c r="AA281">
        <v>1.0700000524520801</v>
      </c>
      <c r="AB281">
        <v>0.85000002384185702</v>
      </c>
      <c r="AC281">
        <v>179.81024169921801</v>
      </c>
      <c r="AD281">
        <v>112</v>
      </c>
      <c r="AE281">
        <v>1</v>
      </c>
      <c r="AF281">
        <v>30</v>
      </c>
      <c r="AG281">
        <v>151</v>
      </c>
      <c r="AH281">
        <v>7.38000011444091</v>
      </c>
      <c r="AI281">
        <v>5.0300002098083398</v>
      </c>
      <c r="AJ281">
        <v>30.020000457763601</v>
      </c>
      <c r="AK281">
        <v>8.3500003814697195</v>
      </c>
      <c r="AL281">
        <v>7.5399999618530202</v>
      </c>
      <c r="AM281">
        <v>20.030000686645501</v>
      </c>
      <c r="AN281" t="s">
        <v>550</v>
      </c>
      <c r="AO281">
        <v>60</v>
      </c>
      <c r="AP281">
        <v>24.973985431841829</v>
      </c>
      <c r="AS281" s="1"/>
      <c r="AT281" s="1">
        <v>40846.386712962973</v>
      </c>
      <c r="AU281" s="1">
        <v>40844.988055555557</v>
      </c>
      <c r="AV281" s="1">
        <v>39551.499782060193</v>
      </c>
      <c r="AW281" s="1"/>
      <c r="AX281" s="1"/>
      <c r="AY281" t="s">
        <v>21</v>
      </c>
      <c r="AZ281">
        <v>169</v>
      </c>
      <c r="BA281">
        <v>84</v>
      </c>
      <c r="BB281" s="2">
        <v>7</v>
      </c>
      <c r="BC281">
        <f t="shared" si="16"/>
        <v>15.833557542066041</v>
      </c>
      <c r="BD281">
        <v>136</v>
      </c>
      <c r="BE281">
        <v>4.5</v>
      </c>
      <c r="BF281">
        <v>3.7</v>
      </c>
      <c r="BG281">
        <v>9</v>
      </c>
      <c r="BH281">
        <v>118</v>
      </c>
      <c r="BI281">
        <v>3.6099999999999901</v>
      </c>
      <c r="BJ281">
        <v>10.4</v>
      </c>
      <c r="BK281">
        <v>5.2999999999999901</v>
      </c>
      <c r="BL281">
        <v>5</v>
      </c>
      <c r="BM281">
        <v>0.79</v>
      </c>
      <c r="BN281">
        <v>5.5</v>
      </c>
    </row>
    <row r="282" spans="1:66" x14ac:dyDescent="0.3">
      <c r="A282">
        <v>281</v>
      </c>
      <c r="B282" s="2" t="s">
        <v>430</v>
      </c>
      <c r="C282" s="2" t="s">
        <v>449</v>
      </c>
      <c r="D282">
        <v>82.257181942543895</v>
      </c>
      <c r="E282" s="3">
        <v>41797.578472222223</v>
      </c>
      <c r="F282" s="1">
        <v>41754</v>
      </c>
      <c r="G282" s="1">
        <v>41749.532256944447</v>
      </c>
      <c r="H282" t="s">
        <v>15</v>
      </c>
      <c r="I282" t="s">
        <v>78</v>
      </c>
      <c r="J282" t="s">
        <v>15</v>
      </c>
      <c r="L282">
        <v>63</v>
      </c>
      <c r="M282" t="s">
        <v>79</v>
      </c>
      <c r="N282" t="s">
        <v>28</v>
      </c>
      <c r="O282" t="s">
        <v>25</v>
      </c>
      <c r="P282" t="s">
        <v>479</v>
      </c>
      <c r="Q282" t="s">
        <v>451</v>
      </c>
      <c r="S282" t="s">
        <v>451</v>
      </c>
      <c r="T282" t="s">
        <v>23</v>
      </c>
      <c r="U282" t="s">
        <v>96</v>
      </c>
      <c r="V282" t="s">
        <v>451</v>
      </c>
      <c r="W282" t="s">
        <v>23</v>
      </c>
      <c r="X282" t="s">
        <v>78</v>
      </c>
      <c r="Y282">
        <v>4.9000000953674299</v>
      </c>
      <c r="Z282">
        <v>3.5999999046325599</v>
      </c>
      <c r="AA282">
        <v>1.20000004768371</v>
      </c>
      <c r="AB282">
        <v>1.1000000238418499</v>
      </c>
      <c r="AC282">
        <v>213.25836181640599</v>
      </c>
      <c r="AD282">
        <v>138</v>
      </c>
      <c r="AE282">
        <v>1</v>
      </c>
      <c r="AF282">
        <v>48</v>
      </c>
      <c r="AG282">
        <v>177</v>
      </c>
      <c r="AN282" t="s">
        <v>551</v>
      </c>
      <c r="AO282">
        <v>78</v>
      </c>
      <c r="AS282" s="1"/>
      <c r="AT282" s="1">
        <v>41208.6207931713</v>
      </c>
      <c r="AU282" s="1">
        <v>39720.490213541663</v>
      </c>
      <c r="AV282" s="1">
        <v>39720.489322685193</v>
      </c>
      <c r="AW282" s="1">
        <v>39720.490748298609</v>
      </c>
      <c r="AX282" s="1"/>
      <c r="AY282" t="s">
        <v>21</v>
      </c>
      <c r="BB282" s="2">
        <v>2</v>
      </c>
      <c r="BC282">
        <f t="shared" si="16"/>
        <v>13.395014895555516</v>
      </c>
      <c r="BD282">
        <v>140</v>
      </c>
      <c r="BE282">
        <v>4.5</v>
      </c>
      <c r="BF282">
        <v>2.6</v>
      </c>
      <c r="BG282">
        <v>10</v>
      </c>
      <c r="BH282">
        <v>273</v>
      </c>
      <c r="BI282">
        <v>4.6699999999999902</v>
      </c>
      <c r="BJ282">
        <v>7.7999999999999901</v>
      </c>
      <c r="BK282">
        <v>6.2999999999999901</v>
      </c>
      <c r="BL282">
        <v>12.6</v>
      </c>
      <c r="BM282">
        <v>71.349999999999895</v>
      </c>
      <c r="BN282">
        <v>5.7999999999999901</v>
      </c>
    </row>
    <row r="283" spans="1:66" x14ac:dyDescent="0.3">
      <c r="A283">
        <v>282</v>
      </c>
      <c r="B283" s="2" t="s">
        <v>430</v>
      </c>
      <c r="C283" s="2" t="s">
        <v>448</v>
      </c>
      <c r="D283">
        <v>68.897400820792996</v>
      </c>
      <c r="E283" s="3">
        <v>41836</v>
      </c>
      <c r="F283" s="1">
        <v>41738</v>
      </c>
      <c r="G283" s="1">
        <v>41574.477465277778</v>
      </c>
      <c r="H283" t="s">
        <v>17</v>
      </c>
      <c r="I283" t="s">
        <v>78</v>
      </c>
      <c r="J283" t="s">
        <v>15</v>
      </c>
      <c r="L283">
        <v>58</v>
      </c>
      <c r="M283" t="s">
        <v>451</v>
      </c>
      <c r="N283" t="s">
        <v>451</v>
      </c>
      <c r="O283" t="s">
        <v>25</v>
      </c>
      <c r="P283" t="s">
        <v>451</v>
      </c>
      <c r="Q283" t="s">
        <v>451</v>
      </c>
      <c r="S283" t="s">
        <v>451</v>
      </c>
      <c r="T283" t="s">
        <v>18</v>
      </c>
      <c r="U283" t="s">
        <v>96</v>
      </c>
      <c r="V283" t="s">
        <v>451</v>
      </c>
      <c r="W283" t="s">
        <v>18</v>
      </c>
      <c r="X283" t="s">
        <v>15</v>
      </c>
      <c r="Y283">
        <v>5.9000000953674299</v>
      </c>
      <c r="Z283">
        <v>4.6999998092651296</v>
      </c>
      <c r="AA283">
        <v>1.29999995231628</v>
      </c>
      <c r="AB283">
        <v>1.3999999761581401</v>
      </c>
      <c r="AC283">
        <v>358.92327880859301</v>
      </c>
      <c r="AD283">
        <v>168</v>
      </c>
      <c r="AE283">
        <v>1</v>
      </c>
      <c r="AF283">
        <v>31</v>
      </c>
      <c r="AG283">
        <v>130</v>
      </c>
      <c r="AH283">
        <v>4.5999999046325604</v>
      </c>
      <c r="AI283">
        <v>7.0999999046325604</v>
      </c>
      <c r="AJ283">
        <v>18.309999465942301</v>
      </c>
      <c r="AK283">
        <v>6.63000011444091</v>
      </c>
      <c r="AL283">
        <v>7.7199997901916504</v>
      </c>
      <c r="AM283">
        <v>16.840000152587798</v>
      </c>
      <c r="AN283" t="s">
        <v>552</v>
      </c>
      <c r="AS283" s="1">
        <v>40400.056308680563</v>
      </c>
      <c r="AT283" s="1">
        <v>40400.056308680563</v>
      </c>
      <c r="AU283" s="1">
        <v>40400.056308680563</v>
      </c>
      <c r="AV283" s="1">
        <v>40244.502859525463</v>
      </c>
      <c r="AW283" s="1"/>
      <c r="AX283" s="1"/>
      <c r="AY283" t="s">
        <v>21</v>
      </c>
      <c r="BB283" s="5">
        <v>0</v>
      </c>
      <c r="BC283">
        <v>14.8</v>
      </c>
      <c r="BD283">
        <v>137</v>
      </c>
      <c r="BE283">
        <v>3.5</v>
      </c>
      <c r="BF283">
        <v>2.3999999999999901</v>
      </c>
      <c r="BG283">
        <v>8.8000000000000007</v>
      </c>
      <c r="BH283">
        <v>117</v>
      </c>
      <c r="BI283">
        <v>4.04</v>
      </c>
      <c r="BJ283">
        <v>9</v>
      </c>
      <c r="BK283">
        <v>4.0999999999999899</v>
      </c>
      <c r="BL283">
        <v>5.7999999999999901</v>
      </c>
      <c r="BM283">
        <v>94.7</v>
      </c>
      <c r="BN283">
        <v>8.5999999999999908</v>
      </c>
    </row>
    <row r="284" spans="1:66" x14ac:dyDescent="0.3">
      <c r="A284">
        <v>283</v>
      </c>
      <c r="B284" s="2" t="s">
        <v>430</v>
      </c>
      <c r="C284" s="2" t="s">
        <v>449</v>
      </c>
      <c r="D284">
        <v>72.443228454172001</v>
      </c>
      <c r="E284" s="3">
        <v>42780.458333333343</v>
      </c>
      <c r="F284" s="1">
        <v>42768</v>
      </c>
      <c r="G284" s="1">
        <v>42440.386736111112</v>
      </c>
      <c r="H284" t="s">
        <v>15</v>
      </c>
      <c r="I284" t="s">
        <v>78</v>
      </c>
      <c r="J284" t="s">
        <v>35</v>
      </c>
      <c r="L284">
        <v>28</v>
      </c>
      <c r="M284" t="s">
        <v>451</v>
      </c>
      <c r="N284" t="s">
        <v>451</v>
      </c>
      <c r="O284" t="s">
        <v>25</v>
      </c>
      <c r="P284" t="s">
        <v>75</v>
      </c>
      <c r="Q284" t="s">
        <v>451</v>
      </c>
      <c r="R284" t="s">
        <v>484</v>
      </c>
      <c r="S284" t="s">
        <v>75</v>
      </c>
      <c r="T284" t="s">
        <v>23</v>
      </c>
      <c r="U284" t="s">
        <v>506</v>
      </c>
      <c r="V284" t="s">
        <v>451</v>
      </c>
      <c r="W284" t="s">
        <v>26</v>
      </c>
      <c r="X284" t="s">
        <v>90</v>
      </c>
      <c r="Y284">
        <v>5.1599998474120996</v>
      </c>
      <c r="Z284">
        <v>4.0999999046325604</v>
      </c>
      <c r="AA284">
        <v>1.29999995231628</v>
      </c>
      <c r="AB284">
        <v>1.21000003814697</v>
      </c>
      <c r="AC284">
        <v>261.70620727539</v>
      </c>
      <c r="AD284">
        <v>153</v>
      </c>
      <c r="AE284">
        <v>1</v>
      </c>
      <c r="AF284">
        <v>67</v>
      </c>
      <c r="AG284">
        <v>123</v>
      </c>
      <c r="AH284">
        <v>4.6199998855590803</v>
      </c>
      <c r="AI284">
        <v>3.5099999904632502</v>
      </c>
      <c r="AJ284">
        <v>35.040000915527301</v>
      </c>
      <c r="AK284">
        <v>3.9000000953674299</v>
      </c>
      <c r="AL284">
        <v>6.7399997711181596</v>
      </c>
      <c r="AM284">
        <v>18.25</v>
      </c>
      <c r="AN284" t="s">
        <v>553</v>
      </c>
      <c r="AS284" s="1"/>
      <c r="AT284" s="1">
        <v>42755.257403784723</v>
      </c>
      <c r="AU284" s="1">
        <v>42073.699195289351</v>
      </c>
      <c r="AV284" s="1"/>
      <c r="AW284" s="1"/>
      <c r="AX284" s="1"/>
      <c r="AY284" t="s">
        <v>21</v>
      </c>
      <c r="AZ284">
        <v>144</v>
      </c>
      <c r="BA284">
        <v>47</v>
      </c>
      <c r="BB284" s="2">
        <v>1</v>
      </c>
      <c r="BC284">
        <v>7.1</v>
      </c>
      <c r="BD284">
        <v>137</v>
      </c>
      <c r="BE284">
        <v>6.2999999999999901</v>
      </c>
      <c r="BF284">
        <v>3.1</v>
      </c>
      <c r="BG284">
        <v>9.5</v>
      </c>
      <c r="BH284">
        <v>247</v>
      </c>
      <c r="BI284">
        <v>5.82</v>
      </c>
      <c r="BJ284">
        <v>8.5</v>
      </c>
      <c r="BK284">
        <v>7.7</v>
      </c>
      <c r="BL284">
        <v>13.1999999999999</v>
      </c>
      <c r="BM284">
        <v>64.519999999999897</v>
      </c>
      <c r="BN284">
        <v>6.2</v>
      </c>
    </row>
    <row r="285" spans="1:66" x14ac:dyDescent="0.3">
      <c r="A285">
        <v>284</v>
      </c>
      <c r="B285" s="2" t="s">
        <v>434</v>
      </c>
      <c r="C285" s="2" t="s">
        <v>448</v>
      </c>
      <c r="D285">
        <v>68.322845417235897</v>
      </c>
      <c r="E285" s="3">
        <v>44998.180555555547</v>
      </c>
      <c r="F285" s="1">
        <v>42729</v>
      </c>
      <c r="G285" s="1">
        <v>42457.53497685185</v>
      </c>
      <c r="H285" t="s">
        <v>17</v>
      </c>
      <c r="I285" t="s">
        <v>78</v>
      </c>
      <c r="J285" t="s">
        <v>453</v>
      </c>
      <c r="K285" t="s">
        <v>456</v>
      </c>
      <c r="L285">
        <v>50</v>
      </c>
      <c r="M285" t="s">
        <v>451</v>
      </c>
      <c r="N285" t="s">
        <v>451</v>
      </c>
      <c r="O285" t="s">
        <v>31</v>
      </c>
      <c r="P285" t="s">
        <v>75</v>
      </c>
      <c r="Q285" t="s">
        <v>451</v>
      </c>
      <c r="S285" t="s">
        <v>75</v>
      </c>
      <c r="T285" t="s">
        <v>19</v>
      </c>
      <c r="V285" t="s">
        <v>451</v>
      </c>
      <c r="W285" t="s">
        <v>18</v>
      </c>
      <c r="X285" t="s">
        <v>87</v>
      </c>
      <c r="Y285">
        <v>6.0999999046325604</v>
      </c>
      <c r="Z285">
        <v>3.9000000953674299</v>
      </c>
      <c r="AA285">
        <v>1.20000004768371</v>
      </c>
      <c r="AB285">
        <v>1.20000004768371</v>
      </c>
      <c r="AC285">
        <v>322.70379638671801</v>
      </c>
      <c r="AD285">
        <v>150</v>
      </c>
      <c r="AE285">
        <v>1.3099999427795399</v>
      </c>
      <c r="AF285">
        <v>55</v>
      </c>
      <c r="AG285">
        <v>141</v>
      </c>
      <c r="AH285">
        <v>7</v>
      </c>
      <c r="AI285">
        <v>4</v>
      </c>
      <c r="AJ285">
        <v>35.25</v>
      </c>
      <c r="AK285">
        <v>8</v>
      </c>
      <c r="AL285">
        <v>5</v>
      </c>
      <c r="AM285">
        <v>28.2000007629394</v>
      </c>
      <c r="AN285" t="s">
        <v>554</v>
      </c>
      <c r="AO285">
        <v>92.349999999999895</v>
      </c>
      <c r="AP285">
        <v>31.955017301038023</v>
      </c>
      <c r="AS285" s="1">
        <v>42092.547258796287</v>
      </c>
      <c r="AT285" s="1"/>
      <c r="AU285" s="1">
        <v>41411.419993981479</v>
      </c>
      <c r="AV285" s="1">
        <v>41411.419993981479</v>
      </c>
      <c r="AW285" s="1"/>
      <c r="AX285" s="1"/>
      <c r="AZ285">
        <v>107</v>
      </c>
      <c r="BA285">
        <v>70</v>
      </c>
      <c r="BB285" s="2">
        <v>7</v>
      </c>
      <c r="BC285">
        <f>(140-D285)*AO285/(72*BI285)</f>
        <v>20.521407569811061</v>
      </c>
      <c r="BD285">
        <v>140</v>
      </c>
      <c r="BE285">
        <v>3.7999999999999901</v>
      </c>
      <c r="BF285">
        <v>3.7999999999999901</v>
      </c>
      <c r="BG285">
        <v>8</v>
      </c>
      <c r="BH285">
        <v>219</v>
      </c>
      <c r="BI285">
        <v>4.4800000000000004</v>
      </c>
      <c r="BJ285">
        <v>8.5999999999999908</v>
      </c>
      <c r="BK285">
        <v>4.9000000000000004</v>
      </c>
      <c r="BL285">
        <v>15.4</v>
      </c>
      <c r="BM285">
        <v>33.270000000000003</v>
      </c>
      <c r="BN285">
        <v>6</v>
      </c>
    </row>
    <row r="286" spans="1:66" x14ac:dyDescent="0.3">
      <c r="A286">
        <v>285</v>
      </c>
      <c r="B286" s="2" t="s">
        <v>430</v>
      </c>
      <c r="C286" s="2" t="s">
        <v>448</v>
      </c>
      <c r="D286">
        <v>86.760601915183997</v>
      </c>
      <c r="E286" s="3">
        <v>44135.947916666657</v>
      </c>
      <c r="F286" s="1">
        <v>44131</v>
      </c>
      <c r="G286" s="1">
        <v>43860.79896990741</v>
      </c>
      <c r="H286" t="s">
        <v>15</v>
      </c>
      <c r="I286" t="s">
        <v>451</v>
      </c>
      <c r="J286" t="s">
        <v>35</v>
      </c>
      <c r="L286">
        <v>25</v>
      </c>
      <c r="M286" t="s">
        <v>15</v>
      </c>
      <c r="N286" t="s">
        <v>15</v>
      </c>
      <c r="O286" t="s">
        <v>25</v>
      </c>
      <c r="P286" t="s">
        <v>124</v>
      </c>
      <c r="Q286" t="s">
        <v>451</v>
      </c>
      <c r="R286" t="s">
        <v>482</v>
      </c>
      <c r="S286" t="s">
        <v>92</v>
      </c>
      <c r="T286" t="s">
        <v>34</v>
      </c>
      <c r="U286" t="s">
        <v>266</v>
      </c>
      <c r="V286" t="s">
        <v>451</v>
      </c>
      <c r="W286" t="s">
        <v>23</v>
      </c>
      <c r="X286" t="s">
        <v>90</v>
      </c>
      <c r="Y286">
        <v>5.4499998092651296</v>
      </c>
      <c r="Z286">
        <v>4.0799999237060502</v>
      </c>
      <c r="AA286">
        <v>1.12000000476837</v>
      </c>
      <c r="AB286">
        <v>1.1399999856948799</v>
      </c>
      <c r="AC286">
        <v>247.23423767089801</v>
      </c>
      <c r="AD286">
        <v>140</v>
      </c>
      <c r="AE286">
        <v>2.0599999427795401</v>
      </c>
      <c r="AF286">
        <v>74</v>
      </c>
      <c r="AG286">
        <v>152</v>
      </c>
      <c r="AH286">
        <v>3.70000004768371</v>
      </c>
      <c r="AI286">
        <v>2.8299999237060498</v>
      </c>
      <c r="AJ286">
        <v>53.709999084472599</v>
      </c>
      <c r="AK286">
        <v>4.3499999046325604</v>
      </c>
      <c r="AL286">
        <v>3.92000007629394</v>
      </c>
      <c r="AM286">
        <v>38.779998779296797</v>
      </c>
      <c r="AN286" t="s">
        <v>555</v>
      </c>
      <c r="AO286">
        <v>82.2</v>
      </c>
      <c r="AQ286" s="1">
        <v>41683</v>
      </c>
      <c r="AR286" s="1">
        <v>37987</v>
      </c>
      <c r="AS286" s="1">
        <v>41683.534713194444</v>
      </c>
      <c r="AT286" s="1"/>
      <c r="AU286" s="1">
        <v>41630.965746215283</v>
      </c>
      <c r="AV286" s="1"/>
      <c r="AW286" s="1">
        <v>41630.965746215283</v>
      </c>
      <c r="AX286" s="1"/>
      <c r="BB286" s="5">
        <v>0</v>
      </c>
      <c r="BC286">
        <f>(140-D286)*AO286/(72*BI286)</f>
        <v>11.011167780223136</v>
      </c>
      <c r="BD286">
        <v>133</v>
      </c>
      <c r="BE286">
        <v>4.9000000000000004</v>
      </c>
      <c r="BF286">
        <v>3.2</v>
      </c>
      <c r="BG286">
        <v>12.8</v>
      </c>
      <c r="BH286">
        <v>223</v>
      </c>
      <c r="BI286">
        <v>5.5199999999999898</v>
      </c>
      <c r="BJ286">
        <v>8.3000000000000007</v>
      </c>
      <c r="BK286">
        <v>8.5999999999999908</v>
      </c>
      <c r="BL286">
        <v>12.6</v>
      </c>
      <c r="BM286">
        <v>24.399999999999899</v>
      </c>
      <c r="BN286">
        <v>7.5999999999999899</v>
      </c>
    </row>
    <row r="287" spans="1:66" x14ac:dyDescent="0.3">
      <c r="A287">
        <v>286</v>
      </c>
      <c r="B287" s="2" t="s">
        <v>430</v>
      </c>
      <c r="C287" s="2" t="s">
        <v>448</v>
      </c>
      <c r="D287">
        <v>83.376196990424006</v>
      </c>
      <c r="E287" s="3">
        <v>43404</v>
      </c>
      <c r="F287" s="1">
        <v>42894</v>
      </c>
      <c r="G287" s="1">
        <v>42773.355092592603</v>
      </c>
      <c r="H287" t="s">
        <v>15</v>
      </c>
      <c r="I287" t="s">
        <v>78</v>
      </c>
      <c r="J287" t="s">
        <v>15</v>
      </c>
      <c r="L287">
        <v>65</v>
      </c>
      <c r="M287" t="s">
        <v>451</v>
      </c>
      <c r="N287" t="s">
        <v>451</v>
      </c>
      <c r="O287" t="s">
        <v>15</v>
      </c>
      <c r="P287" t="s">
        <v>451</v>
      </c>
      <c r="Q287" t="s">
        <v>23</v>
      </c>
      <c r="S287" t="s">
        <v>451</v>
      </c>
      <c r="T287" t="s">
        <v>19</v>
      </c>
      <c r="V287" t="s">
        <v>451</v>
      </c>
      <c r="W287" t="s">
        <v>18</v>
      </c>
      <c r="X287" t="s">
        <v>15</v>
      </c>
      <c r="Y287">
        <v>4.3000001907348597</v>
      </c>
      <c r="Z287">
        <v>2.2999999523162802</v>
      </c>
      <c r="AA287">
        <v>1.29999995231628</v>
      </c>
      <c r="AB287">
        <v>1.29999995231628</v>
      </c>
      <c r="AC287">
        <v>207.76966857910099</v>
      </c>
      <c r="AD287">
        <v>103</v>
      </c>
      <c r="AE287">
        <v>1</v>
      </c>
      <c r="AF287">
        <v>30</v>
      </c>
      <c r="AG287">
        <v>57</v>
      </c>
      <c r="AH287">
        <v>7</v>
      </c>
      <c r="AI287">
        <v>3</v>
      </c>
      <c r="AJ287">
        <v>19</v>
      </c>
      <c r="AK287">
        <v>9</v>
      </c>
      <c r="AL287">
        <v>4</v>
      </c>
      <c r="AM287">
        <v>14.25</v>
      </c>
      <c r="AN287" t="s">
        <v>556</v>
      </c>
      <c r="AO287">
        <v>88</v>
      </c>
      <c r="AP287">
        <v>32.323232323232325</v>
      </c>
      <c r="AS287" s="1"/>
      <c r="AT287" s="1"/>
      <c r="AU287" s="1">
        <v>42787.578060798609</v>
      </c>
      <c r="AV287" s="1"/>
      <c r="AW287" s="1"/>
      <c r="AX287" s="1"/>
      <c r="AZ287">
        <v>122</v>
      </c>
      <c r="BA287">
        <v>56</v>
      </c>
      <c r="BB287" s="2">
        <v>4</v>
      </c>
      <c r="BC287">
        <f>(140-D287)*AO287/(72*BI287)</f>
        <v>16.360962256510003</v>
      </c>
      <c r="BD287">
        <v>144</v>
      </c>
      <c r="BE287">
        <v>4.0999999999999899</v>
      </c>
      <c r="BF287">
        <v>3.3999999999999901</v>
      </c>
      <c r="BG287">
        <v>10.9</v>
      </c>
      <c r="BH287">
        <v>266</v>
      </c>
      <c r="BI287">
        <v>4.2300000000000004</v>
      </c>
      <c r="BJ287">
        <v>7.7999999999999901</v>
      </c>
      <c r="BK287">
        <v>6.2999999999999901</v>
      </c>
      <c r="BL287">
        <v>6</v>
      </c>
      <c r="BM287">
        <v>4.2</v>
      </c>
    </row>
    <row r="288" spans="1:66" x14ac:dyDescent="0.3">
      <c r="A288">
        <v>287</v>
      </c>
      <c r="B288" s="2" t="s">
        <v>430</v>
      </c>
      <c r="C288" s="2" t="s">
        <v>448</v>
      </c>
      <c r="D288">
        <v>86.660448016415003</v>
      </c>
      <c r="E288" s="3">
        <v>45634</v>
      </c>
      <c r="F288" s="1">
        <v>45410.393750000003</v>
      </c>
      <c r="G288" s="1">
        <v>45355.531944444447</v>
      </c>
      <c r="H288" t="s">
        <v>15</v>
      </c>
      <c r="I288" t="s">
        <v>15</v>
      </c>
      <c r="J288" t="s">
        <v>22</v>
      </c>
      <c r="L288">
        <v>40</v>
      </c>
      <c r="M288" t="s">
        <v>451</v>
      </c>
      <c r="N288" t="s">
        <v>451</v>
      </c>
      <c r="O288" t="s">
        <v>17</v>
      </c>
      <c r="P288" t="s">
        <v>75</v>
      </c>
      <c r="Q288" t="s">
        <v>18</v>
      </c>
      <c r="R288" t="s">
        <v>102</v>
      </c>
      <c r="S288" t="s">
        <v>92</v>
      </c>
      <c r="T288" t="s">
        <v>23</v>
      </c>
      <c r="V288" t="s">
        <v>451</v>
      </c>
      <c r="W288" t="s">
        <v>19</v>
      </c>
      <c r="X288" t="s">
        <v>87</v>
      </c>
      <c r="Y288">
        <v>5.3499999046325604</v>
      </c>
      <c r="Z288">
        <v>3.8299999237060498</v>
      </c>
      <c r="AA288">
        <v>0.88999998569488503</v>
      </c>
      <c r="AB288">
        <v>0.77999997138976995</v>
      </c>
      <c r="AC288">
        <v>161.02459716796801</v>
      </c>
      <c r="AD288">
        <v>84</v>
      </c>
      <c r="AE288">
        <v>2</v>
      </c>
      <c r="AF288">
        <v>46</v>
      </c>
      <c r="AG288">
        <v>116</v>
      </c>
      <c r="AI288">
        <v>4.0900001525878897</v>
      </c>
      <c r="AJ288">
        <v>28.360000610351499</v>
      </c>
      <c r="AK288">
        <v>7.9299998283386204</v>
      </c>
      <c r="AL288">
        <v>9.6800003051757795</v>
      </c>
      <c r="AM288">
        <v>11.9799995422363</v>
      </c>
      <c r="AN288" t="s">
        <v>557</v>
      </c>
      <c r="AO288">
        <v>66</v>
      </c>
      <c r="AP288">
        <v>22.837370242214536</v>
      </c>
      <c r="AS288" s="1"/>
      <c r="AT288" s="1">
        <v>42436.699460960648</v>
      </c>
      <c r="AU288" s="1">
        <v>44244.497648495373</v>
      </c>
      <c r="AV288" s="1">
        <v>44244.497648495373</v>
      </c>
      <c r="AW288" s="1"/>
      <c r="AX288" s="1"/>
      <c r="BB288" s="2">
        <v>2</v>
      </c>
      <c r="BC288">
        <f>(140-D288)*AO288/(72*BI288)</f>
        <v>6.6523250773178662</v>
      </c>
      <c r="BD288">
        <v>138</v>
      </c>
      <c r="BE288">
        <v>4.9000000000000004</v>
      </c>
      <c r="BF288">
        <v>3.1</v>
      </c>
      <c r="BG288">
        <v>9.5999999999999908</v>
      </c>
      <c r="BH288">
        <v>163</v>
      </c>
      <c r="BI288">
        <v>7.3499999999999899</v>
      </c>
      <c r="BJ288">
        <v>8.0999999999999908</v>
      </c>
      <c r="BK288">
        <v>5.7</v>
      </c>
      <c r="BL288">
        <v>9.5999999999999908</v>
      </c>
      <c r="BM288">
        <v>34.31</v>
      </c>
      <c r="BN288">
        <v>5.9</v>
      </c>
    </row>
    <row r="289" spans="1:66" x14ac:dyDescent="0.3">
      <c r="A289">
        <v>288</v>
      </c>
      <c r="B289" s="2" t="s">
        <v>430</v>
      </c>
      <c r="C289" s="2" t="s">
        <v>448</v>
      </c>
      <c r="D289">
        <v>85.881019151846004</v>
      </c>
      <c r="E289" s="3">
        <v>41876</v>
      </c>
      <c r="F289" s="1">
        <v>41810.512499999997</v>
      </c>
      <c r="G289" s="1">
        <v>41694.37222222222</v>
      </c>
      <c r="H289" t="s">
        <v>15</v>
      </c>
      <c r="I289" t="s">
        <v>15</v>
      </c>
      <c r="J289" t="s">
        <v>14</v>
      </c>
      <c r="L289">
        <v>45</v>
      </c>
      <c r="M289" t="s">
        <v>451</v>
      </c>
      <c r="N289" t="s">
        <v>451</v>
      </c>
      <c r="O289" t="s">
        <v>17</v>
      </c>
      <c r="P289" t="s">
        <v>124</v>
      </c>
      <c r="Q289" t="s">
        <v>23</v>
      </c>
      <c r="R289" t="s">
        <v>485</v>
      </c>
      <c r="S289" t="s">
        <v>92</v>
      </c>
      <c r="T289" t="s">
        <v>23</v>
      </c>
      <c r="V289" t="s">
        <v>451</v>
      </c>
      <c r="W289" t="s">
        <v>23</v>
      </c>
      <c r="X289" t="s">
        <v>87</v>
      </c>
      <c r="Y289">
        <v>5</v>
      </c>
      <c r="Z289">
        <v>3.4000000953674299</v>
      </c>
      <c r="AA289">
        <v>0.89999997615814198</v>
      </c>
      <c r="AB289">
        <v>1.1000000238418499</v>
      </c>
      <c r="AC289">
        <v>181.97599792480401</v>
      </c>
      <c r="AD289">
        <v>102</v>
      </c>
      <c r="AE289">
        <v>1.37999999523162</v>
      </c>
      <c r="AF289">
        <v>45</v>
      </c>
      <c r="AG289">
        <v>95.599998474120994</v>
      </c>
      <c r="AN289" t="s">
        <v>558</v>
      </c>
      <c r="AS289" s="1">
        <v>40935.602022222221</v>
      </c>
      <c r="AT289" s="1"/>
      <c r="AU289" s="1">
        <v>40935.608234224543</v>
      </c>
      <c r="AV289" s="1">
        <v>40935.608234224543</v>
      </c>
      <c r="AW289" s="1">
        <v>41116.57887931713</v>
      </c>
      <c r="AX289" s="1"/>
      <c r="BB289" s="5">
        <v>0</v>
      </c>
      <c r="BC289">
        <v>8.9</v>
      </c>
      <c r="BD289">
        <v>136</v>
      </c>
      <c r="BE289">
        <v>4.7</v>
      </c>
      <c r="BF289">
        <v>2.5</v>
      </c>
      <c r="BG289">
        <v>9</v>
      </c>
      <c r="BH289">
        <v>280</v>
      </c>
      <c r="BI289">
        <v>6.07</v>
      </c>
      <c r="BJ289">
        <v>7.7</v>
      </c>
      <c r="BK289">
        <v>11.8</v>
      </c>
      <c r="BL289">
        <v>8.4</v>
      </c>
      <c r="BM289">
        <v>45.979999999999897</v>
      </c>
      <c r="BN289">
        <v>5.7999999999999901</v>
      </c>
    </row>
    <row r="290" spans="1:66" x14ac:dyDescent="0.3">
      <c r="A290">
        <v>289</v>
      </c>
      <c r="B290" s="2" t="s">
        <v>430</v>
      </c>
      <c r="C290" s="2" t="s">
        <v>449</v>
      </c>
      <c r="D290">
        <v>73.447332421339993</v>
      </c>
      <c r="E290" s="3">
        <v>44946.166666666657</v>
      </c>
      <c r="F290" s="1">
        <v>44922</v>
      </c>
      <c r="G290" s="1">
        <v>44854.549178240741</v>
      </c>
      <c r="H290" t="s">
        <v>17</v>
      </c>
      <c r="I290" t="s">
        <v>78</v>
      </c>
      <c r="J290" t="s">
        <v>35</v>
      </c>
      <c r="L290">
        <v>15</v>
      </c>
      <c r="M290" t="s">
        <v>451</v>
      </c>
      <c r="N290" t="s">
        <v>35</v>
      </c>
      <c r="O290" t="s">
        <v>25</v>
      </c>
      <c r="P290" t="s">
        <v>75</v>
      </c>
      <c r="S290" t="s">
        <v>451</v>
      </c>
      <c r="T290" t="s">
        <v>19</v>
      </c>
      <c r="U290" t="s">
        <v>507</v>
      </c>
      <c r="V290" t="s">
        <v>15</v>
      </c>
      <c r="W290" t="s">
        <v>19</v>
      </c>
      <c r="X290" t="s">
        <v>87</v>
      </c>
      <c r="Y290">
        <v>5.8899998664855904</v>
      </c>
      <c r="Z290">
        <v>4.7699999809265101</v>
      </c>
      <c r="AA290">
        <v>1.2799999713897701</v>
      </c>
      <c r="AB290">
        <v>0.91000002622604304</v>
      </c>
      <c r="AC290">
        <v>269.483795166015</v>
      </c>
      <c r="AD290">
        <v>130</v>
      </c>
      <c r="AE290">
        <v>2.5599999427795401</v>
      </c>
      <c r="AF290">
        <v>47</v>
      </c>
      <c r="AG290">
        <v>128</v>
      </c>
      <c r="AH290">
        <v>4.9299998283386204</v>
      </c>
      <c r="AI290">
        <v>3.8399999141693102</v>
      </c>
      <c r="AJ290">
        <v>33.330001831054602</v>
      </c>
      <c r="AK290">
        <v>5.0999999046325604</v>
      </c>
      <c r="AL290">
        <v>5.4299998283386204</v>
      </c>
      <c r="AM290">
        <v>23.569999694824201</v>
      </c>
      <c r="AN290" t="s">
        <v>559</v>
      </c>
      <c r="AO290">
        <v>102.2</v>
      </c>
      <c r="AP290">
        <v>40.938952091011053</v>
      </c>
      <c r="AS290" s="1">
        <v>44846.920019131947</v>
      </c>
      <c r="AT290" s="1">
        <v>44847.483322337961</v>
      </c>
      <c r="AU290" s="1">
        <v>44846.920019131947</v>
      </c>
      <c r="AV290" s="1">
        <v>44846.920019131947</v>
      </c>
      <c r="AW290" s="1"/>
      <c r="AX290" s="1"/>
      <c r="BB290" s="2">
        <v>2</v>
      </c>
      <c r="BC290">
        <f>(140-D290)*AO290/(72*BI290)</f>
        <v>25.810878212428101</v>
      </c>
      <c r="BD290">
        <v>127</v>
      </c>
      <c r="BE290">
        <v>3.1</v>
      </c>
      <c r="BF290">
        <v>3.2</v>
      </c>
      <c r="BG290">
        <v>11.3</v>
      </c>
      <c r="BH290">
        <v>357</v>
      </c>
      <c r="BI290">
        <v>3.66</v>
      </c>
      <c r="BJ290">
        <v>8.1999999999999904</v>
      </c>
      <c r="BK290">
        <v>6.7</v>
      </c>
      <c r="BL290">
        <v>8.6999999999999904</v>
      </c>
      <c r="BM290">
        <v>97.59</v>
      </c>
      <c r="BN290">
        <v>7.5999999999999899</v>
      </c>
    </row>
    <row r="291" spans="1:66" x14ac:dyDescent="0.3">
      <c r="A291">
        <v>290</v>
      </c>
      <c r="B291" s="2" t="s">
        <v>430</v>
      </c>
      <c r="C291" s="2" t="s">
        <v>448</v>
      </c>
      <c r="D291">
        <v>72.982216142270104</v>
      </c>
      <c r="E291" s="3">
        <v>43550.3125</v>
      </c>
      <c r="F291" s="1">
        <v>43478</v>
      </c>
      <c r="G291" s="1">
        <v>43156.420312499999</v>
      </c>
      <c r="H291" t="s">
        <v>25</v>
      </c>
      <c r="I291" t="s">
        <v>15</v>
      </c>
      <c r="J291" t="s">
        <v>35</v>
      </c>
      <c r="K291" t="s">
        <v>157</v>
      </c>
      <c r="L291">
        <v>25</v>
      </c>
      <c r="M291" t="s">
        <v>15</v>
      </c>
      <c r="N291" t="s">
        <v>15</v>
      </c>
      <c r="O291" t="s">
        <v>25</v>
      </c>
      <c r="P291" t="s">
        <v>479</v>
      </c>
      <c r="Q291" t="s">
        <v>19</v>
      </c>
      <c r="S291" t="s">
        <v>451</v>
      </c>
      <c r="T291" t="s">
        <v>19</v>
      </c>
      <c r="U291" t="s">
        <v>132</v>
      </c>
      <c r="V291" t="s">
        <v>451</v>
      </c>
      <c r="X291" t="s">
        <v>87</v>
      </c>
      <c r="Y291">
        <v>6.5</v>
      </c>
      <c r="Z291">
        <v>5.3899998664855904</v>
      </c>
      <c r="AA291">
        <v>1.15999996662139</v>
      </c>
      <c r="AB291">
        <v>1.0199999809265099</v>
      </c>
      <c r="AC291">
        <v>316.21673583984301</v>
      </c>
      <c r="AD291">
        <v>187</v>
      </c>
      <c r="AE291">
        <v>2.5599999427795401</v>
      </c>
      <c r="AF291">
        <v>50</v>
      </c>
      <c r="AG291">
        <v>87.800003051757798</v>
      </c>
      <c r="AH291">
        <v>4.6399998664855904</v>
      </c>
      <c r="AI291">
        <v>4.3499999046325604</v>
      </c>
      <c r="AJ291">
        <v>20.1800003051757</v>
      </c>
      <c r="AK291">
        <v>4.5399999618530202</v>
      </c>
      <c r="AL291">
        <v>7.0599999427795401</v>
      </c>
      <c r="AM291">
        <v>12.439999580383301</v>
      </c>
      <c r="AN291" t="s">
        <v>560</v>
      </c>
      <c r="AO291">
        <v>73.400000000000006</v>
      </c>
      <c r="AP291">
        <v>27.29030339083879</v>
      </c>
      <c r="AQ291" s="1">
        <v>41087</v>
      </c>
      <c r="AR291" s="1">
        <v>39624</v>
      </c>
      <c r="AS291" s="1">
        <v>41087.635653703714</v>
      </c>
      <c r="AT291" s="1"/>
      <c r="AU291" s="1">
        <v>41087.635653703714</v>
      </c>
      <c r="AV291" s="1">
        <v>39624.479947106483</v>
      </c>
      <c r="AW291" s="1">
        <v>41087.635653703714</v>
      </c>
      <c r="AX291" s="1"/>
      <c r="AZ291">
        <v>96</v>
      </c>
      <c r="BA291">
        <v>60</v>
      </c>
      <c r="BB291" s="2">
        <v>2</v>
      </c>
      <c r="BC291">
        <f>(140-D291)*AO291/(72*BI291)</f>
        <v>21.217673115758171</v>
      </c>
      <c r="BD291">
        <v>133</v>
      </c>
      <c r="BE291">
        <v>4</v>
      </c>
      <c r="BF291">
        <v>3.2</v>
      </c>
      <c r="BG291">
        <v>10</v>
      </c>
      <c r="BH291">
        <v>219</v>
      </c>
      <c r="BI291">
        <v>3.22</v>
      </c>
      <c r="BJ291">
        <v>9.0999999999999908</v>
      </c>
      <c r="BK291">
        <v>4.2</v>
      </c>
      <c r="BL291">
        <v>7.0999999999999899</v>
      </c>
      <c r="BM291">
        <v>39.369999999999898</v>
      </c>
      <c r="BN291">
        <v>6.0999999999999899</v>
      </c>
    </row>
    <row r="292" spans="1:66" x14ac:dyDescent="0.3">
      <c r="A292">
        <v>291</v>
      </c>
      <c r="B292" s="2" t="s">
        <v>430</v>
      </c>
      <c r="C292" s="8" t="s">
        <v>448</v>
      </c>
      <c r="D292">
        <v>75.266757865936896</v>
      </c>
      <c r="E292" s="3">
        <v>45337</v>
      </c>
      <c r="F292" s="1">
        <v>45277</v>
      </c>
      <c r="G292" s="1">
        <v>45278.464988425927</v>
      </c>
      <c r="H292" t="s">
        <v>15</v>
      </c>
      <c r="I292" t="s">
        <v>15</v>
      </c>
      <c r="J292" t="s">
        <v>451</v>
      </c>
      <c r="K292" t="s">
        <v>457</v>
      </c>
      <c r="L292">
        <v>50</v>
      </c>
      <c r="M292" t="s">
        <v>451</v>
      </c>
      <c r="N292" t="s">
        <v>451</v>
      </c>
      <c r="O292" t="s">
        <v>451</v>
      </c>
      <c r="P292" t="s">
        <v>75</v>
      </c>
      <c r="Q292" t="s">
        <v>18</v>
      </c>
      <c r="R292" t="s">
        <v>486</v>
      </c>
      <c r="S292" t="s">
        <v>451</v>
      </c>
      <c r="T292" t="s">
        <v>23</v>
      </c>
      <c r="U292" t="s">
        <v>508</v>
      </c>
      <c r="V292" t="s">
        <v>15</v>
      </c>
      <c r="W292" t="s">
        <v>19</v>
      </c>
      <c r="Y292">
        <v>4.5</v>
      </c>
      <c r="Z292">
        <v>2.9000000953674299</v>
      </c>
      <c r="AA292">
        <v>1</v>
      </c>
      <c r="AB292">
        <v>1</v>
      </c>
      <c r="AC292">
        <v>153.27200317382801</v>
      </c>
      <c r="AD292">
        <v>82</v>
      </c>
      <c r="AE292">
        <v>1.1900000572204501</v>
      </c>
      <c r="AN292" t="s">
        <v>561</v>
      </c>
      <c r="AS292" s="1"/>
      <c r="AT292" s="1"/>
      <c r="AU292" s="1">
        <v>42721.492109641207</v>
      </c>
      <c r="AV292" s="1">
        <v>43707.723641319448</v>
      </c>
      <c r="AW292" s="1">
        <v>44528.883994479169</v>
      </c>
      <c r="AX292" s="1"/>
      <c r="BB292" s="5">
        <v>0</v>
      </c>
      <c r="BC292">
        <v>8.4</v>
      </c>
      <c r="BD292">
        <v>136</v>
      </c>
      <c r="BE292">
        <v>5</v>
      </c>
      <c r="BF292">
        <v>3.8999999999999901</v>
      </c>
      <c r="BG292">
        <v>8</v>
      </c>
      <c r="BH292">
        <v>235</v>
      </c>
      <c r="BI292">
        <v>6.5</v>
      </c>
      <c r="BJ292">
        <v>8.8000000000000007</v>
      </c>
      <c r="BK292">
        <v>5.5</v>
      </c>
      <c r="BL292">
        <v>8.5</v>
      </c>
      <c r="BM292">
        <v>155.099999999999</v>
      </c>
      <c r="BN292">
        <v>7.5999999999999899</v>
      </c>
    </row>
    <row r="293" spans="1:66" x14ac:dyDescent="0.3">
      <c r="A293">
        <v>292</v>
      </c>
      <c r="B293" s="2" t="s">
        <v>430</v>
      </c>
      <c r="C293" s="2" t="s">
        <v>448</v>
      </c>
      <c r="D293">
        <v>87.452804377563893</v>
      </c>
      <c r="E293" s="3">
        <v>44960.6875</v>
      </c>
      <c r="F293" s="1">
        <v>44934</v>
      </c>
      <c r="G293" s="1">
        <v>44934.562627314823</v>
      </c>
      <c r="H293" t="s">
        <v>452</v>
      </c>
      <c r="I293" t="s">
        <v>87</v>
      </c>
      <c r="J293" t="s">
        <v>15</v>
      </c>
      <c r="L293">
        <v>65</v>
      </c>
      <c r="M293" t="s">
        <v>17</v>
      </c>
      <c r="N293" t="s">
        <v>28</v>
      </c>
      <c r="O293" t="s">
        <v>17</v>
      </c>
      <c r="P293" t="s">
        <v>124</v>
      </c>
      <c r="Q293" t="s">
        <v>19</v>
      </c>
      <c r="R293" t="s">
        <v>487</v>
      </c>
      <c r="S293" t="s">
        <v>451</v>
      </c>
      <c r="T293" t="s">
        <v>19</v>
      </c>
      <c r="V293" t="s">
        <v>451</v>
      </c>
      <c r="W293" t="s">
        <v>19</v>
      </c>
      <c r="X293" t="s">
        <v>15</v>
      </c>
      <c r="Y293">
        <v>3.70000004768371</v>
      </c>
      <c r="Z293">
        <v>2.7400000095367401</v>
      </c>
      <c r="AA293">
        <v>1.7400000095367401</v>
      </c>
      <c r="AB293">
        <v>1.3099999427795399</v>
      </c>
      <c r="AC293">
        <v>214.33570861816401</v>
      </c>
      <c r="AD293">
        <v>116</v>
      </c>
      <c r="AE293">
        <v>1</v>
      </c>
      <c r="AF293">
        <v>33</v>
      </c>
      <c r="AG293">
        <v>96.5</v>
      </c>
      <c r="AI293">
        <v>4.6399998664855904</v>
      </c>
      <c r="AJ293">
        <v>20.799999237060501</v>
      </c>
      <c r="AK293">
        <v>5.13000011444091</v>
      </c>
      <c r="AL293">
        <v>8.0299997329711896</v>
      </c>
      <c r="AM293">
        <v>12.020000457763601</v>
      </c>
      <c r="AN293" t="s">
        <v>562</v>
      </c>
      <c r="AO293">
        <v>80</v>
      </c>
      <c r="AP293">
        <v>27.681660899653977</v>
      </c>
      <c r="AS293" s="1"/>
      <c r="AT293" s="1"/>
      <c r="AU293" s="1"/>
      <c r="AV293" s="1"/>
      <c r="AW293" s="1"/>
      <c r="AX293" s="1"/>
      <c r="BB293" s="5">
        <v>0</v>
      </c>
      <c r="BC293">
        <f>(140-D293)*AO293/(72*BI293)</f>
        <v>10.558005951865804</v>
      </c>
      <c r="BD293">
        <v>135</v>
      </c>
      <c r="BE293">
        <v>4.4000000000000004</v>
      </c>
      <c r="BF293">
        <v>2.5</v>
      </c>
      <c r="BG293">
        <v>9.1999999999999904</v>
      </c>
      <c r="BH293">
        <v>117</v>
      </c>
      <c r="BI293">
        <v>5.53</v>
      </c>
      <c r="BJ293">
        <v>8.0999999999999908</v>
      </c>
      <c r="BK293">
        <v>4.7</v>
      </c>
      <c r="BL293">
        <v>8</v>
      </c>
      <c r="BM293">
        <v>60.729999999999897</v>
      </c>
    </row>
    <row r="294" spans="1:66" x14ac:dyDescent="0.3">
      <c r="A294">
        <v>293</v>
      </c>
      <c r="B294" s="2" t="s">
        <v>430</v>
      </c>
      <c r="C294" s="2" t="s">
        <v>448</v>
      </c>
      <c r="D294">
        <v>66.427880376955898</v>
      </c>
      <c r="E294" s="3">
        <v>41120</v>
      </c>
      <c r="F294" s="1">
        <v>41082.390277777777</v>
      </c>
      <c r="G294" s="1">
        <v>41073.42627314815</v>
      </c>
      <c r="H294" t="s">
        <v>25</v>
      </c>
      <c r="I294" t="s">
        <v>78</v>
      </c>
      <c r="J294" t="s">
        <v>35</v>
      </c>
      <c r="K294" t="s">
        <v>458</v>
      </c>
      <c r="L294">
        <v>25</v>
      </c>
      <c r="M294" t="s">
        <v>79</v>
      </c>
      <c r="N294" t="s">
        <v>35</v>
      </c>
      <c r="O294" t="s">
        <v>17</v>
      </c>
      <c r="P294" t="s">
        <v>451</v>
      </c>
      <c r="Q294" t="s">
        <v>18</v>
      </c>
      <c r="R294" t="s">
        <v>482</v>
      </c>
      <c r="S294" t="s">
        <v>451</v>
      </c>
      <c r="T294" t="s">
        <v>29</v>
      </c>
      <c r="V294" t="s">
        <v>451</v>
      </c>
      <c r="W294" t="s">
        <v>34</v>
      </c>
      <c r="X294" t="s">
        <v>87</v>
      </c>
      <c r="Y294">
        <v>5.9800000190734801</v>
      </c>
      <c r="Z294">
        <v>5.6199998855590803</v>
      </c>
      <c r="AA294">
        <v>1.20000004768371</v>
      </c>
      <c r="AB294">
        <v>1.04999995231628</v>
      </c>
      <c r="AC294">
        <v>286.47067260742102</v>
      </c>
      <c r="AD294">
        <v>136</v>
      </c>
      <c r="AE294">
        <v>2.5599999427795401</v>
      </c>
      <c r="AF294">
        <v>47</v>
      </c>
      <c r="AG294">
        <v>120</v>
      </c>
      <c r="AH294">
        <v>4</v>
      </c>
      <c r="AI294">
        <v>5</v>
      </c>
      <c r="AJ294">
        <v>24</v>
      </c>
      <c r="AK294">
        <v>5</v>
      </c>
      <c r="AL294">
        <v>8</v>
      </c>
      <c r="AM294">
        <v>15</v>
      </c>
      <c r="AN294" t="s">
        <v>563</v>
      </c>
      <c r="AO294">
        <v>108.5</v>
      </c>
      <c r="AP294">
        <v>37.543252595155714</v>
      </c>
      <c r="AS294" s="1">
        <v>40226.463376307867</v>
      </c>
      <c r="AT294" s="1"/>
      <c r="AU294" s="1">
        <v>40226.296428900459</v>
      </c>
      <c r="AV294" s="1">
        <v>40226.29656678241</v>
      </c>
      <c r="AW294" s="1"/>
      <c r="AX294" s="1"/>
      <c r="AZ294">
        <v>136</v>
      </c>
      <c r="BA294">
        <v>80</v>
      </c>
      <c r="BB294" s="5">
        <v>0</v>
      </c>
      <c r="BC294">
        <f>(140-D294)*AO294/(72*BI294)</f>
        <v>29.883853620471267</v>
      </c>
      <c r="BD294">
        <v>131</v>
      </c>
      <c r="BE294">
        <v>4.5</v>
      </c>
      <c r="BF294">
        <v>3</v>
      </c>
      <c r="BG294">
        <v>11.3</v>
      </c>
      <c r="BH294">
        <v>194</v>
      </c>
      <c r="BI294">
        <v>3.71</v>
      </c>
      <c r="BJ294">
        <v>8.4</v>
      </c>
      <c r="BK294">
        <v>4.7</v>
      </c>
      <c r="BL294">
        <v>12.5</v>
      </c>
      <c r="BM294">
        <v>157.099999999999</v>
      </c>
      <c r="BN294">
        <v>8.8000000000000007</v>
      </c>
    </row>
    <row r="295" spans="1:66" x14ac:dyDescent="0.3">
      <c r="A295">
        <v>294</v>
      </c>
      <c r="B295" s="2" t="s">
        <v>430</v>
      </c>
      <c r="C295" s="2" t="s">
        <v>449</v>
      </c>
      <c r="D295">
        <v>69.967168262653203</v>
      </c>
      <c r="E295" s="3">
        <v>41467</v>
      </c>
      <c r="F295" s="1">
        <v>41450</v>
      </c>
      <c r="G295" s="1">
        <v>41162.298356481479</v>
      </c>
      <c r="H295" t="s">
        <v>451</v>
      </c>
      <c r="I295" t="s">
        <v>451</v>
      </c>
      <c r="J295" t="s">
        <v>451</v>
      </c>
      <c r="K295" t="s">
        <v>74</v>
      </c>
      <c r="L295">
        <v>60</v>
      </c>
      <c r="M295" t="s">
        <v>451</v>
      </c>
      <c r="N295" t="s">
        <v>451</v>
      </c>
      <c r="O295" t="s">
        <v>17</v>
      </c>
      <c r="P295" t="s">
        <v>75</v>
      </c>
      <c r="Q295" t="s">
        <v>18</v>
      </c>
      <c r="S295" t="s">
        <v>451</v>
      </c>
      <c r="T295" t="s">
        <v>18</v>
      </c>
      <c r="U295" t="s">
        <v>96</v>
      </c>
      <c r="V295" t="s">
        <v>451</v>
      </c>
      <c r="W295" t="s">
        <v>18</v>
      </c>
      <c r="X295" t="s">
        <v>15</v>
      </c>
      <c r="Y295">
        <v>4.9000000953674299</v>
      </c>
      <c r="Z295">
        <v>2.9000000953674299</v>
      </c>
      <c r="AA295">
        <v>1.1000000238418499</v>
      </c>
      <c r="AB295">
        <v>1</v>
      </c>
      <c r="AC295">
        <v>188.092025756835</v>
      </c>
      <c r="AD295">
        <v>96</v>
      </c>
      <c r="AE295">
        <v>1</v>
      </c>
      <c r="AF295">
        <v>35</v>
      </c>
      <c r="AG295">
        <v>116</v>
      </c>
      <c r="AH295">
        <v>6</v>
      </c>
      <c r="AI295">
        <v>7</v>
      </c>
      <c r="AJ295">
        <v>16.569999694824201</v>
      </c>
      <c r="AK295">
        <v>8</v>
      </c>
      <c r="AL295">
        <v>9</v>
      </c>
      <c r="AM295">
        <v>12.890000343322701</v>
      </c>
      <c r="AN295" t="s">
        <v>564</v>
      </c>
      <c r="AO295">
        <v>80.7</v>
      </c>
      <c r="AP295">
        <v>28.592687074829936</v>
      </c>
      <c r="AS295" s="1"/>
      <c r="AT295" s="1">
        <v>40321.567149571762</v>
      </c>
      <c r="AU295" s="1">
        <v>40961.507928935192</v>
      </c>
      <c r="AV295" s="1">
        <v>40321.557770173611</v>
      </c>
      <c r="AW295" s="1"/>
      <c r="AX295" s="1">
        <v>40080.892775578701</v>
      </c>
      <c r="BB295" s="2">
        <v>2</v>
      </c>
      <c r="BC295">
        <f>(140-D295)*AO295/(72*BI295)</f>
        <v>7.0462416731546558</v>
      </c>
      <c r="BD295">
        <v>142</v>
      </c>
      <c r="BE295">
        <v>4</v>
      </c>
      <c r="BF295">
        <v>3.1</v>
      </c>
      <c r="BG295">
        <v>9.8000000000000007</v>
      </c>
      <c r="BH295">
        <v>288</v>
      </c>
      <c r="BI295">
        <v>11.14</v>
      </c>
      <c r="BJ295">
        <v>8.3000000000000007</v>
      </c>
      <c r="BK295">
        <v>7.9</v>
      </c>
      <c r="BL295">
        <v>8.5</v>
      </c>
      <c r="BM295">
        <v>75.03</v>
      </c>
      <c r="BN295">
        <v>5.5999999999999899</v>
      </c>
    </row>
    <row r="296" spans="1:66" x14ac:dyDescent="0.3">
      <c r="A296">
        <v>295</v>
      </c>
      <c r="B296" s="2" t="s">
        <v>434</v>
      </c>
      <c r="C296" s="2" t="s">
        <v>448</v>
      </c>
      <c r="D296">
        <v>81.567715458275899</v>
      </c>
      <c r="E296" s="3">
        <v>45385.347916666673</v>
      </c>
      <c r="F296" s="1">
        <v>45376</v>
      </c>
      <c r="G296" s="1">
        <v>45070.411932870367</v>
      </c>
      <c r="H296" t="s">
        <v>15</v>
      </c>
      <c r="I296" t="s">
        <v>78</v>
      </c>
      <c r="J296" t="s">
        <v>15</v>
      </c>
      <c r="L296">
        <v>60</v>
      </c>
      <c r="M296" t="s">
        <v>79</v>
      </c>
      <c r="N296" t="s">
        <v>14</v>
      </c>
      <c r="O296" t="s">
        <v>25</v>
      </c>
      <c r="P296" t="s">
        <v>75</v>
      </c>
      <c r="Q296" t="s">
        <v>18</v>
      </c>
      <c r="S296" t="s">
        <v>92</v>
      </c>
      <c r="T296" t="s">
        <v>23</v>
      </c>
      <c r="U296" t="s">
        <v>509</v>
      </c>
      <c r="V296" t="s">
        <v>451</v>
      </c>
      <c r="W296" t="s">
        <v>34</v>
      </c>
      <c r="X296" t="s">
        <v>90</v>
      </c>
      <c r="Y296">
        <v>4.1999998092651296</v>
      </c>
      <c r="Z296">
        <v>2.9000000953674299</v>
      </c>
      <c r="AA296">
        <v>1.3999999761581401</v>
      </c>
      <c r="AB296">
        <v>1.1000000238418499</v>
      </c>
      <c r="AC296">
        <v>189.193603515625</v>
      </c>
      <c r="AD296">
        <v>97</v>
      </c>
      <c r="AE296">
        <v>1</v>
      </c>
      <c r="AF296">
        <v>63</v>
      </c>
      <c r="AG296">
        <v>186</v>
      </c>
      <c r="AI296">
        <v>5.0999999046325604</v>
      </c>
      <c r="AJ296">
        <v>36.470001220703097</v>
      </c>
      <c r="AL296">
        <v>8.1800003051757795</v>
      </c>
      <c r="AM296">
        <v>22.7399997711181</v>
      </c>
      <c r="AN296" t="s">
        <v>565</v>
      </c>
      <c r="AO296">
        <v>92.5</v>
      </c>
      <c r="AP296">
        <v>28.549382716049383</v>
      </c>
      <c r="AR296" s="1">
        <v>45035</v>
      </c>
      <c r="AS296" s="1">
        <v>41002.552636689812</v>
      </c>
      <c r="AT296" s="1">
        <v>41440.930008136573</v>
      </c>
      <c r="AU296" s="1">
        <v>41002.552636689812</v>
      </c>
      <c r="AV296" s="1">
        <v>41002.552636689812</v>
      </c>
      <c r="AW296" s="1"/>
      <c r="AX296" s="1"/>
      <c r="BB296" s="2">
        <v>1</v>
      </c>
      <c r="BC296">
        <f>(140-D296)*AO296/(72*BI296)</f>
        <v>37.162997250477723</v>
      </c>
      <c r="BD296">
        <v>138</v>
      </c>
      <c r="BE296">
        <v>3.6</v>
      </c>
      <c r="BF296">
        <v>2</v>
      </c>
      <c r="BG296">
        <v>10.3</v>
      </c>
      <c r="BH296">
        <v>235</v>
      </c>
      <c r="BI296">
        <v>2.02</v>
      </c>
      <c r="BJ296">
        <v>7.5999999999999899</v>
      </c>
      <c r="BK296">
        <v>4.4000000000000004</v>
      </c>
      <c r="BL296">
        <v>8.5</v>
      </c>
      <c r="BM296">
        <v>123.13</v>
      </c>
      <c r="BN296">
        <v>6</v>
      </c>
    </row>
    <row r="297" spans="1:66" x14ac:dyDescent="0.3">
      <c r="A297">
        <v>296</v>
      </c>
      <c r="B297" s="2" t="s">
        <v>430</v>
      </c>
      <c r="C297" s="2" t="s">
        <v>448</v>
      </c>
      <c r="D297">
        <v>85.712722298220996</v>
      </c>
      <c r="E297" s="3">
        <v>44806.543749999997</v>
      </c>
      <c r="F297" s="1">
        <v>44781</v>
      </c>
      <c r="G297" s="1">
        <v>44593.426296296297</v>
      </c>
      <c r="H297" t="s">
        <v>17</v>
      </c>
      <c r="I297" t="s">
        <v>15</v>
      </c>
      <c r="J297" t="s">
        <v>28</v>
      </c>
      <c r="L297">
        <v>35</v>
      </c>
      <c r="M297" t="s">
        <v>451</v>
      </c>
      <c r="N297" t="s">
        <v>451</v>
      </c>
      <c r="O297" t="s">
        <v>17</v>
      </c>
      <c r="P297" t="s">
        <v>112</v>
      </c>
      <c r="Q297" t="s">
        <v>19</v>
      </c>
      <c r="R297" t="s">
        <v>98</v>
      </c>
      <c r="S297" t="s">
        <v>451</v>
      </c>
      <c r="T297" t="s">
        <v>19</v>
      </c>
      <c r="V297" t="s">
        <v>451</v>
      </c>
      <c r="W297" t="s">
        <v>19</v>
      </c>
      <c r="X297" t="s">
        <v>15</v>
      </c>
      <c r="Y297">
        <v>6</v>
      </c>
      <c r="Z297">
        <v>5.5</v>
      </c>
      <c r="AA297">
        <v>1</v>
      </c>
      <c r="AB297">
        <v>0.80000001192092796</v>
      </c>
      <c r="AC297">
        <v>215.71527099609301</v>
      </c>
      <c r="AE297">
        <v>1.87999999523162</v>
      </c>
      <c r="AF297">
        <v>33</v>
      </c>
      <c r="AG297">
        <v>72.599998474120994</v>
      </c>
      <c r="AI297">
        <v>4.1999998092651296</v>
      </c>
      <c r="AJ297">
        <v>17.290000915527301</v>
      </c>
      <c r="AL297">
        <v>5.0999999046325604</v>
      </c>
      <c r="AM297">
        <v>14.2399997711181</v>
      </c>
      <c r="AN297" t="s">
        <v>566</v>
      </c>
      <c r="AS297" s="1">
        <v>44592.282164733799</v>
      </c>
      <c r="AT297" s="1">
        <v>44747.553654398151</v>
      </c>
      <c r="AU297" s="1">
        <v>44592.282164733799</v>
      </c>
      <c r="AV297" s="1">
        <v>44592.282164733799</v>
      </c>
      <c r="AW297" s="1"/>
      <c r="AX297" s="1"/>
      <c r="AZ297">
        <v>119</v>
      </c>
      <c r="BA297">
        <v>50</v>
      </c>
      <c r="BB297" s="2">
        <v>1</v>
      </c>
      <c r="BC297">
        <v>7.4</v>
      </c>
      <c r="BD297">
        <v>146</v>
      </c>
      <c r="BE297">
        <v>5</v>
      </c>
      <c r="BF297">
        <v>2.7999999999999901</v>
      </c>
      <c r="BG297">
        <v>8.3000000000000007</v>
      </c>
      <c r="BH297">
        <v>290</v>
      </c>
      <c r="BI297">
        <v>7.1399999999999899</v>
      </c>
      <c r="BJ297">
        <v>7.4</v>
      </c>
      <c r="BK297">
        <v>5.7999999999999901</v>
      </c>
      <c r="BL297">
        <v>11.6</v>
      </c>
      <c r="BM297">
        <v>102.09</v>
      </c>
    </row>
    <row r="298" spans="1:66" x14ac:dyDescent="0.3">
      <c r="A298">
        <v>297</v>
      </c>
      <c r="B298" s="2" t="s">
        <v>430</v>
      </c>
      <c r="C298" s="2" t="s">
        <v>448</v>
      </c>
      <c r="D298">
        <v>75.083447332421002</v>
      </c>
      <c r="E298" s="3">
        <v>43431.368055555547</v>
      </c>
      <c r="F298" s="1">
        <v>43430</v>
      </c>
      <c r="G298" s="1">
        <v>43186.464062500003</v>
      </c>
      <c r="H298" t="s">
        <v>15</v>
      </c>
      <c r="I298" t="s">
        <v>15</v>
      </c>
      <c r="J298" t="s">
        <v>30</v>
      </c>
      <c r="K298" t="s">
        <v>157</v>
      </c>
      <c r="L298">
        <v>30</v>
      </c>
      <c r="M298" t="s">
        <v>451</v>
      </c>
      <c r="N298" t="s">
        <v>451</v>
      </c>
      <c r="O298" t="s">
        <v>17</v>
      </c>
      <c r="P298" t="s">
        <v>75</v>
      </c>
      <c r="Q298" t="s">
        <v>451</v>
      </c>
      <c r="S298" t="s">
        <v>451</v>
      </c>
      <c r="T298" t="s">
        <v>19</v>
      </c>
      <c r="U298" t="s">
        <v>510</v>
      </c>
      <c r="V298" t="s">
        <v>451</v>
      </c>
      <c r="W298" t="s">
        <v>29</v>
      </c>
      <c r="X298" t="s">
        <v>87</v>
      </c>
      <c r="Y298">
        <v>5.5399999618530202</v>
      </c>
      <c r="Z298">
        <v>3.7300000190734801</v>
      </c>
      <c r="AA298">
        <v>1.1499999761581401</v>
      </c>
      <c r="AB298">
        <v>1.12999999523162</v>
      </c>
      <c r="AC298">
        <v>257.00601196289</v>
      </c>
      <c r="AD298">
        <v>128</v>
      </c>
      <c r="AE298">
        <v>2.1199998855590798</v>
      </c>
      <c r="AF298">
        <v>54</v>
      </c>
      <c r="AG298">
        <v>83.400001525878906</v>
      </c>
      <c r="AH298">
        <v>4.4800000190734801</v>
      </c>
      <c r="AI298">
        <v>3.7999999523162802</v>
      </c>
      <c r="AJ298">
        <v>21.9500007629394</v>
      </c>
      <c r="AK298">
        <v>8.0900001525878906</v>
      </c>
      <c r="AL298">
        <v>7.21000003814697</v>
      </c>
      <c r="AM298">
        <v>11.569999694824199</v>
      </c>
      <c r="AN298" t="s">
        <v>567</v>
      </c>
      <c r="AS298" s="1">
        <v>43046.590537037038</v>
      </c>
      <c r="AT298" s="1"/>
      <c r="AU298" s="1">
        <v>40626.712403854173</v>
      </c>
      <c r="AV298" s="1">
        <v>40626.712403854173</v>
      </c>
      <c r="AW298" s="1"/>
      <c r="AX298" s="1"/>
      <c r="BB298" s="5">
        <v>0</v>
      </c>
      <c r="BC298">
        <v>8.9</v>
      </c>
      <c r="BD298">
        <v>134</v>
      </c>
      <c r="BE298">
        <v>5.5</v>
      </c>
      <c r="BF298">
        <v>3.5</v>
      </c>
      <c r="BG298">
        <v>7.9</v>
      </c>
      <c r="BI298">
        <v>6.46999999999999</v>
      </c>
      <c r="BJ298">
        <v>8.4</v>
      </c>
      <c r="BK298">
        <v>10.4</v>
      </c>
      <c r="BL298">
        <v>13.1999999999999</v>
      </c>
      <c r="BM298">
        <v>126.05</v>
      </c>
      <c r="BN298">
        <v>8.1999999999999904</v>
      </c>
    </row>
    <row r="299" spans="1:66" x14ac:dyDescent="0.3">
      <c r="A299">
        <v>298</v>
      </c>
      <c r="B299" s="2" t="s">
        <v>430</v>
      </c>
      <c r="C299" s="2" t="s">
        <v>448</v>
      </c>
      <c r="D299">
        <v>88.589698282412897</v>
      </c>
      <c r="E299" s="3">
        <v>41159</v>
      </c>
      <c r="F299" s="1">
        <v>41146.534722222219</v>
      </c>
      <c r="G299" s="1">
        <v>40924.482187499998</v>
      </c>
      <c r="H299" t="s">
        <v>17</v>
      </c>
      <c r="I299" t="s">
        <v>78</v>
      </c>
      <c r="J299" t="s">
        <v>30</v>
      </c>
      <c r="L299">
        <v>30</v>
      </c>
      <c r="M299" t="s">
        <v>15</v>
      </c>
      <c r="N299" t="s">
        <v>15</v>
      </c>
      <c r="O299" t="s">
        <v>17</v>
      </c>
      <c r="P299" t="s">
        <v>75</v>
      </c>
      <c r="Q299" t="s">
        <v>19</v>
      </c>
      <c r="S299" t="s">
        <v>451</v>
      </c>
      <c r="T299" t="s">
        <v>23</v>
      </c>
      <c r="U299" t="s">
        <v>96</v>
      </c>
      <c r="V299" t="s">
        <v>451</v>
      </c>
      <c r="W299" t="s">
        <v>29</v>
      </c>
      <c r="X299" t="s">
        <v>78</v>
      </c>
      <c r="Y299">
        <v>5.8000001907348597</v>
      </c>
      <c r="Z299">
        <v>5.4000000953674299</v>
      </c>
      <c r="AA299">
        <v>1.3999999761581401</v>
      </c>
      <c r="AB299">
        <v>1.20000004768371</v>
      </c>
      <c r="AC299">
        <v>331.39654541015602</v>
      </c>
      <c r="AD299">
        <v>176</v>
      </c>
      <c r="AE299">
        <v>1.87999999523162</v>
      </c>
      <c r="AF299">
        <v>41</v>
      </c>
      <c r="AG299">
        <v>44</v>
      </c>
      <c r="AH299">
        <v>4.3000001907348597</v>
      </c>
      <c r="AI299">
        <v>4.3000001907348597</v>
      </c>
      <c r="AJ299">
        <v>10.2299995422363</v>
      </c>
      <c r="AK299">
        <v>5.6999998092651296</v>
      </c>
      <c r="AL299">
        <v>7.6999998092651296</v>
      </c>
      <c r="AM299">
        <v>5.71000003814697</v>
      </c>
      <c r="AN299" t="s">
        <v>568</v>
      </c>
      <c r="AQ299" s="1">
        <v>36161</v>
      </c>
      <c r="AS299" s="1">
        <v>39540.60413684028</v>
      </c>
      <c r="AT299" s="1"/>
      <c r="AU299" s="1">
        <v>39773.081237650462</v>
      </c>
      <c r="AV299" s="1"/>
      <c r="AW299" s="1"/>
      <c r="AX299" s="1"/>
      <c r="AY299" t="s">
        <v>21</v>
      </c>
      <c r="AZ299">
        <v>108</v>
      </c>
      <c r="BA299">
        <v>56</v>
      </c>
      <c r="BB299" s="5">
        <v>0</v>
      </c>
      <c r="BC299">
        <v>8.1999999999999993</v>
      </c>
      <c r="BD299">
        <v>140</v>
      </c>
      <c r="BE299">
        <v>4.9000000000000004</v>
      </c>
      <c r="BF299">
        <v>2.2000000000000002</v>
      </c>
      <c r="BG299">
        <v>8</v>
      </c>
      <c r="BH299">
        <v>294</v>
      </c>
      <c r="BI299">
        <v>6.45</v>
      </c>
      <c r="BJ299">
        <v>7.4</v>
      </c>
      <c r="BK299">
        <v>8.0999999999999908</v>
      </c>
      <c r="BL299">
        <v>10.1</v>
      </c>
      <c r="BM299">
        <v>275.07999999999902</v>
      </c>
    </row>
    <row r="300" spans="1:66" x14ac:dyDescent="0.3">
      <c r="A300">
        <v>299</v>
      </c>
      <c r="B300" s="2" t="s">
        <v>434</v>
      </c>
      <c r="C300" s="2" t="s">
        <v>448</v>
      </c>
      <c r="D300">
        <v>82.065663474692002</v>
      </c>
      <c r="E300" s="3"/>
      <c r="F300" s="1">
        <v>44972</v>
      </c>
      <c r="G300" s="1">
        <v>44971.537731481483</v>
      </c>
      <c r="H300" t="s">
        <v>15</v>
      </c>
      <c r="I300" t="s">
        <v>451</v>
      </c>
      <c r="J300" t="s">
        <v>15</v>
      </c>
      <c r="K300" t="s">
        <v>161</v>
      </c>
      <c r="L300">
        <v>65</v>
      </c>
      <c r="M300" t="s">
        <v>15</v>
      </c>
      <c r="N300" t="s">
        <v>15</v>
      </c>
      <c r="O300" t="s">
        <v>25</v>
      </c>
      <c r="P300" t="s">
        <v>451</v>
      </c>
      <c r="Q300" t="s">
        <v>451</v>
      </c>
      <c r="S300" t="s">
        <v>451</v>
      </c>
      <c r="T300" t="s">
        <v>29</v>
      </c>
      <c r="U300" t="s">
        <v>132</v>
      </c>
      <c r="V300" t="s">
        <v>451</v>
      </c>
      <c r="W300" t="s">
        <v>23</v>
      </c>
      <c r="X300" t="s">
        <v>78</v>
      </c>
      <c r="Y300">
        <v>4.8600001335143999</v>
      </c>
      <c r="Z300">
        <v>2.5099999904632502</v>
      </c>
      <c r="AA300">
        <v>1.2799999713897701</v>
      </c>
      <c r="AB300">
        <v>1.29999995231628</v>
      </c>
      <c r="AC300">
        <v>247.736892700195</v>
      </c>
      <c r="AD300">
        <v>119</v>
      </c>
      <c r="AE300">
        <v>1</v>
      </c>
      <c r="AF300">
        <v>46</v>
      </c>
      <c r="AG300">
        <v>124</v>
      </c>
      <c r="AI300">
        <v>5.8000001907348597</v>
      </c>
      <c r="AJ300">
        <v>21.379999160766602</v>
      </c>
      <c r="AK300">
        <v>6.38000011444091</v>
      </c>
      <c r="AL300">
        <v>7.6399998664855904</v>
      </c>
      <c r="AM300">
        <v>16.2299995422363</v>
      </c>
      <c r="AN300" t="s">
        <v>569</v>
      </c>
      <c r="AS300" s="1"/>
      <c r="AT300" s="1"/>
      <c r="AU300" s="1"/>
      <c r="AV300" s="1"/>
      <c r="AW300" s="1"/>
      <c r="AX300" s="1"/>
      <c r="AZ300">
        <v>113</v>
      </c>
      <c r="BA300">
        <v>50</v>
      </c>
      <c r="BB300" s="2">
        <v>2</v>
      </c>
      <c r="BC300">
        <v>13.3</v>
      </c>
      <c r="BD300">
        <v>134</v>
      </c>
      <c r="BE300">
        <v>4.7</v>
      </c>
      <c r="BF300">
        <v>3.1</v>
      </c>
      <c r="BG300">
        <v>8.6999999999999904</v>
      </c>
      <c r="BH300">
        <v>220</v>
      </c>
      <c r="BI300">
        <v>4.29</v>
      </c>
      <c r="BJ300">
        <v>8.5</v>
      </c>
      <c r="BK300">
        <v>7.7</v>
      </c>
      <c r="BL300">
        <v>10.1</v>
      </c>
      <c r="BM300">
        <v>21.55</v>
      </c>
      <c r="BN300">
        <v>5.5</v>
      </c>
    </row>
    <row r="301" spans="1:66" x14ac:dyDescent="0.3">
      <c r="A301">
        <v>300</v>
      </c>
      <c r="B301" s="2" t="s">
        <v>430</v>
      </c>
      <c r="C301" s="2" t="s">
        <v>448</v>
      </c>
      <c r="D301">
        <v>86.560875512994897</v>
      </c>
      <c r="E301" s="3"/>
      <c r="F301" s="1">
        <v>45519</v>
      </c>
      <c r="G301" s="1">
        <v>45503.373541666668</v>
      </c>
      <c r="H301" t="s">
        <v>15</v>
      </c>
      <c r="I301" t="s">
        <v>451</v>
      </c>
      <c r="J301" t="s">
        <v>28</v>
      </c>
      <c r="K301" t="s">
        <v>459</v>
      </c>
      <c r="L301">
        <v>35</v>
      </c>
      <c r="M301" t="s">
        <v>15</v>
      </c>
      <c r="N301" t="s">
        <v>14</v>
      </c>
      <c r="O301" t="s">
        <v>25</v>
      </c>
      <c r="P301" t="s">
        <v>124</v>
      </c>
      <c r="Q301" t="s">
        <v>18</v>
      </c>
      <c r="R301" t="s">
        <v>488</v>
      </c>
      <c r="S301" t="s">
        <v>451</v>
      </c>
      <c r="T301" t="s">
        <v>451</v>
      </c>
      <c r="U301" t="s">
        <v>509</v>
      </c>
      <c r="V301" t="s">
        <v>451</v>
      </c>
      <c r="W301" t="s">
        <v>451</v>
      </c>
      <c r="X301" t="s">
        <v>87</v>
      </c>
      <c r="Y301">
        <v>5.4000000953674299</v>
      </c>
      <c r="Z301">
        <v>4.5999999046325604</v>
      </c>
      <c r="AA301">
        <v>1.29999995231628</v>
      </c>
      <c r="AB301">
        <v>0.89999997615814198</v>
      </c>
      <c r="AC301">
        <v>234.81797790527301</v>
      </c>
      <c r="AD301">
        <v>134</v>
      </c>
      <c r="AE301">
        <v>2</v>
      </c>
      <c r="AF301">
        <v>58</v>
      </c>
      <c r="AG301">
        <v>144</v>
      </c>
      <c r="AI301">
        <v>2.2799999713897701</v>
      </c>
      <c r="AJ301">
        <v>63.159999847412102</v>
      </c>
      <c r="AK301">
        <v>6.6399998664855904</v>
      </c>
      <c r="AL301">
        <v>4.5700001716613698</v>
      </c>
      <c r="AM301">
        <v>31.5100002288818</v>
      </c>
      <c r="AN301" t="s">
        <v>570</v>
      </c>
      <c r="AO301">
        <v>58.799999999999898</v>
      </c>
      <c r="AP301">
        <v>22.968749999999961</v>
      </c>
      <c r="AR301" s="1">
        <v>35431</v>
      </c>
      <c r="AS301" s="1">
        <v>40926.119063506943</v>
      </c>
      <c r="AT301" s="1"/>
      <c r="AU301" s="1">
        <v>40926.119063506943</v>
      </c>
      <c r="AV301" s="1">
        <v>40926.119063506943</v>
      </c>
      <c r="AW301" s="1">
        <v>40926.119063506943</v>
      </c>
      <c r="AX301" s="1"/>
      <c r="AZ301">
        <v>161</v>
      </c>
      <c r="BA301">
        <v>56</v>
      </c>
      <c r="BB301" s="2">
        <v>2</v>
      </c>
      <c r="BC301">
        <f>(140-D301)*AO301/(72*BI301)</f>
        <v>5.5383187391354669</v>
      </c>
      <c r="BD301">
        <v>131</v>
      </c>
      <c r="BE301">
        <v>4.5999999999999899</v>
      </c>
      <c r="BF301">
        <v>3.1</v>
      </c>
      <c r="BG301">
        <v>11</v>
      </c>
      <c r="BH301">
        <v>236</v>
      </c>
      <c r="BI301">
        <v>7.8799999999999901</v>
      </c>
      <c r="BJ301">
        <v>7.9</v>
      </c>
      <c r="BK301">
        <v>9</v>
      </c>
      <c r="BL301">
        <v>14.3</v>
      </c>
      <c r="BM301">
        <v>9.74</v>
      </c>
      <c r="BN301">
        <v>7.7999999999999901</v>
      </c>
    </row>
    <row r="302" spans="1:66" x14ac:dyDescent="0.3">
      <c r="A302">
        <v>301</v>
      </c>
      <c r="B302" s="2" t="s">
        <v>430</v>
      </c>
      <c r="C302" s="2" t="s">
        <v>448</v>
      </c>
      <c r="D302">
        <v>79.149110807113104</v>
      </c>
      <c r="E302" s="3">
        <v>44861</v>
      </c>
      <c r="F302" s="1">
        <v>44825</v>
      </c>
      <c r="G302" s="1">
        <v>44546.518865740742</v>
      </c>
      <c r="H302" t="s">
        <v>15</v>
      </c>
      <c r="I302" t="s">
        <v>15</v>
      </c>
      <c r="J302" t="s">
        <v>453</v>
      </c>
      <c r="L302">
        <v>50</v>
      </c>
      <c r="M302" t="s">
        <v>451</v>
      </c>
      <c r="N302" t="s">
        <v>451</v>
      </c>
      <c r="O302" t="s">
        <v>15</v>
      </c>
      <c r="P302" t="s">
        <v>75</v>
      </c>
      <c r="S302" t="s">
        <v>451</v>
      </c>
      <c r="T302" t="s">
        <v>19</v>
      </c>
      <c r="V302" t="s">
        <v>451</v>
      </c>
      <c r="W302" t="s">
        <v>19</v>
      </c>
      <c r="X302" t="s">
        <v>15</v>
      </c>
      <c r="Y302">
        <v>5</v>
      </c>
      <c r="Z302">
        <v>3.5999999046325599</v>
      </c>
      <c r="AA302">
        <v>1.1000000238418499</v>
      </c>
      <c r="AB302">
        <v>0.89999997615814198</v>
      </c>
      <c r="AC302">
        <v>181.97599792480401</v>
      </c>
      <c r="AD302">
        <v>102</v>
      </c>
      <c r="AE302">
        <v>1</v>
      </c>
      <c r="AF302">
        <v>34</v>
      </c>
      <c r="AG302">
        <v>96.5</v>
      </c>
      <c r="AI302">
        <v>16</v>
      </c>
      <c r="AJ302">
        <v>6.0300002098083398</v>
      </c>
      <c r="AK302">
        <v>9</v>
      </c>
      <c r="AL302">
        <v>14</v>
      </c>
      <c r="AM302">
        <v>6.8899998664855904</v>
      </c>
      <c r="AN302" t="s">
        <v>571</v>
      </c>
      <c r="AQ302" s="1">
        <v>44809</v>
      </c>
      <c r="AS302" s="1">
        <v>44407.857008449071</v>
      </c>
      <c r="AT302" s="1"/>
      <c r="AU302" s="1">
        <v>43304.554862303237</v>
      </c>
      <c r="AV302" s="1">
        <v>43304.554854780094</v>
      </c>
      <c r="AW302" s="1">
        <v>43304.554854780094</v>
      </c>
      <c r="AX302" s="1"/>
      <c r="BB302" s="5">
        <v>0</v>
      </c>
      <c r="BC302">
        <v>9.5</v>
      </c>
      <c r="BD302">
        <v>134</v>
      </c>
      <c r="BE302">
        <v>4</v>
      </c>
      <c r="BF302">
        <v>3.2</v>
      </c>
      <c r="BG302">
        <v>13.9</v>
      </c>
      <c r="BH302">
        <v>279</v>
      </c>
      <c r="BI302">
        <v>5.7999999999999901</v>
      </c>
      <c r="BJ302">
        <v>8.4</v>
      </c>
      <c r="BK302">
        <v>6.4</v>
      </c>
      <c r="BL302">
        <v>13.6999999999999</v>
      </c>
      <c r="BM302">
        <v>40.219999999999899</v>
      </c>
      <c r="BN302">
        <v>7</v>
      </c>
    </row>
    <row r="303" spans="1:66" x14ac:dyDescent="0.3">
      <c r="A303">
        <v>302</v>
      </c>
      <c r="B303" s="2" t="s">
        <v>430</v>
      </c>
      <c r="C303" s="2" t="s">
        <v>449</v>
      </c>
      <c r="D303">
        <v>68.774281805745005</v>
      </c>
      <c r="E303" s="3"/>
      <c r="F303" s="1">
        <v>41992</v>
      </c>
      <c r="G303" s="1">
        <v>41977.370891203696</v>
      </c>
      <c r="H303" t="s">
        <v>15</v>
      </c>
      <c r="I303" t="s">
        <v>133</v>
      </c>
      <c r="J303" t="s">
        <v>15</v>
      </c>
      <c r="K303" t="s">
        <v>268</v>
      </c>
      <c r="L303">
        <v>60</v>
      </c>
      <c r="M303" t="s">
        <v>15</v>
      </c>
      <c r="N303" t="s">
        <v>15</v>
      </c>
      <c r="O303" t="s">
        <v>17</v>
      </c>
      <c r="P303" t="s">
        <v>75</v>
      </c>
      <c r="Q303" t="s">
        <v>19</v>
      </c>
      <c r="S303" t="s">
        <v>92</v>
      </c>
      <c r="T303" t="s">
        <v>29</v>
      </c>
      <c r="V303" t="s">
        <v>451</v>
      </c>
      <c r="W303" t="s">
        <v>23</v>
      </c>
      <c r="X303" t="s">
        <v>87</v>
      </c>
      <c r="Y303">
        <v>4.5999999046325604</v>
      </c>
      <c r="Z303">
        <v>2.9900000095367401</v>
      </c>
      <c r="AA303">
        <v>1.0199999809265099</v>
      </c>
      <c r="AB303">
        <v>0.88999998569488503</v>
      </c>
      <c r="AC303">
        <v>149.16062927246</v>
      </c>
      <c r="AD303">
        <v>83</v>
      </c>
      <c r="AE303">
        <v>1</v>
      </c>
      <c r="AF303">
        <v>52</v>
      </c>
      <c r="AG303">
        <v>135</v>
      </c>
      <c r="AH303">
        <v>5.0700001716613698</v>
      </c>
      <c r="AI303">
        <v>5.8499999046325604</v>
      </c>
      <c r="AJ303">
        <v>23.079999923706001</v>
      </c>
      <c r="AK303">
        <v>4.2899999618530202</v>
      </c>
      <c r="AL303">
        <v>7.3299999237060502</v>
      </c>
      <c r="AM303">
        <v>18.420000076293899</v>
      </c>
      <c r="AN303" t="s">
        <v>572</v>
      </c>
      <c r="AO303">
        <v>70.5</v>
      </c>
      <c r="AP303">
        <v>24.978741496598641</v>
      </c>
      <c r="AS303" s="1"/>
      <c r="AT303" s="1"/>
      <c r="AU303" s="1">
        <v>41725.676625462962</v>
      </c>
      <c r="AV303" s="1"/>
      <c r="AW303" s="1">
        <v>41725.676625462962</v>
      </c>
      <c r="AX303" s="1"/>
      <c r="AZ303">
        <v>116</v>
      </c>
      <c r="BA303">
        <v>72</v>
      </c>
      <c r="BB303" s="2">
        <v>3</v>
      </c>
      <c r="BC303">
        <f>(140-D303)*AO303/(72*BI303)</f>
        <v>10.566946828061837</v>
      </c>
      <c r="BD303">
        <v>140</v>
      </c>
      <c r="BE303">
        <v>4.5999999999999899</v>
      </c>
      <c r="BF303">
        <v>3.3999999999999901</v>
      </c>
      <c r="BG303">
        <v>13</v>
      </c>
      <c r="BH303">
        <v>220</v>
      </c>
      <c r="BI303">
        <v>6.5999999999999899</v>
      </c>
      <c r="BJ303">
        <v>5.7</v>
      </c>
      <c r="BK303">
        <v>8.3000000000000007</v>
      </c>
      <c r="BL303">
        <v>8.5</v>
      </c>
      <c r="BM303">
        <v>11.48</v>
      </c>
      <c r="BN303">
        <v>6.9</v>
      </c>
    </row>
    <row r="304" spans="1:66" x14ac:dyDescent="0.3">
      <c r="A304">
        <v>303</v>
      </c>
      <c r="B304" s="2" t="s">
        <v>430</v>
      </c>
      <c r="C304" s="2" t="s">
        <v>448</v>
      </c>
      <c r="D304">
        <v>80.721091731266</v>
      </c>
      <c r="E304" s="3">
        <v>44507.743055555547</v>
      </c>
      <c r="F304" s="1">
        <v>44480.559027777781</v>
      </c>
      <c r="G304" s="1">
        <v>44462.495659722219</v>
      </c>
      <c r="H304" t="s">
        <v>17</v>
      </c>
      <c r="I304" t="s">
        <v>451</v>
      </c>
      <c r="J304" t="s">
        <v>28</v>
      </c>
      <c r="L304">
        <v>35</v>
      </c>
      <c r="M304" t="s">
        <v>15</v>
      </c>
      <c r="N304" t="s">
        <v>15</v>
      </c>
      <c r="O304" t="s">
        <v>15</v>
      </c>
      <c r="P304" t="s">
        <v>451</v>
      </c>
      <c r="Q304" t="s">
        <v>19</v>
      </c>
      <c r="S304" t="s">
        <v>451</v>
      </c>
      <c r="T304" t="s">
        <v>19</v>
      </c>
      <c r="V304" t="s">
        <v>451</v>
      </c>
      <c r="W304" t="s">
        <v>19</v>
      </c>
      <c r="X304" t="s">
        <v>78</v>
      </c>
      <c r="Y304">
        <v>5.8899998664855904</v>
      </c>
      <c r="Z304">
        <v>4.0599999427795401</v>
      </c>
      <c r="AA304">
        <v>1.0199999809265099</v>
      </c>
      <c r="AB304">
        <v>0.95999997854232699</v>
      </c>
      <c r="AC304">
        <v>236.14497375488199</v>
      </c>
      <c r="AD304">
        <v>150</v>
      </c>
      <c r="AE304">
        <v>2</v>
      </c>
      <c r="AF304">
        <v>39</v>
      </c>
      <c r="AG304">
        <v>104</v>
      </c>
      <c r="AN304" t="s">
        <v>573</v>
      </c>
      <c r="AO304">
        <v>60</v>
      </c>
      <c r="AP304">
        <v>24.034609838166961</v>
      </c>
      <c r="AR304" s="1">
        <v>42697</v>
      </c>
      <c r="AS304" s="1">
        <v>42697.153899305558</v>
      </c>
      <c r="AT304" s="1"/>
      <c r="AU304" s="1"/>
      <c r="AV304" s="1"/>
      <c r="AW304" s="1"/>
      <c r="AX304" s="1"/>
      <c r="AY304" t="s">
        <v>21</v>
      </c>
      <c r="AZ304">
        <v>123</v>
      </c>
      <c r="BA304">
        <v>75</v>
      </c>
      <c r="BB304" s="2">
        <v>1</v>
      </c>
      <c r="BC304">
        <f>(140-D304)*AO304/(72*BI304)</f>
        <v>4.5782289364175588</v>
      </c>
      <c r="BD304">
        <v>131</v>
      </c>
      <c r="BE304">
        <v>4.7999999999999901</v>
      </c>
      <c r="BF304">
        <v>3.2</v>
      </c>
      <c r="BG304">
        <v>7.7999999999999901</v>
      </c>
      <c r="BH304">
        <v>236</v>
      </c>
      <c r="BI304">
        <v>10.7899999999999</v>
      </c>
      <c r="BJ304">
        <v>7.7</v>
      </c>
      <c r="BK304">
        <v>10.9</v>
      </c>
      <c r="BL304">
        <v>9.1999999999999904</v>
      </c>
      <c r="BM304">
        <v>11.3599999999999</v>
      </c>
      <c r="BN304">
        <v>4.5999999999999899</v>
      </c>
    </row>
    <row r="305" spans="1:66" x14ac:dyDescent="0.3">
      <c r="A305">
        <v>304</v>
      </c>
      <c r="B305" s="2" t="s">
        <v>430</v>
      </c>
      <c r="C305" s="2" t="s">
        <v>449</v>
      </c>
      <c r="D305">
        <v>75.910056619547007</v>
      </c>
      <c r="E305" s="3">
        <v>41575</v>
      </c>
      <c r="F305" s="1">
        <v>41261.125694444447</v>
      </c>
      <c r="G305" s="1">
        <v>41262.422048611108</v>
      </c>
      <c r="H305" t="s">
        <v>15</v>
      </c>
      <c r="I305" t="s">
        <v>451</v>
      </c>
      <c r="J305" t="s">
        <v>451</v>
      </c>
      <c r="L305">
        <v>60</v>
      </c>
      <c r="M305" t="s">
        <v>451</v>
      </c>
      <c r="N305" t="s">
        <v>451</v>
      </c>
      <c r="O305" t="s">
        <v>15</v>
      </c>
      <c r="P305" t="s">
        <v>75</v>
      </c>
      <c r="Q305" t="s">
        <v>451</v>
      </c>
      <c r="S305" t="s">
        <v>451</v>
      </c>
      <c r="T305" t="s">
        <v>23</v>
      </c>
      <c r="V305" t="s">
        <v>451</v>
      </c>
      <c r="W305" t="s">
        <v>19</v>
      </c>
      <c r="X305" t="s">
        <v>78</v>
      </c>
      <c r="Y305">
        <v>4.0100002288818297</v>
      </c>
      <c r="Z305">
        <v>2.7300000190734801</v>
      </c>
      <c r="AA305">
        <v>1.2699999809265099</v>
      </c>
      <c r="AB305">
        <v>0.99000000953674305</v>
      </c>
      <c r="AC305">
        <v>152.03288269042901</v>
      </c>
      <c r="AD305">
        <v>94</v>
      </c>
      <c r="AE305">
        <v>1.12000000476837</v>
      </c>
      <c r="AF305">
        <v>39</v>
      </c>
      <c r="AG305">
        <v>122</v>
      </c>
      <c r="AH305">
        <v>3</v>
      </c>
      <c r="AI305">
        <v>7</v>
      </c>
      <c r="AJ305">
        <v>17.4300003051757</v>
      </c>
      <c r="AK305">
        <v>7</v>
      </c>
      <c r="AL305">
        <v>7</v>
      </c>
      <c r="AM305">
        <v>17.4300003051757</v>
      </c>
      <c r="AN305" t="s">
        <v>574</v>
      </c>
      <c r="AO305">
        <v>47</v>
      </c>
      <c r="AP305">
        <v>20.888888888888889</v>
      </c>
      <c r="AS305" s="1">
        <v>39895.741526273137</v>
      </c>
      <c r="AT305" s="1"/>
      <c r="AU305" s="1">
        <v>39895.743525578713</v>
      </c>
      <c r="AV305" s="1">
        <v>39895.743637500003</v>
      </c>
      <c r="AW305" s="1"/>
      <c r="AX305" s="1"/>
      <c r="AZ305">
        <v>170</v>
      </c>
      <c r="BA305">
        <v>70</v>
      </c>
      <c r="BB305" s="2">
        <v>5</v>
      </c>
      <c r="BC305">
        <f>(140-D305)*AO305/(72*BI305)</f>
        <v>4.9452116805905071</v>
      </c>
      <c r="BD305">
        <v>135</v>
      </c>
      <c r="BE305">
        <v>4.7999999999999901</v>
      </c>
      <c r="BF305">
        <v>3</v>
      </c>
      <c r="BG305">
        <v>9.0999999999999908</v>
      </c>
      <c r="BH305">
        <v>211</v>
      </c>
      <c r="BI305">
        <v>8.4600000000000009</v>
      </c>
      <c r="BJ305">
        <v>6.7999999999999901</v>
      </c>
      <c r="BK305">
        <v>11.5</v>
      </c>
      <c r="BL305">
        <v>4.7</v>
      </c>
      <c r="BM305">
        <v>115.16</v>
      </c>
      <c r="BN305">
        <v>7.2999999999999901</v>
      </c>
    </row>
    <row r="306" spans="1:66" x14ac:dyDescent="0.3">
      <c r="A306">
        <v>305</v>
      </c>
      <c r="B306" s="2" t="s">
        <v>430</v>
      </c>
      <c r="C306" s="2" t="s">
        <v>448</v>
      </c>
      <c r="D306">
        <v>76.588235294116899</v>
      </c>
      <c r="E306" s="3">
        <v>43419.113194444442</v>
      </c>
      <c r="F306" s="1">
        <v>43415</v>
      </c>
      <c r="G306" s="1">
        <v>43245.419270833343</v>
      </c>
      <c r="H306" t="s">
        <v>17</v>
      </c>
      <c r="I306" t="s">
        <v>451</v>
      </c>
      <c r="J306" t="s">
        <v>35</v>
      </c>
      <c r="L306">
        <v>25</v>
      </c>
      <c r="M306" t="s">
        <v>79</v>
      </c>
      <c r="N306" t="s">
        <v>15</v>
      </c>
      <c r="O306" t="s">
        <v>25</v>
      </c>
      <c r="P306" t="s">
        <v>75</v>
      </c>
      <c r="Q306" t="s">
        <v>451</v>
      </c>
      <c r="R306" t="s">
        <v>76</v>
      </c>
      <c r="S306" t="s">
        <v>75</v>
      </c>
      <c r="T306" t="s">
        <v>23</v>
      </c>
      <c r="V306" t="s">
        <v>451</v>
      </c>
      <c r="W306" t="s">
        <v>29</v>
      </c>
      <c r="X306" t="s">
        <v>90</v>
      </c>
      <c r="Y306">
        <v>5.9499998092651296</v>
      </c>
      <c r="Z306">
        <v>4.9699997901916504</v>
      </c>
      <c r="AA306">
        <v>1.12000000476837</v>
      </c>
      <c r="AB306">
        <v>0.74000000953674305</v>
      </c>
      <c r="AC306">
        <v>221.69123840332</v>
      </c>
      <c r="AD306">
        <v>107</v>
      </c>
      <c r="AE306">
        <v>2.38000011444091</v>
      </c>
      <c r="AF306">
        <v>60</v>
      </c>
      <c r="AG306">
        <v>139</v>
      </c>
      <c r="AH306">
        <v>3.1400001049041699</v>
      </c>
      <c r="AI306">
        <v>4.9499998092651296</v>
      </c>
      <c r="AJ306">
        <v>28.079999923706001</v>
      </c>
      <c r="AK306">
        <v>4.0100002288818297</v>
      </c>
      <c r="AL306">
        <v>6.75</v>
      </c>
      <c r="AM306">
        <v>20.590000152587798</v>
      </c>
      <c r="AN306" t="s">
        <v>575</v>
      </c>
      <c r="AQ306" s="1">
        <v>40686</v>
      </c>
      <c r="AR306" s="1">
        <v>34649</v>
      </c>
      <c r="AS306" s="1">
        <v>40372.449750497683</v>
      </c>
      <c r="AT306" s="1">
        <v>40372.449750497683</v>
      </c>
      <c r="AU306" s="1">
        <v>40372.449750497683</v>
      </c>
      <c r="AV306" s="1"/>
      <c r="AW306" s="1">
        <v>40372.416132673607</v>
      </c>
      <c r="AX306" s="1"/>
      <c r="AY306" t="s">
        <v>21</v>
      </c>
      <c r="BB306" s="5">
        <v>0</v>
      </c>
      <c r="BC306">
        <v>11.2</v>
      </c>
      <c r="BD306">
        <v>124</v>
      </c>
      <c r="BE306">
        <v>6.7</v>
      </c>
      <c r="BF306">
        <v>3.6</v>
      </c>
      <c r="BG306">
        <v>9.4</v>
      </c>
      <c r="BH306">
        <v>239</v>
      </c>
      <c r="BI306">
        <v>5.33</v>
      </c>
      <c r="BJ306">
        <v>9.1999999999999904</v>
      </c>
      <c r="BK306">
        <v>8.0999999999999908</v>
      </c>
      <c r="BL306">
        <v>11.1999999999999</v>
      </c>
      <c r="BM306">
        <v>100.92</v>
      </c>
      <c r="BN306">
        <v>4.7999999999999901</v>
      </c>
    </row>
    <row r="307" spans="1:66" x14ac:dyDescent="0.3">
      <c r="A307">
        <v>306</v>
      </c>
      <c r="B307" s="2" t="s">
        <v>430</v>
      </c>
      <c r="C307" s="2" t="s">
        <v>448</v>
      </c>
      <c r="D307">
        <v>69.997264021887005</v>
      </c>
      <c r="E307" s="3">
        <v>45210.093055555553</v>
      </c>
      <c r="F307" s="1">
        <v>42069</v>
      </c>
      <c r="G307" s="1">
        <v>42065.492569444446</v>
      </c>
      <c r="H307" t="s">
        <v>31</v>
      </c>
      <c r="I307" t="s">
        <v>451</v>
      </c>
      <c r="J307" t="s">
        <v>35</v>
      </c>
      <c r="L307">
        <v>25</v>
      </c>
      <c r="M307" t="s">
        <v>451</v>
      </c>
      <c r="N307" t="s">
        <v>451</v>
      </c>
      <c r="O307" t="s">
        <v>25</v>
      </c>
      <c r="P307" t="s">
        <v>15</v>
      </c>
      <c r="Q307" t="s">
        <v>18</v>
      </c>
      <c r="S307" t="s">
        <v>451</v>
      </c>
      <c r="T307" t="s">
        <v>23</v>
      </c>
      <c r="V307" t="s">
        <v>451</v>
      </c>
      <c r="W307" t="s">
        <v>19</v>
      </c>
      <c r="X307" t="s">
        <v>78</v>
      </c>
      <c r="Y307">
        <v>6.9000000953674299</v>
      </c>
      <c r="Z307">
        <v>5.8000001907348597</v>
      </c>
      <c r="AA307">
        <v>1</v>
      </c>
      <c r="AB307">
        <v>1.5</v>
      </c>
      <c r="AC307">
        <v>418.32638549804602</v>
      </c>
      <c r="AD307">
        <v>211</v>
      </c>
      <c r="AE307">
        <v>2.38000011444091</v>
      </c>
      <c r="AF307">
        <v>43</v>
      </c>
      <c r="AG307">
        <v>38</v>
      </c>
      <c r="AH307">
        <v>7</v>
      </c>
      <c r="AI307">
        <v>6</v>
      </c>
      <c r="AJ307">
        <v>6.3299999237060502</v>
      </c>
      <c r="AK307">
        <v>6</v>
      </c>
      <c r="AL307">
        <v>5</v>
      </c>
      <c r="AM307">
        <v>7.5999999046325604</v>
      </c>
      <c r="AN307" t="s">
        <v>576</v>
      </c>
      <c r="AO307">
        <v>85</v>
      </c>
      <c r="AP307">
        <v>28.731746890210925</v>
      </c>
      <c r="AQ307" s="1">
        <v>41416</v>
      </c>
      <c r="AS307" s="1">
        <v>40045.523738923614</v>
      </c>
      <c r="AT307" s="1"/>
      <c r="AU307" s="1">
        <v>40045.52401296296</v>
      </c>
      <c r="AV307" s="1">
        <v>41422.516795023148</v>
      </c>
      <c r="AW307" s="1">
        <v>40045.524169872682</v>
      </c>
      <c r="AX307" s="1"/>
      <c r="BB307" s="2">
        <v>1</v>
      </c>
      <c r="BC307">
        <f>(140-D307)*AO307/(72*BI307)</f>
        <v>16.172626000596882</v>
      </c>
      <c r="BD307">
        <v>131</v>
      </c>
      <c r="BE307">
        <v>3.5</v>
      </c>
      <c r="BF307">
        <v>2.7</v>
      </c>
      <c r="BG307">
        <v>13.6</v>
      </c>
      <c r="BH307">
        <v>357</v>
      </c>
      <c r="BI307">
        <v>5.1100000000000003</v>
      </c>
      <c r="BJ307">
        <v>6.7999999999999901</v>
      </c>
      <c r="BK307">
        <v>7.9</v>
      </c>
      <c r="BL307">
        <v>12.6999999999999</v>
      </c>
      <c r="BM307">
        <v>50.119999999999898</v>
      </c>
      <c r="BN307">
        <v>8.1999999999999904</v>
      </c>
    </row>
    <row r="308" spans="1:66" x14ac:dyDescent="0.3">
      <c r="A308">
        <v>307</v>
      </c>
      <c r="B308" s="2" t="s">
        <v>430</v>
      </c>
      <c r="C308" s="2" t="s">
        <v>448</v>
      </c>
      <c r="D308">
        <v>70.714090287277003</v>
      </c>
      <c r="E308" s="3">
        <v>43349.6875</v>
      </c>
      <c r="F308" s="1">
        <v>43346</v>
      </c>
      <c r="G308" s="1">
        <v>43188.494166666656</v>
      </c>
      <c r="H308" t="s">
        <v>15</v>
      </c>
      <c r="I308" t="s">
        <v>15</v>
      </c>
      <c r="J308" t="s">
        <v>35</v>
      </c>
      <c r="L308">
        <v>25</v>
      </c>
      <c r="M308" t="s">
        <v>17</v>
      </c>
      <c r="N308" t="s">
        <v>15</v>
      </c>
      <c r="O308" t="s">
        <v>17</v>
      </c>
      <c r="P308" t="s">
        <v>75</v>
      </c>
      <c r="Q308" t="s">
        <v>451</v>
      </c>
      <c r="S308" t="s">
        <v>451</v>
      </c>
      <c r="T308" t="s">
        <v>19</v>
      </c>
      <c r="V308" t="s">
        <v>451</v>
      </c>
      <c r="W308" t="s">
        <v>29</v>
      </c>
      <c r="X308" t="s">
        <v>90</v>
      </c>
      <c r="Y308">
        <v>5.3000001907348597</v>
      </c>
      <c r="Z308">
        <v>4.5</v>
      </c>
      <c r="AA308">
        <v>0.89999997615814198</v>
      </c>
      <c r="AB308">
        <v>0.88999998569488503</v>
      </c>
      <c r="AC308">
        <v>173.25982666015599</v>
      </c>
      <c r="AD308">
        <v>87</v>
      </c>
      <c r="AE308">
        <v>1</v>
      </c>
      <c r="AF308">
        <v>73</v>
      </c>
      <c r="AG308">
        <v>103</v>
      </c>
      <c r="AH308">
        <v>6.2399997711181596</v>
      </c>
      <c r="AI308">
        <v>6.2399997711181596</v>
      </c>
      <c r="AJ308">
        <v>16.5100002288818</v>
      </c>
      <c r="AK308">
        <v>5.75</v>
      </c>
      <c r="AL308">
        <v>5.17000007629394</v>
      </c>
      <c r="AM308">
        <v>19.920000076293899</v>
      </c>
      <c r="AN308" t="s">
        <v>577</v>
      </c>
      <c r="AQ308" s="1">
        <v>38718</v>
      </c>
      <c r="AS308" s="1">
        <v>39944.091760150463</v>
      </c>
      <c r="AT308" s="1">
        <v>42525.484686111107</v>
      </c>
      <c r="AU308" s="1">
        <v>43247.667855983796</v>
      </c>
      <c r="AV308" s="1">
        <v>39946.381830868057</v>
      </c>
      <c r="AW308" s="1"/>
      <c r="AX308" s="1"/>
      <c r="BB308" s="5">
        <v>0</v>
      </c>
      <c r="BC308">
        <v>19.8</v>
      </c>
      <c r="BD308">
        <v>130</v>
      </c>
      <c r="BE308">
        <v>3.7999999999999901</v>
      </c>
      <c r="BF308">
        <v>2.3999999999999901</v>
      </c>
      <c r="BG308">
        <v>10.1999999999999</v>
      </c>
      <c r="BH308">
        <v>180</v>
      </c>
      <c r="BI308">
        <v>3.1299999999999901</v>
      </c>
      <c r="BJ308">
        <v>7.7</v>
      </c>
      <c r="BK308">
        <v>4.1500000000000004</v>
      </c>
      <c r="BL308">
        <v>13.1999999999999</v>
      </c>
      <c r="BM308">
        <v>31.719999999999899</v>
      </c>
      <c r="BN308">
        <v>8.5</v>
      </c>
    </row>
    <row r="309" spans="1:66" x14ac:dyDescent="0.3">
      <c r="A309">
        <v>308</v>
      </c>
      <c r="B309" s="2" t="s">
        <v>430</v>
      </c>
      <c r="C309" s="2" t="s">
        <v>448</v>
      </c>
      <c r="D309">
        <v>83.541643866849</v>
      </c>
      <c r="E309" s="3">
        <v>45170</v>
      </c>
      <c r="F309" s="1">
        <v>45145.470833333333</v>
      </c>
      <c r="G309" s="1">
        <v>44976.428055555552</v>
      </c>
      <c r="H309" t="s">
        <v>15</v>
      </c>
      <c r="I309" t="s">
        <v>451</v>
      </c>
      <c r="J309" t="s">
        <v>35</v>
      </c>
      <c r="K309" t="s">
        <v>145</v>
      </c>
      <c r="L309">
        <v>15</v>
      </c>
      <c r="M309" t="s">
        <v>15</v>
      </c>
      <c r="N309" t="s">
        <v>35</v>
      </c>
      <c r="O309" t="s">
        <v>25</v>
      </c>
      <c r="P309" t="s">
        <v>479</v>
      </c>
      <c r="Q309" t="s">
        <v>19</v>
      </c>
      <c r="S309" t="s">
        <v>92</v>
      </c>
      <c r="T309" t="s">
        <v>29</v>
      </c>
      <c r="U309" t="s">
        <v>228</v>
      </c>
      <c r="V309" t="s">
        <v>15</v>
      </c>
      <c r="W309" t="s">
        <v>23</v>
      </c>
      <c r="X309" t="s">
        <v>87</v>
      </c>
      <c r="Y309">
        <v>5.0999999046325604</v>
      </c>
      <c r="Z309">
        <v>3.7999999523162802</v>
      </c>
      <c r="AA309">
        <v>1.20000004768371</v>
      </c>
      <c r="AB309">
        <v>1</v>
      </c>
      <c r="AC309">
        <v>213.89651489257801</v>
      </c>
      <c r="AE309">
        <v>2.5599999427795401</v>
      </c>
      <c r="AF309">
        <v>48</v>
      </c>
      <c r="AG309">
        <v>70.800003051757798</v>
      </c>
      <c r="AI309">
        <v>3.3499999046325599</v>
      </c>
      <c r="AJ309">
        <v>21.129999160766602</v>
      </c>
      <c r="AL309">
        <v>6.0700001716613698</v>
      </c>
      <c r="AM309">
        <v>11.6599998474121</v>
      </c>
      <c r="AN309" t="s">
        <v>578</v>
      </c>
      <c r="AO309">
        <v>81.5</v>
      </c>
      <c r="AP309">
        <v>28.20069204152249</v>
      </c>
      <c r="AQ309" s="1">
        <v>45095</v>
      </c>
      <c r="AS309" s="1">
        <v>44973.98844494213</v>
      </c>
      <c r="AT309" s="1">
        <v>44973.939275775461</v>
      </c>
      <c r="AU309" s="1">
        <v>40842.903618402779</v>
      </c>
      <c r="AV309" s="1">
        <v>40842.884880937498</v>
      </c>
      <c r="AW309" s="1">
        <v>44973.939275775461</v>
      </c>
      <c r="AX309" s="1"/>
      <c r="BB309" s="2">
        <v>1</v>
      </c>
      <c r="BC309">
        <f>(140-D309)*AO309/(72*BI309)</f>
        <v>13.773216070557401</v>
      </c>
      <c r="BD309">
        <v>143</v>
      </c>
      <c r="BE309">
        <v>3.7999999999999901</v>
      </c>
      <c r="BF309">
        <v>2.3999999999999901</v>
      </c>
      <c r="BG309">
        <v>9.0999999999999908</v>
      </c>
      <c r="BH309">
        <v>147</v>
      </c>
      <c r="BI309">
        <v>4.6399999999999899</v>
      </c>
      <c r="BJ309">
        <v>7.7999999999999901</v>
      </c>
      <c r="BK309">
        <v>6.5</v>
      </c>
      <c r="BL309">
        <v>6.2</v>
      </c>
      <c r="BM309">
        <v>72.129999999999896</v>
      </c>
      <c r="BN309">
        <v>6.2</v>
      </c>
    </row>
    <row r="310" spans="1:66" x14ac:dyDescent="0.3">
      <c r="A310">
        <v>309</v>
      </c>
      <c r="B310" s="2" t="s">
        <v>434</v>
      </c>
      <c r="C310" s="2" t="s">
        <v>449</v>
      </c>
      <c r="D310">
        <v>75.146374829001005</v>
      </c>
      <c r="E310" s="3">
        <v>42009.251388888893</v>
      </c>
      <c r="F310" s="1">
        <v>41836</v>
      </c>
      <c r="G310" s="1">
        <v>41569.421956018523</v>
      </c>
      <c r="H310" t="s">
        <v>451</v>
      </c>
      <c r="I310" t="s">
        <v>451</v>
      </c>
      <c r="J310" t="s">
        <v>451</v>
      </c>
      <c r="K310" t="s">
        <v>74</v>
      </c>
      <c r="L310">
        <v>60</v>
      </c>
      <c r="M310" t="s">
        <v>79</v>
      </c>
      <c r="N310" t="s">
        <v>28</v>
      </c>
      <c r="O310" t="s">
        <v>17</v>
      </c>
      <c r="P310" t="s">
        <v>124</v>
      </c>
      <c r="S310" t="s">
        <v>75</v>
      </c>
      <c r="T310" t="s">
        <v>18</v>
      </c>
      <c r="V310" t="s">
        <v>451</v>
      </c>
      <c r="W310" t="s">
        <v>19</v>
      </c>
      <c r="X310" t="s">
        <v>90</v>
      </c>
      <c r="Y310">
        <v>4.3000001907348597</v>
      </c>
      <c r="Z310">
        <v>2.0499999523162802</v>
      </c>
      <c r="AA310">
        <v>1.20000004768371</v>
      </c>
      <c r="AB310">
        <v>0.91000002622604304</v>
      </c>
      <c r="AC310">
        <v>153.57794189453099</v>
      </c>
      <c r="AD310">
        <v>82</v>
      </c>
      <c r="AE310">
        <v>1</v>
      </c>
      <c r="AF310">
        <v>103</v>
      </c>
      <c r="AG310">
        <v>97.519996643066406</v>
      </c>
      <c r="AH310">
        <v>6</v>
      </c>
      <c r="AI310">
        <v>6</v>
      </c>
      <c r="AJ310">
        <v>16.25</v>
      </c>
      <c r="AK310">
        <v>10</v>
      </c>
      <c r="AL310">
        <v>8</v>
      </c>
      <c r="AM310">
        <v>12.189999580383301</v>
      </c>
      <c r="AN310" t="s">
        <v>579</v>
      </c>
      <c r="AO310">
        <v>84.4</v>
      </c>
      <c r="AP310">
        <v>32.159731748209119</v>
      </c>
      <c r="AS310" s="1"/>
      <c r="AT310" s="1">
        <v>41638.760000347233</v>
      </c>
      <c r="AU310" s="1">
        <v>40906.854625</v>
      </c>
      <c r="AV310" s="1"/>
      <c r="AW310" s="1">
        <v>40906.854625</v>
      </c>
      <c r="AX310" s="1"/>
      <c r="BB310" s="2">
        <v>1</v>
      </c>
      <c r="BC310">
        <f>(140-D310)*AO310/(72*BI310)</f>
        <v>32.768474403929233</v>
      </c>
      <c r="BD310">
        <v>137</v>
      </c>
      <c r="BE310">
        <v>4.2</v>
      </c>
      <c r="BF310">
        <v>3.1</v>
      </c>
      <c r="BG310">
        <v>8.6999999999999904</v>
      </c>
      <c r="BH310">
        <v>178</v>
      </c>
      <c r="BI310">
        <v>2.3199999999999901</v>
      </c>
      <c r="BJ310">
        <v>8.3000000000000007</v>
      </c>
      <c r="BK310">
        <v>4.5999999999999899</v>
      </c>
      <c r="BL310">
        <v>12.5</v>
      </c>
      <c r="BM310">
        <v>5.0899999999999901</v>
      </c>
      <c r="BN310">
        <v>4.2999999999999901</v>
      </c>
    </row>
    <row r="311" spans="1:66" x14ac:dyDescent="0.3">
      <c r="A311">
        <v>310</v>
      </c>
      <c r="B311" s="2" t="s">
        <v>430</v>
      </c>
      <c r="C311" s="2" t="s">
        <v>449</v>
      </c>
      <c r="D311">
        <v>79.876101991184001</v>
      </c>
      <c r="E311" s="3"/>
      <c r="F311" s="1">
        <v>45322.715277777781</v>
      </c>
      <c r="G311" s="1">
        <v>45235.375277777777</v>
      </c>
      <c r="H311" t="s">
        <v>15</v>
      </c>
      <c r="I311" t="s">
        <v>78</v>
      </c>
      <c r="J311" t="s">
        <v>15</v>
      </c>
      <c r="L311">
        <v>60</v>
      </c>
      <c r="M311" t="s">
        <v>451</v>
      </c>
      <c r="N311" t="s">
        <v>451</v>
      </c>
      <c r="O311" t="s">
        <v>25</v>
      </c>
      <c r="P311" t="s">
        <v>75</v>
      </c>
      <c r="Q311" t="s">
        <v>451</v>
      </c>
      <c r="S311" t="s">
        <v>75</v>
      </c>
      <c r="T311" t="s">
        <v>29</v>
      </c>
      <c r="U311" t="s">
        <v>511</v>
      </c>
      <c r="V311" t="s">
        <v>451</v>
      </c>
      <c r="W311" t="s">
        <v>29</v>
      </c>
      <c r="X311" t="s">
        <v>90</v>
      </c>
      <c r="Y311">
        <v>4.4499998092651296</v>
      </c>
      <c r="Z311">
        <v>2.6099998950958199</v>
      </c>
      <c r="AA311">
        <v>1.29999995231628</v>
      </c>
      <c r="AB311">
        <v>1.0299999713897701</v>
      </c>
      <c r="AC311">
        <v>186.58912658691401</v>
      </c>
      <c r="AD311">
        <v>117</v>
      </c>
      <c r="AE311">
        <v>1</v>
      </c>
      <c r="AF311">
        <v>65</v>
      </c>
      <c r="AG311">
        <v>138</v>
      </c>
      <c r="AH311">
        <v>5.5100002288818297</v>
      </c>
      <c r="AI311">
        <v>4.8499999046325604</v>
      </c>
      <c r="AJ311">
        <v>28.4500007629394</v>
      </c>
      <c r="AK311">
        <v>8.4399995803833008</v>
      </c>
      <c r="AL311">
        <v>8.1899995803833008</v>
      </c>
      <c r="AM311">
        <v>16.850000381469702</v>
      </c>
      <c r="AN311" t="s">
        <v>580</v>
      </c>
      <c r="AO311">
        <v>51.5</v>
      </c>
      <c r="AP311">
        <v>20.371029626992605</v>
      </c>
      <c r="AS311" s="1"/>
      <c r="AT311" s="1"/>
      <c r="AU311" s="1">
        <v>41207.49495601852</v>
      </c>
      <c r="AV311" s="1">
        <v>41207.49495601852</v>
      </c>
      <c r="AW311" s="1"/>
      <c r="AX311" s="1">
        <v>45256.730900034723</v>
      </c>
      <c r="AY311" t="s">
        <v>21</v>
      </c>
      <c r="BA311">
        <v>59</v>
      </c>
      <c r="BB311" s="5">
        <v>0</v>
      </c>
      <c r="BC311">
        <f>(140-D311)*AO311/(72*BI311)</f>
        <v>6.9140334660906326</v>
      </c>
      <c r="BD311">
        <v>144</v>
      </c>
      <c r="BE311">
        <v>5.0999999999999899</v>
      </c>
      <c r="BF311">
        <v>2.8999999999999901</v>
      </c>
      <c r="BG311">
        <v>7.2999999999999901</v>
      </c>
      <c r="BH311">
        <v>234</v>
      </c>
      <c r="BI311">
        <v>6.21999999999999</v>
      </c>
      <c r="BJ311">
        <v>7.9</v>
      </c>
      <c r="BK311">
        <v>6.2999999999999901</v>
      </c>
      <c r="BL311">
        <v>6.0999999999999899</v>
      </c>
      <c r="BM311">
        <v>2.5899999999999901</v>
      </c>
      <c r="BN311">
        <v>4.4000000000000004</v>
      </c>
    </row>
    <row r="312" spans="1:66" x14ac:dyDescent="0.3">
      <c r="A312">
        <v>311</v>
      </c>
      <c r="B312" s="2" t="s">
        <v>430</v>
      </c>
      <c r="C312" s="2" t="s">
        <v>448</v>
      </c>
      <c r="D312">
        <v>83.072503419971895</v>
      </c>
      <c r="E312" s="3">
        <v>45315</v>
      </c>
      <c r="F312" s="1">
        <v>45287</v>
      </c>
      <c r="G312" s="1">
        <v>45088.578472222223</v>
      </c>
      <c r="H312" t="s">
        <v>25</v>
      </c>
      <c r="I312" t="s">
        <v>451</v>
      </c>
      <c r="J312" t="s">
        <v>453</v>
      </c>
      <c r="K312" t="s">
        <v>161</v>
      </c>
      <c r="L312">
        <v>55</v>
      </c>
      <c r="M312" t="s">
        <v>79</v>
      </c>
      <c r="N312" t="s">
        <v>28</v>
      </c>
      <c r="O312" t="s">
        <v>31</v>
      </c>
      <c r="P312" t="s">
        <v>75</v>
      </c>
      <c r="Q312" t="s">
        <v>19</v>
      </c>
      <c r="R312" t="s">
        <v>102</v>
      </c>
      <c r="S312" t="s">
        <v>92</v>
      </c>
      <c r="T312" t="s">
        <v>34</v>
      </c>
      <c r="U312" t="s">
        <v>512</v>
      </c>
      <c r="V312" t="s">
        <v>159</v>
      </c>
      <c r="W312" t="s">
        <v>29</v>
      </c>
      <c r="X312" t="s">
        <v>90</v>
      </c>
      <c r="Y312">
        <v>6.2899999618530202</v>
      </c>
      <c r="Z312">
        <v>3.8699998855590798</v>
      </c>
      <c r="AA312">
        <v>1.37999999523162</v>
      </c>
      <c r="AB312">
        <v>1.3099999427795399</v>
      </c>
      <c r="AC312">
        <v>396.04345703125</v>
      </c>
      <c r="AD312">
        <v>189</v>
      </c>
      <c r="AE312">
        <v>1.12000000476837</v>
      </c>
      <c r="AF312">
        <v>70</v>
      </c>
      <c r="AN312" t="s">
        <v>581</v>
      </c>
      <c r="AR312" s="1">
        <v>45168</v>
      </c>
      <c r="AS312" s="1">
        <v>44515.643588344908</v>
      </c>
      <c r="AT312" s="1">
        <v>42534.527695023149</v>
      </c>
      <c r="AU312" s="1">
        <v>42534.527695023149</v>
      </c>
      <c r="AV312" s="1">
        <v>42534.527695023149</v>
      </c>
      <c r="AW312" s="1"/>
      <c r="AX312" s="1"/>
      <c r="AY312" t="s">
        <v>21</v>
      </c>
      <c r="BB312" s="5">
        <v>0</v>
      </c>
      <c r="BC312">
        <v>9.5</v>
      </c>
      <c r="BD312">
        <v>139</v>
      </c>
      <c r="BE312">
        <v>4.4000000000000004</v>
      </c>
      <c r="BF312">
        <v>3.3999999999999901</v>
      </c>
      <c r="BG312">
        <v>7.9</v>
      </c>
      <c r="BH312">
        <v>286</v>
      </c>
      <c r="BI312">
        <v>5.75999999999999</v>
      </c>
      <c r="BJ312">
        <v>8.8000000000000007</v>
      </c>
      <c r="BK312">
        <v>8</v>
      </c>
      <c r="BL312">
        <v>11.5</v>
      </c>
      <c r="BM312">
        <v>8.7100000000000009</v>
      </c>
      <c r="BN312">
        <v>5.7999999999999901</v>
      </c>
    </row>
    <row r="313" spans="1:66" x14ac:dyDescent="0.3">
      <c r="A313">
        <v>312</v>
      </c>
      <c r="B313" s="2" t="s">
        <v>434</v>
      </c>
      <c r="C313" s="2" t="s">
        <v>449</v>
      </c>
      <c r="D313">
        <v>80.484268125854001</v>
      </c>
      <c r="E313" s="3">
        <v>44962.477083333331</v>
      </c>
      <c r="F313" s="1">
        <v>44119</v>
      </c>
      <c r="G313" s="1">
        <v>43944.37809027778</v>
      </c>
      <c r="H313" t="s">
        <v>15</v>
      </c>
      <c r="I313" t="s">
        <v>451</v>
      </c>
      <c r="J313" t="s">
        <v>15</v>
      </c>
      <c r="L313">
        <v>60</v>
      </c>
      <c r="M313" t="s">
        <v>79</v>
      </c>
      <c r="N313" t="s">
        <v>28</v>
      </c>
      <c r="O313" t="s">
        <v>17</v>
      </c>
      <c r="P313" t="s">
        <v>479</v>
      </c>
      <c r="Q313" t="s">
        <v>451</v>
      </c>
      <c r="S313" t="s">
        <v>451</v>
      </c>
      <c r="T313" t="s">
        <v>19</v>
      </c>
      <c r="U313" t="s">
        <v>132</v>
      </c>
      <c r="V313" t="s">
        <v>451</v>
      </c>
      <c r="W313" t="s">
        <v>29</v>
      </c>
      <c r="X313" t="s">
        <v>90</v>
      </c>
      <c r="Y313">
        <v>3.7999999523162802</v>
      </c>
      <c r="Z313">
        <v>2.3900001049041699</v>
      </c>
      <c r="AA313">
        <v>1.1900000572204501</v>
      </c>
      <c r="AB313">
        <v>1.1399999856948799</v>
      </c>
      <c r="AC313">
        <v>146.59469604492099</v>
      </c>
      <c r="AD313">
        <v>75</v>
      </c>
      <c r="AE313">
        <v>1</v>
      </c>
      <c r="AF313">
        <v>81</v>
      </c>
      <c r="AG313">
        <v>123</v>
      </c>
      <c r="AH313">
        <v>7.8299999237060502</v>
      </c>
      <c r="AI313">
        <v>6.8499999046325604</v>
      </c>
      <c r="AJ313">
        <v>17.959999084472599</v>
      </c>
      <c r="AK313">
        <v>5.5500001907348597</v>
      </c>
      <c r="AL313">
        <v>5.7699999809265101</v>
      </c>
      <c r="AM313">
        <v>21.319999694824201</v>
      </c>
      <c r="AN313" t="s">
        <v>582</v>
      </c>
      <c r="AO313">
        <v>98.349999999999895</v>
      </c>
      <c r="AP313">
        <v>39.396731293061968</v>
      </c>
      <c r="AS313" s="1"/>
      <c r="AT313" s="1">
        <v>41657.687854432872</v>
      </c>
      <c r="AU313" s="1">
        <v>41657.687854432872</v>
      </c>
      <c r="AV313" s="1">
        <v>41657.687854432872</v>
      </c>
      <c r="AW313" s="1">
        <v>41657.687854432872</v>
      </c>
      <c r="AX313" s="1">
        <v>41657.261242210647</v>
      </c>
      <c r="BB313" s="5">
        <v>0</v>
      </c>
      <c r="BC313">
        <f t="shared" ref="BC313:BC344" si="17">(140-D313)*AO313/(72*BI313)</f>
        <v>73.906215023008244</v>
      </c>
      <c r="BD313">
        <v>135</v>
      </c>
      <c r="BE313">
        <v>4.7</v>
      </c>
      <c r="BF313">
        <v>3.7999999999999901</v>
      </c>
      <c r="BG313">
        <v>13.1</v>
      </c>
      <c r="BH313">
        <v>64</v>
      </c>
      <c r="BI313">
        <v>1.1000000000000001</v>
      </c>
      <c r="BJ313">
        <v>9.5</v>
      </c>
      <c r="BK313">
        <v>3.6</v>
      </c>
      <c r="BL313">
        <v>9.1999999999999904</v>
      </c>
      <c r="BM313">
        <v>23.69</v>
      </c>
      <c r="BN313">
        <v>6.5</v>
      </c>
    </row>
    <row r="314" spans="1:66" x14ac:dyDescent="0.3">
      <c r="A314">
        <v>313</v>
      </c>
      <c r="B314" s="2" t="s">
        <v>430</v>
      </c>
      <c r="C314" s="2" t="s">
        <v>448</v>
      </c>
      <c r="D314">
        <v>90.236550007599007</v>
      </c>
      <c r="E314" s="3">
        <v>43922</v>
      </c>
      <c r="F314" s="1">
        <v>43607.459027777782</v>
      </c>
      <c r="G314" s="1">
        <v>43577.670266203713</v>
      </c>
      <c r="H314" t="s">
        <v>25</v>
      </c>
      <c r="I314" t="s">
        <v>78</v>
      </c>
      <c r="J314" t="s">
        <v>35</v>
      </c>
      <c r="L314">
        <v>20</v>
      </c>
      <c r="M314" t="s">
        <v>17</v>
      </c>
      <c r="N314" t="s">
        <v>14</v>
      </c>
      <c r="O314" t="s">
        <v>31</v>
      </c>
      <c r="P314" t="s">
        <v>75</v>
      </c>
      <c r="Q314" t="s">
        <v>451</v>
      </c>
      <c r="R314" t="s">
        <v>98</v>
      </c>
      <c r="S314" t="s">
        <v>75</v>
      </c>
      <c r="T314" t="s">
        <v>19</v>
      </c>
      <c r="U314" t="s">
        <v>96</v>
      </c>
      <c r="V314" t="s">
        <v>451</v>
      </c>
      <c r="W314" t="s">
        <v>23</v>
      </c>
      <c r="X314" t="s">
        <v>87</v>
      </c>
      <c r="Y314">
        <v>6.4099998474120996</v>
      </c>
      <c r="Z314">
        <v>5.4699997901916504</v>
      </c>
      <c r="AA314">
        <v>1.3600000143051101</v>
      </c>
      <c r="AB314">
        <v>1.12999999523162</v>
      </c>
      <c r="AC314">
        <v>368.00643920898398</v>
      </c>
      <c r="AD314">
        <v>192</v>
      </c>
      <c r="AE314">
        <v>2.3099999427795401</v>
      </c>
      <c r="AF314">
        <v>51</v>
      </c>
      <c r="AG314">
        <v>55.299999237060497</v>
      </c>
      <c r="AH314">
        <v>4.1599998474120996</v>
      </c>
      <c r="AI314">
        <v>2.0299999713897701</v>
      </c>
      <c r="AJ314">
        <v>27.2399997711181</v>
      </c>
      <c r="AK314">
        <v>4.2800002098083398</v>
      </c>
      <c r="AL314">
        <v>8.1599998474121005</v>
      </c>
      <c r="AM314">
        <v>6.7800002098083398</v>
      </c>
      <c r="AN314" t="s">
        <v>583</v>
      </c>
      <c r="AO314">
        <v>72</v>
      </c>
      <c r="AP314">
        <v>23.781212841854934</v>
      </c>
      <c r="AS314" s="1">
        <v>40331.482996493047</v>
      </c>
      <c r="AT314" s="1">
        <v>40331.483365821761</v>
      </c>
      <c r="AU314" s="1"/>
      <c r="AV314" s="1">
        <v>40331.483685567131</v>
      </c>
      <c r="AW314" s="1"/>
      <c r="AX314" s="1">
        <v>41237.213273877307</v>
      </c>
      <c r="AY314" t="s">
        <v>21</v>
      </c>
      <c r="BB314" s="2">
        <v>4</v>
      </c>
      <c r="BC314">
        <f t="shared" si="17"/>
        <v>10.678851929699784</v>
      </c>
      <c r="BD314">
        <v>139</v>
      </c>
      <c r="BE314">
        <v>4.2</v>
      </c>
      <c r="BF314">
        <v>2.7999999999999901</v>
      </c>
      <c r="BG314">
        <v>12.8</v>
      </c>
      <c r="BH314">
        <v>236</v>
      </c>
      <c r="BI314">
        <v>4.66</v>
      </c>
      <c r="BJ314">
        <v>8.6999999999999904</v>
      </c>
      <c r="BK314">
        <v>4.2999999999999901</v>
      </c>
      <c r="BL314">
        <v>12.1999999999999</v>
      </c>
      <c r="BM314">
        <v>38.31</v>
      </c>
      <c r="BN314">
        <v>6.9</v>
      </c>
    </row>
    <row r="315" spans="1:66" x14ac:dyDescent="0.3">
      <c r="A315">
        <v>314</v>
      </c>
      <c r="B315" s="2" t="s">
        <v>430</v>
      </c>
      <c r="C315" s="2" t="s">
        <v>449</v>
      </c>
      <c r="D315">
        <v>83.849521203829894</v>
      </c>
      <c r="E315" s="3">
        <v>43658.942361111112</v>
      </c>
      <c r="F315" s="1">
        <v>43174</v>
      </c>
      <c r="G315" s="1">
        <v>43171.389398148152</v>
      </c>
      <c r="H315" t="s">
        <v>17</v>
      </c>
      <c r="I315" t="s">
        <v>15</v>
      </c>
      <c r="J315" t="s">
        <v>28</v>
      </c>
      <c r="L315">
        <v>40</v>
      </c>
      <c r="M315" t="s">
        <v>15</v>
      </c>
      <c r="N315" t="s">
        <v>15</v>
      </c>
      <c r="O315" t="s">
        <v>17</v>
      </c>
      <c r="P315" t="s">
        <v>479</v>
      </c>
      <c r="S315" t="s">
        <v>451</v>
      </c>
      <c r="T315" t="s">
        <v>26</v>
      </c>
      <c r="V315" t="s">
        <v>451</v>
      </c>
      <c r="W315" t="s">
        <v>19</v>
      </c>
      <c r="X315" t="s">
        <v>90</v>
      </c>
      <c r="Y315">
        <v>6.1999998092651296</v>
      </c>
      <c r="Z315">
        <v>5.0999999046325604</v>
      </c>
      <c r="AA315">
        <v>0.80000001192092796</v>
      </c>
      <c r="AB315">
        <v>0.69999998807907104</v>
      </c>
      <c r="AC315">
        <v>182.146560668945</v>
      </c>
      <c r="AD315">
        <v>104</v>
      </c>
      <c r="AE315">
        <v>2.0699999332427899</v>
      </c>
      <c r="AF315">
        <v>66</v>
      </c>
      <c r="AG315">
        <v>125</v>
      </c>
      <c r="AH315">
        <v>4.5199999809265101</v>
      </c>
      <c r="AI315">
        <v>2.96000003814697</v>
      </c>
      <c r="AJ315">
        <v>42.2299995422363</v>
      </c>
      <c r="AK315">
        <v>5.42000007629394</v>
      </c>
      <c r="AL315">
        <v>5.42000007629394</v>
      </c>
      <c r="AM315">
        <v>23.059999465942301</v>
      </c>
      <c r="AN315" t="s">
        <v>584</v>
      </c>
      <c r="AO315">
        <v>72</v>
      </c>
      <c r="AP315">
        <v>29.968782518210197</v>
      </c>
      <c r="AR315" s="1">
        <v>42585</v>
      </c>
      <c r="AS315" s="1">
        <v>42398.780391469911</v>
      </c>
      <c r="AT315" s="1">
        <v>42394.741345219911</v>
      </c>
      <c r="AU315" s="1"/>
      <c r="AV315" s="1">
        <v>42450.299892708332</v>
      </c>
      <c r="AW315" s="1">
        <v>42450.299892708332</v>
      </c>
      <c r="AX315" s="1"/>
      <c r="AY315" t="s">
        <v>21</v>
      </c>
      <c r="AZ315">
        <v>117</v>
      </c>
      <c r="BA315">
        <v>51</v>
      </c>
      <c r="BB315" s="2">
        <v>2</v>
      </c>
      <c r="BC315">
        <f t="shared" si="17"/>
        <v>18.716826265390036</v>
      </c>
      <c r="BD315">
        <v>132</v>
      </c>
      <c r="BE315">
        <v>4.2</v>
      </c>
      <c r="BF315">
        <v>2.8999999999999901</v>
      </c>
      <c r="BG315">
        <v>8</v>
      </c>
      <c r="BH315">
        <v>254</v>
      </c>
      <c r="BI315">
        <v>3</v>
      </c>
      <c r="BJ315">
        <v>8</v>
      </c>
      <c r="BK315">
        <v>4.2999999999999901</v>
      </c>
      <c r="BL315">
        <v>10.4</v>
      </c>
      <c r="BM315">
        <v>17.93</v>
      </c>
      <c r="BN315">
        <v>6.2</v>
      </c>
    </row>
    <row r="316" spans="1:66" x14ac:dyDescent="0.3">
      <c r="A316">
        <v>315</v>
      </c>
      <c r="B316" s="2" t="s">
        <v>434</v>
      </c>
      <c r="C316" s="2" t="s">
        <v>448</v>
      </c>
      <c r="D316">
        <v>84.138394892839898</v>
      </c>
      <c r="E316" s="3"/>
      <c r="F316" s="1">
        <v>44937.583333333343</v>
      </c>
      <c r="G316" s="1">
        <v>44690.714525462958</v>
      </c>
      <c r="H316" t="s">
        <v>451</v>
      </c>
      <c r="I316" t="s">
        <v>451</v>
      </c>
      <c r="J316" t="s">
        <v>451</v>
      </c>
      <c r="K316" t="s">
        <v>74</v>
      </c>
      <c r="L316">
        <v>60</v>
      </c>
      <c r="M316" t="s">
        <v>451</v>
      </c>
      <c r="N316" t="s">
        <v>451</v>
      </c>
      <c r="O316" t="s">
        <v>15</v>
      </c>
      <c r="P316" t="s">
        <v>75</v>
      </c>
      <c r="Q316" t="s">
        <v>18</v>
      </c>
      <c r="S316" t="s">
        <v>75</v>
      </c>
      <c r="T316" t="s">
        <v>19</v>
      </c>
      <c r="V316" t="s">
        <v>15</v>
      </c>
      <c r="W316" t="s">
        <v>18</v>
      </c>
      <c r="Y316">
        <v>4.5</v>
      </c>
      <c r="Z316">
        <v>2.5999999046325599</v>
      </c>
      <c r="AA316">
        <v>0.89999997615814198</v>
      </c>
      <c r="AB316">
        <v>1.1000000238418499</v>
      </c>
      <c r="AC316">
        <v>153.27200317382801</v>
      </c>
      <c r="AD316">
        <v>70</v>
      </c>
      <c r="AE316">
        <v>1</v>
      </c>
      <c r="AG316">
        <v>58.700000762939403</v>
      </c>
      <c r="AI316">
        <v>7.1799998283386204</v>
      </c>
      <c r="AJ316">
        <v>8.1800003051757795</v>
      </c>
      <c r="AK316">
        <v>9.7899999618530202</v>
      </c>
      <c r="AL316">
        <v>7.7199997901916504</v>
      </c>
      <c r="AM316">
        <v>7.5999999046325604</v>
      </c>
      <c r="AN316" t="s">
        <v>585</v>
      </c>
      <c r="AO316">
        <v>108</v>
      </c>
      <c r="AP316">
        <v>31.555880204528854</v>
      </c>
      <c r="AS316" s="1"/>
      <c r="AT316" s="1"/>
      <c r="AU316" s="1">
        <v>43093.180038969913</v>
      </c>
      <c r="AV316" s="1">
        <v>43093.407753553241</v>
      </c>
      <c r="AW316" s="1"/>
      <c r="AX316" s="1"/>
      <c r="BB316" s="2">
        <v>2</v>
      </c>
      <c r="BC316">
        <f t="shared" si="17"/>
        <v>10.513476494446708</v>
      </c>
      <c r="BD316">
        <v>135</v>
      </c>
      <c r="BE316">
        <v>5.0999999999999899</v>
      </c>
      <c r="BF316">
        <v>2.7999999999999901</v>
      </c>
      <c r="BG316">
        <v>6.4</v>
      </c>
      <c r="BH316">
        <v>138</v>
      </c>
      <c r="BI316">
        <v>7.96999999999999</v>
      </c>
      <c r="BJ316">
        <v>7</v>
      </c>
      <c r="BK316">
        <v>9.6999999999999904</v>
      </c>
      <c r="BL316">
        <v>8.3000000000000007</v>
      </c>
      <c r="BM316">
        <v>22.739999999999899</v>
      </c>
      <c r="BN316">
        <v>6.2</v>
      </c>
    </row>
    <row r="317" spans="1:66" x14ac:dyDescent="0.3">
      <c r="A317">
        <v>316</v>
      </c>
      <c r="B317" s="2" t="s">
        <v>430</v>
      </c>
      <c r="C317" s="2" t="s">
        <v>448</v>
      </c>
      <c r="D317">
        <v>77.6032831737339</v>
      </c>
      <c r="E317" s="3">
        <v>42759.193749999999</v>
      </c>
      <c r="F317" s="1">
        <v>42669</v>
      </c>
      <c r="G317" s="1">
        <v>42515.527025462958</v>
      </c>
      <c r="H317" t="s">
        <v>17</v>
      </c>
      <c r="I317" t="s">
        <v>15</v>
      </c>
      <c r="J317" t="s">
        <v>30</v>
      </c>
      <c r="L317">
        <v>30</v>
      </c>
      <c r="M317" t="s">
        <v>451</v>
      </c>
      <c r="N317" t="s">
        <v>451</v>
      </c>
      <c r="O317" t="s">
        <v>17</v>
      </c>
      <c r="P317" t="s">
        <v>75</v>
      </c>
      <c r="Q317" t="s">
        <v>18</v>
      </c>
      <c r="R317" t="s">
        <v>76</v>
      </c>
      <c r="S317" t="s">
        <v>451</v>
      </c>
      <c r="T317" t="s">
        <v>19</v>
      </c>
      <c r="V317" t="s">
        <v>451</v>
      </c>
      <c r="W317" t="s">
        <v>19</v>
      </c>
      <c r="X317" t="s">
        <v>78</v>
      </c>
      <c r="Y317">
        <v>5.5700001716613698</v>
      </c>
      <c r="Z317">
        <v>4.3000001907348597</v>
      </c>
      <c r="AA317">
        <v>1.08000004291534</v>
      </c>
      <c r="AB317">
        <v>1.1000000238418499</v>
      </c>
      <c r="AC317">
        <v>244.10617065429599</v>
      </c>
      <c r="AD317">
        <v>139</v>
      </c>
      <c r="AE317">
        <v>2</v>
      </c>
      <c r="AF317">
        <v>40</v>
      </c>
      <c r="AG317">
        <v>110.050003051757</v>
      </c>
      <c r="AH317">
        <v>4</v>
      </c>
      <c r="AI317">
        <v>4</v>
      </c>
      <c r="AJ317">
        <v>27.5100002288818</v>
      </c>
      <c r="AK317">
        <v>4</v>
      </c>
      <c r="AL317">
        <v>6</v>
      </c>
      <c r="AM317">
        <v>18.340000152587798</v>
      </c>
      <c r="AN317" t="s">
        <v>586</v>
      </c>
      <c r="AO317">
        <v>56.2</v>
      </c>
      <c r="AP317">
        <v>19.446366782006923</v>
      </c>
      <c r="AQ317" s="1">
        <v>42661</v>
      </c>
      <c r="AS317" s="1">
        <v>42093.609810844908</v>
      </c>
      <c r="AT317" s="1"/>
      <c r="AU317" s="1">
        <v>42360.443639467587</v>
      </c>
      <c r="AV317" s="1">
        <v>42360.443639467587</v>
      </c>
      <c r="AW317" s="1"/>
      <c r="AX317" s="1"/>
      <c r="BB317" s="2">
        <v>2</v>
      </c>
      <c r="BC317">
        <f t="shared" si="17"/>
        <v>9.7020127424639284</v>
      </c>
      <c r="BD317">
        <v>139</v>
      </c>
      <c r="BE317">
        <v>4.0999999999999899</v>
      </c>
      <c r="BF317">
        <v>3.2</v>
      </c>
      <c r="BG317">
        <v>11.5</v>
      </c>
      <c r="BH317">
        <v>161</v>
      </c>
      <c r="BI317">
        <v>5.0199999999999898</v>
      </c>
      <c r="BJ317">
        <v>7.9</v>
      </c>
      <c r="BK317">
        <v>5.2999999999999901</v>
      </c>
      <c r="BL317">
        <v>7.4</v>
      </c>
      <c r="BM317">
        <v>1.95</v>
      </c>
      <c r="BN317">
        <v>5.5</v>
      </c>
    </row>
    <row r="318" spans="1:66" x14ac:dyDescent="0.3">
      <c r="A318">
        <v>317</v>
      </c>
      <c r="B318" s="2" t="s">
        <v>430</v>
      </c>
      <c r="C318" s="2" t="s">
        <v>449</v>
      </c>
      <c r="D318">
        <v>77.165526675785898</v>
      </c>
      <c r="E318" s="3">
        <v>45336</v>
      </c>
      <c r="F318" s="1">
        <v>44407</v>
      </c>
      <c r="G318" s="1">
        <v>44353.481238425928</v>
      </c>
      <c r="H318" t="s">
        <v>15</v>
      </c>
      <c r="I318" t="s">
        <v>78</v>
      </c>
      <c r="J318" t="s">
        <v>15</v>
      </c>
      <c r="L318">
        <v>55</v>
      </c>
      <c r="M318" t="s">
        <v>451</v>
      </c>
      <c r="N318" t="s">
        <v>451</v>
      </c>
      <c r="O318" t="s">
        <v>25</v>
      </c>
      <c r="P318" t="s">
        <v>75</v>
      </c>
      <c r="Q318" t="s">
        <v>19</v>
      </c>
      <c r="R318" t="s">
        <v>76</v>
      </c>
      <c r="S318" t="s">
        <v>137</v>
      </c>
      <c r="T318" t="s">
        <v>19</v>
      </c>
      <c r="V318" t="s">
        <v>451</v>
      </c>
      <c r="W318" t="s">
        <v>19</v>
      </c>
      <c r="X318" t="s">
        <v>15</v>
      </c>
      <c r="Y318">
        <v>4.8499999046325604</v>
      </c>
      <c r="Z318">
        <v>3.2699999809265101</v>
      </c>
      <c r="AA318">
        <v>1.16999995708465</v>
      </c>
      <c r="AB318">
        <v>0.85000002384185702</v>
      </c>
      <c r="AC318">
        <v>175.45193481445301</v>
      </c>
      <c r="AD318">
        <v>96</v>
      </c>
      <c r="AE318">
        <v>1</v>
      </c>
      <c r="AF318">
        <v>34</v>
      </c>
      <c r="AN318" t="s">
        <v>587</v>
      </c>
      <c r="AO318">
        <v>80</v>
      </c>
      <c r="AP318">
        <v>32.046146450889282</v>
      </c>
      <c r="AR318" s="1">
        <v>40909</v>
      </c>
      <c r="AS318" s="1">
        <v>43288.703962037027</v>
      </c>
      <c r="AT318" s="1">
        <v>40898.732894594898</v>
      </c>
      <c r="AU318" s="1">
        <v>40898.732894594898</v>
      </c>
      <c r="AV318" s="1"/>
      <c r="AW318" s="1"/>
      <c r="AX318" s="1"/>
      <c r="AZ318">
        <v>139</v>
      </c>
      <c r="BA318">
        <v>107</v>
      </c>
      <c r="BB318" s="5">
        <v>0</v>
      </c>
      <c r="BC318">
        <f t="shared" si="17"/>
        <v>18.040331129547546</v>
      </c>
      <c r="BD318">
        <v>134</v>
      </c>
      <c r="BE318">
        <v>4.7999999999999901</v>
      </c>
      <c r="BF318">
        <v>2.7</v>
      </c>
      <c r="BG318">
        <v>9</v>
      </c>
      <c r="BH318">
        <v>173</v>
      </c>
      <c r="BI318">
        <v>3.87</v>
      </c>
      <c r="BJ318">
        <v>7.7</v>
      </c>
      <c r="BK318">
        <v>5.2999999999999901</v>
      </c>
      <c r="BL318">
        <v>5.2</v>
      </c>
      <c r="BM318">
        <v>43.49</v>
      </c>
      <c r="BN318">
        <v>5.4</v>
      </c>
    </row>
    <row r="319" spans="1:66" x14ac:dyDescent="0.3">
      <c r="A319">
        <v>318</v>
      </c>
      <c r="B319" s="2" t="s">
        <v>430</v>
      </c>
      <c r="C319" s="2" t="s">
        <v>448</v>
      </c>
      <c r="D319">
        <v>80.831737346100894</v>
      </c>
      <c r="E319" s="3"/>
      <c r="F319" s="1">
        <v>44641</v>
      </c>
      <c r="G319" s="1">
        <v>44307.643935185188</v>
      </c>
      <c r="H319" t="s">
        <v>17</v>
      </c>
      <c r="I319" t="s">
        <v>78</v>
      </c>
      <c r="J319" t="s">
        <v>30</v>
      </c>
      <c r="L319">
        <v>30</v>
      </c>
      <c r="M319" t="s">
        <v>15</v>
      </c>
      <c r="N319" t="s">
        <v>15</v>
      </c>
      <c r="O319" t="s">
        <v>17</v>
      </c>
      <c r="P319" t="s">
        <v>75</v>
      </c>
      <c r="Q319" t="s">
        <v>18</v>
      </c>
      <c r="S319" t="s">
        <v>451</v>
      </c>
      <c r="T319" t="s">
        <v>19</v>
      </c>
      <c r="V319" t="s">
        <v>451</v>
      </c>
      <c r="W319" t="s">
        <v>19</v>
      </c>
      <c r="X319" t="s">
        <v>87</v>
      </c>
      <c r="Y319">
        <v>5.7399997711181596</v>
      </c>
      <c r="Z319">
        <v>4.6900000572204501</v>
      </c>
      <c r="AA319">
        <v>1.16999995708465</v>
      </c>
      <c r="AB319">
        <v>1.21000003814697</v>
      </c>
      <c r="AC319">
        <v>288.695068359375</v>
      </c>
      <c r="AD319">
        <v>167</v>
      </c>
      <c r="AE319">
        <v>2.25</v>
      </c>
      <c r="AF319">
        <v>52</v>
      </c>
      <c r="AG319">
        <v>108</v>
      </c>
      <c r="AH319">
        <v>5.0300002098083398</v>
      </c>
      <c r="AI319">
        <v>5.0300002098083398</v>
      </c>
      <c r="AJ319">
        <v>21.4699993133544</v>
      </c>
      <c r="AK319">
        <v>5.3200001716613698</v>
      </c>
      <c r="AL319">
        <v>5.13000011444091</v>
      </c>
      <c r="AM319">
        <v>21.049999237060501</v>
      </c>
      <c r="AN319" t="s">
        <v>588</v>
      </c>
      <c r="AO319">
        <v>78.799999999999898</v>
      </c>
      <c r="AP319">
        <v>28.943985307621631</v>
      </c>
      <c r="AS319" s="1">
        <v>43660.092598842602</v>
      </c>
      <c r="AT319" s="1"/>
      <c r="AU319" s="1">
        <v>43660.092598842602</v>
      </c>
      <c r="AV319" s="1">
        <v>43660.092598842602</v>
      </c>
      <c r="AW319" s="1"/>
      <c r="AX319" s="1"/>
      <c r="BA319">
        <v>73</v>
      </c>
      <c r="BB319" s="2">
        <v>1</v>
      </c>
      <c r="BC319">
        <f t="shared" si="17"/>
        <v>12.772460818341123</v>
      </c>
      <c r="BD319">
        <v>140</v>
      </c>
      <c r="BE319">
        <v>5.7999999999999901</v>
      </c>
      <c r="BF319">
        <v>3.7999999999999901</v>
      </c>
      <c r="BG319">
        <v>8.6999999999999904</v>
      </c>
      <c r="BH319">
        <v>200</v>
      </c>
      <c r="BI319">
        <v>5.07</v>
      </c>
      <c r="BJ319">
        <v>8.1999999999999904</v>
      </c>
      <c r="BK319">
        <v>5.2999999999999901</v>
      </c>
      <c r="BL319">
        <v>8.5999999999999908</v>
      </c>
      <c r="BM319">
        <v>0.68999999999999895</v>
      </c>
      <c r="BN319">
        <v>5.2</v>
      </c>
    </row>
    <row r="320" spans="1:66" x14ac:dyDescent="0.3">
      <c r="A320">
        <v>319</v>
      </c>
      <c r="B320" s="2" t="s">
        <v>434</v>
      </c>
      <c r="C320" s="2" t="s">
        <v>448</v>
      </c>
      <c r="D320">
        <v>74.180574555402899</v>
      </c>
      <c r="E320" s="3">
        <v>44343</v>
      </c>
      <c r="F320" s="1">
        <v>44313</v>
      </c>
      <c r="G320" s="1">
        <v>44018.376342592594</v>
      </c>
      <c r="H320" t="s">
        <v>31</v>
      </c>
      <c r="I320" t="s">
        <v>15</v>
      </c>
      <c r="J320" t="s">
        <v>35</v>
      </c>
      <c r="L320">
        <v>25</v>
      </c>
      <c r="M320" t="s">
        <v>79</v>
      </c>
      <c r="N320" t="s">
        <v>28</v>
      </c>
      <c r="O320" t="s">
        <v>31</v>
      </c>
      <c r="P320" t="s">
        <v>124</v>
      </c>
      <c r="Q320" t="s">
        <v>23</v>
      </c>
      <c r="R320" t="s">
        <v>488</v>
      </c>
      <c r="S320" t="s">
        <v>451</v>
      </c>
      <c r="T320" t="s">
        <v>34</v>
      </c>
      <c r="V320" t="s">
        <v>451</v>
      </c>
      <c r="W320" t="s">
        <v>29</v>
      </c>
      <c r="X320" t="s">
        <v>78</v>
      </c>
      <c r="Y320">
        <v>7.0300002098083398</v>
      </c>
      <c r="Z320">
        <v>6.3699998855590803</v>
      </c>
      <c r="AA320">
        <v>0.97000002861022905</v>
      </c>
      <c r="AB320">
        <v>0.74000000953674305</v>
      </c>
      <c r="AC320">
        <v>267.00531005859301</v>
      </c>
      <c r="AD320">
        <v>141</v>
      </c>
      <c r="AE320">
        <v>2.4400000572204501</v>
      </c>
      <c r="AF320">
        <v>44</v>
      </c>
      <c r="AG320">
        <v>116</v>
      </c>
      <c r="AH320">
        <v>4.3400001525878897</v>
      </c>
      <c r="AI320">
        <v>7.2699999809265101</v>
      </c>
      <c r="AJ320">
        <v>15.9600000381469</v>
      </c>
      <c r="AK320">
        <v>5.2600002288818297</v>
      </c>
      <c r="AL320">
        <v>6.8499999046325604</v>
      </c>
      <c r="AM320">
        <v>16.9300003051757</v>
      </c>
      <c r="AN320" t="s">
        <v>589</v>
      </c>
      <c r="AO320">
        <v>71.2</v>
      </c>
      <c r="AP320">
        <v>24.636678200692042</v>
      </c>
      <c r="AR320" s="1">
        <v>33970</v>
      </c>
      <c r="AS320" s="1">
        <v>41080.371359143523</v>
      </c>
      <c r="AT320" s="1">
        <v>40493.477859872677</v>
      </c>
      <c r="AU320" s="1">
        <v>41080.371359143523</v>
      </c>
      <c r="AV320" s="1"/>
      <c r="AW320" s="1"/>
      <c r="AX320" s="1"/>
      <c r="AY320" t="s">
        <v>21</v>
      </c>
      <c r="BB320" s="5">
        <v>0</v>
      </c>
      <c r="BC320">
        <f t="shared" si="17"/>
        <v>22.999328090181162</v>
      </c>
      <c r="BD320">
        <v>137</v>
      </c>
      <c r="BE320">
        <v>4.0999999999999899</v>
      </c>
      <c r="BF320">
        <v>2.8999999999999901</v>
      </c>
      <c r="BG320">
        <v>8.3000000000000007</v>
      </c>
      <c r="BH320">
        <v>363</v>
      </c>
      <c r="BI320">
        <v>2.83</v>
      </c>
      <c r="BJ320">
        <v>8.5999999999999908</v>
      </c>
      <c r="BK320">
        <v>3.7</v>
      </c>
      <c r="BL320">
        <v>11</v>
      </c>
      <c r="BM320">
        <v>68.760000000000005</v>
      </c>
      <c r="BN320">
        <v>5.2999999999999901</v>
      </c>
    </row>
    <row r="321" spans="1:66" x14ac:dyDescent="0.3">
      <c r="A321">
        <v>320</v>
      </c>
      <c r="B321" s="2" t="s">
        <v>430</v>
      </c>
      <c r="C321" s="2" t="s">
        <v>448</v>
      </c>
      <c r="D321">
        <v>87.373461012310997</v>
      </c>
      <c r="E321" s="3">
        <v>45146.275000000001</v>
      </c>
      <c r="F321" s="1">
        <v>44161</v>
      </c>
      <c r="G321" s="1">
        <v>43836.537523148138</v>
      </c>
      <c r="H321" t="s">
        <v>15</v>
      </c>
      <c r="I321" t="s">
        <v>87</v>
      </c>
      <c r="J321" t="s">
        <v>453</v>
      </c>
      <c r="L321">
        <v>50</v>
      </c>
      <c r="M321" t="s">
        <v>451</v>
      </c>
      <c r="N321" t="s">
        <v>451</v>
      </c>
      <c r="O321" t="s">
        <v>25</v>
      </c>
      <c r="P321" t="s">
        <v>75</v>
      </c>
      <c r="Q321" t="s">
        <v>18</v>
      </c>
      <c r="S321" t="s">
        <v>451</v>
      </c>
      <c r="T321" t="s">
        <v>19</v>
      </c>
      <c r="V321" t="s">
        <v>451</v>
      </c>
      <c r="W321" t="s">
        <v>23</v>
      </c>
      <c r="X321" t="s">
        <v>90</v>
      </c>
      <c r="Y321">
        <v>5</v>
      </c>
      <c r="Z321">
        <v>3.5999999046325599</v>
      </c>
      <c r="AA321">
        <v>1.6000000238418499</v>
      </c>
      <c r="AB321">
        <v>1.1000000238418499</v>
      </c>
      <c r="AC321">
        <v>276.435455322265</v>
      </c>
      <c r="AD321">
        <v>132</v>
      </c>
      <c r="AE321">
        <v>1.4400000572204501</v>
      </c>
      <c r="AF321">
        <v>63</v>
      </c>
      <c r="AG321">
        <v>102</v>
      </c>
      <c r="AH321">
        <v>6</v>
      </c>
      <c r="AI321">
        <v>6</v>
      </c>
      <c r="AJ321">
        <v>17</v>
      </c>
      <c r="AK321">
        <v>7</v>
      </c>
      <c r="AL321">
        <v>8</v>
      </c>
      <c r="AM321">
        <v>12.75</v>
      </c>
      <c r="AN321" t="s">
        <v>590</v>
      </c>
      <c r="AO321">
        <v>87</v>
      </c>
      <c r="AP321">
        <v>28.735632183908045</v>
      </c>
      <c r="AQ321" s="1">
        <v>39030</v>
      </c>
      <c r="AS321" s="1">
        <v>39707.593541898153</v>
      </c>
      <c r="AT321" s="1">
        <v>41788.599445752312</v>
      </c>
      <c r="AU321" s="1">
        <v>40510.364522141201</v>
      </c>
      <c r="AV321" s="1">
        <v>39707.593281134257</v>
      </c>
      <c r="AW321" s="1"/>
      <c r="AX321" s="1"/>
      <c r="AZ321">
        <v>115</v>
      </c>
      <c r="BA321">
        <v>52</v>
      </c>
      <c r="BB321" s="2">
        <v>1</v>
      </c>
      <c r="BC321">
        <f t="shared" si="17"/>
        <v>12.420000249373217</v>
      </c>
      <c r="BD321">
        <v>144</v>
      </c>
      <c r="BE321">
        <v>4.0999999999999899</v>
      </c>
      <c r="BF321">
        <v>3.2999999999999901</v>
      </c>
      <c r="BG321">
        <v>8.9</v>
      </c>
      <c r="BH321">
        <v>296</v>
      </c>
      <c r="BI321">
        <v>5.12</v>
      </c>
      <c r="BJ321">
        <v>8.6999999999999904</v>
      </c>
      <c r="BK321">
        <v>6.0999999999999899</v>
      </c>
      <c r="BL321">
        <v>7.7999999999999901</v>
      </c>
      <c r="BM321">
        <v>19.21</v>
      </c>
      <c r="BN321">
        <v>5.5999999999999899</v>
      </c>
    </row>
    <row r="322" spans="1:66" x14ac:dyDescent="0.3">
      <c r="A322">
        <v>321</v>
      </c>
      <c r="B322" s="2" t="s">
        <v>434</v>
      </c>
      <c r="C322" s="2" t="s">
        <v>448</v>
      </c>
      <c r="D322">
        <v>79.077975376195894</v>
      </c>
      <c r="E322" s="3">
        <v>43967.491666666669</v>
      </c>
      <c r="F322" s="1">
        <v>43758</v>
      </c>
      <c r="G322" s="1">
        <v>43754.406377314823</v>
      </c>
      <c r="H322" t="s">
        <v>17</v>
      </c>
      <c r="I322" t="s">
        <v>78</v>
      </c>
      <c r="J322" t="s">
        <v>14</v>
      </c>
      <c r="L322">
        <v>45</v>
      </c>
      <c r="M322" t="s">
        <v>79</v>
      </c>
      <c r="N322" t="s">
        <v>28</v>
      </c>
      <c r="O322" t="s">
        <v>31</v>
      </c>
      <c r="P322" t="s">
        <v>451</v>
      </c>
      <c r="Q322" t="s">
        <v>18</v>
      </c>
      <c r="S322" t="s">
        <v>137</v>
      </c>
      <c r="T322" t="s">
        <v>19</v>
      </c>
      <c r="V322" t="s">
        <v>451</v>
      </c>
      <c r="W322" t="s">
        <v>34</v>
      </c>
      <c r="X322" t="s">
        <v>90</v>
      </c>
      <c r="Y322">
        <v>5.8000001907348597</v>
      </c>
      <c r="Z322">
        <v>4.1999998092651296</v>
      </c>
      <c r="AA322">
        <v>1.20000004768371</v>
      </c>
      <c r="AB322">
        <v>1.20000004768371</v>
      </c>
      <c r="AC322">
        <v>297.00500488281199</v>
      </c>
      <c r="AD322">
        <v>134</v>
      </c>
      <c r="AE322">
        <v>1</v>
      </c>
      <c r="AF322">
        <v>62</v>
      </c>
      <c r="AG322">
        <v>175</v>
      </c>
      <c r="AH322">
        <v>3</v>
      </c>
      <c r="AI322">
        <v>4</v>
      </c>
      <c r="AJ322">
        <v>43.75</v>
      </c>
      <c r="AK322">
        <v>6</v>
      </c>
      <c r="AL322">
        <v>6</v>
      </c>
      <c r="AM322">
        <v>29.170000076293899</v>
      </c>
      <c r="AN322" t="s">
        <v>591</v>
      </c>
      <c r="AO322">
        <v>109.2</v>
      </c>
      <c r="AP322">
        <v>38.69047619047619</v>
      </c>
      <c r="AS322" s="1"/>
      <c r="AT322" s="1">
        <v>42124.922268171293</v>
      </c>
      <c r="AU322" s="1">
        <v>40555.497918634261</v>
      </c>
      <c r="AV322" s="1"/>
      <c r="AW322" s="1"/>
      <c r="AX322" s="1">
        <v>40634.357676770836</v>
      </c>
      <c r="AZ322">
        <v>92</v>
      </c>
      <c r="BA322">
        <v>57</v>
      </c>
      <c r="BB322" s="2">
        <v>4</v>
      </c>
      <c r="BC322">
        <f t="shared" si="17"/>
        <v>38.499335005320809</v>
      </c>
      <c r="BD322">
        <v>132</v>
      </c>
      <c r="BE322">
        <v>4.5</v>
      </c>
      <c r="BF322">
        <v>3.2999999999999901</v>
      </c>
      <c r="BG322">
        <v>10.8</v>
      </c>
      <c r="BH322">
        <v>329</v>
      </c>
      <c r="BI322">
        <v>2.3999999999999901</v>
      </c>
      <c r="BJ322">
        <v>9.4</v>
      </c>
      <c r="BK322">
        <v>5</v>
      </c>
      <c r="BL322">
        <v>7.5999999999999899</v>
      </c>
      <c r="BM322">
        <v>8.1699999999999893</v>
      </c>
      <c r="BN322">
        <v>5.4</v>
      </c>
    </row>
    <row r="323" spans="1:66" x14ac:dyDescent="0.3">
      <c r="A323">
        <v>322</v>
      </c>
      <c r="B323" s="2" t="s">
        <v>430</v>
      </c>
      <c r="C323" s="2" t="s">
        <v>449</v>
      </c>
      <c r="D323">
        <v>69.387140902872005</v>
      </c>
      <c r="E323" s="3">
        <v>41996</v>
      </c>
      <c r="F323" s="1">
        <v>41977</v>
      </c>
      <c r="G323" s="1">
        <v>41947.416481481479</v>
      </c>
      <c r="H323" t="s">
        <v>451</v>
      </c>
      <c r="I323" t="s">
        <v>78</v>
      </c>
      <c r="J323" t="s">
        <v>451</v>
      </c>
      <c r="L323">
        <v>60</v>
      </c>
      <c r="M323" t="s">
        <v>17</v>
      </c>
      <c r="N323" t="s">
        <v>28</v>
      </c>
      <c r="O323" t="s">
        <v>451</v>
      </c>
      <c r="P323" t="s">
        <v>75</v>
      </c>
      <c r="Q323" t="s">
        <v>451</v>
      </c>
      <c r="S323" t="s">
        <v>75</v>
      </c>
      <c r="T323" t="s">
        <v>18</v>
      </c>
      <c r="V323" t="s">
        <v>451</v>
      </c>
      <c r="W323" t="s">
        <v>23</v>
      </c>
      <c r="X323" t="s">
        <v>90</v>
      </c>
      <c r="Y323">
        <v>4.4400000572204501</v>
      </c>
      <c r="Z323">
        <v>2.2799999713897701</v>
      </c>
      <c r="AA323">
        <v>1.8099999427795399</v>
      </c>
      <c r="AB323">
        <v>1.1399999856948799</v>
      </c>
      <c r="AC323">
        <v>263.55780029296801</v>
      </c>
      <c r="AD323">
        <v>120</v>
      </c>
      <c r="AE323">
        <v>1</v>
      </c>
      <c r="AF323">
        <v>89</v>
      </c>
      <c r="AG323">
        <v>76.190002441406193</v>
      </c>
      <c r="AH323">
        <v>5</v>
      </c>
      <c r="AI323">
        <v>3</v>
      </c>
      <c r="AJ323">
        <v>25.399999618530199</v>
      </c>
      <c r="AK323">
        <v>4</v>
      </c>
      <c r="AL323">
        <v>2</v>
      </c>
      <c r="AM323">
        <v>38.099998474121001</v>
      </c>
      <c r="AN323" t="s">
        <v>592</v>
      </c>
      <c r="AO323">
        <v>103.3</v>
      </c>
      <c r="AS323" s="1"/>
      <c r="AT323" s="1"/>
      <c r="AU323" s="1"/>
      <c r="AV323" s="1"/>
      <c r="AW323" s="1"/>
      <c r="AX323" s="1"/>
      <c r="BB323" s="5">
        <v>0</v>
      </c>
      <c r="BC323">
        <f t="shared" si="17"/>
        <v>26.660483716130631</v>
      </c>
      <c r="BD323">
        <v>137</v>
      </c>
      <c r="BE323">
        <v>5</v>
      </c>
      <c r="BF323">
        <v>3.1</v>
      </c>
      <c r="BH323">
        <v>472</v>
      </c>
      <c r="BI323">
        <v>3.7999999999999901</v>
      </c>
      <c r="BJ323">
        <v>8.8000000000000007</v>
      </c>
      <c r="BK323">
        <v>5.9</v>
      </c>
      <c r="BL323">
        <v>17.899999999999899</v>
      </c>
      <c r="BM323">
        <v>142.4</v>
      </c>
      <c r="BN323">
        <v>6.7999999999999901</v>
      </c>
    </row>
    <row r="324" spans="1:66" x14ac:dyDescent="0.3">
      <c r="A324">
        <v>323</v>
      </c>
      <c r="B324" s="2" t="s">
        <v>434</v>
      </c>
      <c r="C324" s="2" t="s">
        <v>448</v>
      </c>
      <c r="D324">
        <v>75.154582763337004</v>
      </c>
      <c r="E324" s="3">
        <v>45825.618055555547</v>
      </c>
      <c r="F324" s="1">
        <v>43636</v>
      </c>
      <c r="G324" s="1">
        <v>43433.645196759258</v>
      </c>
      <c r="H324" t="s">
        <v>15</v>
      </c>
      <c r="I324" t="s">
        <v>451</v>
      </c>
      <c r="J324" t="s">
        <v>15</v>
      </c>
      <c r="L324">
        <v>65</v>
      </c>
      <c r="M324" t="s">
        <v>79</v>
      </c>
      <c r="N324" t="s">
        <v>14</v>
      </c>
      <c r="O324" t="s">
        <v>25</v>
      </c>
      <c r="P324" t="s">
        <v>75</v>
      </c>
      <c r="Q324" t="s">
        <v>19</v>
      </c>
      <c r="S324" t="s">
        <v>75</v>
      </c>
      <c r="T324" t="s">
        <v>23</v>
      </c>
      <c r="V324" t="s">
        <v>451</v>
      </c>
      <c r="W324" t="s">
        <v>29</v>
      </c>
      <c r="X324" t="s">
        <v>90</v>
      </c>
      <c r="Y324">
        <v>4.63000011444091</v>
      </c>
      <c r="Z324">
        <v>2.7799999713897701</v>
      </c>
      <c r="AA324">
        <v>1.0299999713897701</v>
      </c>
      <c r="AB324">
        <v>1.03999996185302</v>
      </c>
      <c r="AC324">
        <v>168.25645446777301</v>
      </c>
      <c r="AD324">
        <v>91</v>
      </c>
      <c r="AE324">
        <v>1.12000000476837</v>
      </c>
      <c r="AF324">
        <v>72</v>
      </c>
      <c r="AG324">
        <v>131</v>
      </c>
      <c r="AH324">
        <v>4.8699998855590803</v>
      </c>
      <c r="AI324">
        <v>5.5900001525878897</v>
      </c>
      <c r="AJ324">
        <v>23.4300003051757</v>
      </c>
      <c r="AK324">
        <v>6.0799999237060502</v>
      </c>
      <c r="AL324">
        <v>7.3000001907348597</v>
      </c>
      <c r="AM324">
        <v>17.9500007629394</v>
      </c>
      <c r="AN324" t="s">
        <v>593</v>
      </c>
      <c r="AO324">
        <v>79.299999999999898</v>
      </c>
      <c r="AP324">
        <v>28.096655328798153</v>
      </c>
      <c r="AS324" s="1">
        <v>42827.527391747688</v>
      </c>
      <c r="AT324" s="1"/>
      <c r="AU324" s="1"/>
      <c r="AV324" s="1">
        <v>42827.527391747688</v>
      </c>
      <c r="AW324" s="1"/>
      <c r="AX324" s="1"/>
      <c r="BB324" s="5">
        <v>0</v>
      </c>
      <c r="BC324">
        <f t="shared" si="17"/>
        <v>24.047145467954401</v>
      </c>
      <c r="BD324">
        <v>146</v>
      </c>
      <c r="BE324">
        <v>3.8999999999999901</v>
      </c>
      <c r="BF324">
        <v>3.2999999999999901</v>
      </c>
      <c r="BG324">
        <v>10.3</v>
      </c>
      <c r="BH324">
        <v>97</v>
      </c>
      <c r="BI324">
        <v>2.97</v>
      </c>
      <c r="BJ324">
        <v>8</v>
      </c>
      <c r="BK324">
        <v>3.6</v>
      </c>
      <c r="BL324">
        <v>8.6999999999999904</v>
      </c>
      <c r="BM324">
        <v>10.18</v>
      </c>
      <c r="BN324">
        <v>6.5</v>
      </c>
    </row>
    <row r="325" spans="1:66" x14ac:dyDescent="0.3">
      <c r="A325">
        <v>324</v>
      </c>
      <c r="B325" s="2" t="s">
        <v>430</v>
      </c>
      <c r="C325" s="2" t="s">
        <v>448</v>
      </c>
      <c r="D325">
        <v>65.816689466483894</v>
      </c>
      <c r="E325" s="3">
        <v>44290</v>
      </c>
      <c r="F325" s="1">
        <v>41589</v>
      </c>
      <c r="G325" s="1">
        <v>41595.446666666663</v>
      </c>
      <c r="H325" t="s">
        <v>15</v>
      </c>
      <c r="I325" t="s">
        <v>78</v>
      </c>
      <c r="J325" t="s">
        <v>453</v>
      </c>
      <c r="L325">
        <v>50</v>
      </c>
      <c r="M325" t="s">
        <v>15</v>
      </c>
      <c r="N325" t="s">
        <v>15</v>
      </c>
      <c r="O325" t="s">
        <v>25</v>
      </c>
      <c r="P325" t="s">
        <v>75</v>
      </c>
      <c r="Q325" t="s">
        <v>18</v>
      </c>
      <c r="S325" t="s">
        <v>92</v>
      </c>
      <c r="T325" t="s">
        <v>19</v>
      </c>
      <c r="V325" t="s">
        <v>451</v>
      </c>
      <c r="W325" t="s">
        <v>18</v>
      </c>
      <c r="Y325">
        <v>5.0999999046325604</v>
      </c>
      <c r="Z325">
        <v>3.2999999523162802</v>
      </c>
      <c r="AA325">
        <v>1.29999995231628</v>
      </c>
      <c r="AB325">
        <v>1.20000004768371</v>
      </c>
      <c r="AC325">
        <v>255.46240234375</v>
      </c>
      <c r="AD325">
        <v>122</v>
      </c>
      <c r="AE325">
        <v>1</v>
      </c>
      <c r="AG325">
        <v>90.300003051757798</v>
      </c>
      <c r="AH325">
        <v>5.5999999046325604</v>
      </c>
      <c r="AI325">
        <v>4.6999998092651296</v>
      </c>
      <c r="AJ325">
        <v>19.209999084472599</v>
      </c>
      <c r="AK325">
        <v>7.5999999046325604</v>
      </c>
      <c r="AL325">
        <v>7.8000001907348597</v>
      </c>
      <c r="AM325">
        <v>11.579999923706</v>
      </c>
      <c r="AN325" t="s">
        <v>594</v>
      </c>
      <c r="AO325">
        <v>98</v>
      </c>
      <c r="AP325">
        <v>33.910034602076124</v>
      </c>
      <c r="AS325" s="1">
        <v>40231.698635532397</v>
      </c>
      <c r="AT325" s="1"/>
      <c r="AU325" s="1">
        <v>40231.698067627323</v>
      </c>
      <c r="AV325" s="1">
        <v>40231.697874305559</v>
      </c>
      <c r="AW325" s="1"/>
      <c r="AX325" s="1"/>
      <c r="BB325" s="2">
        <v>5</v>
      </c>
      <c r="BC325">
        <f t="shared" si="17"/>
        <v>17.37895494426418</v>
      </c>
      <c r="BD325">
        <v>138</v>
      </c>
      <c r="BE325">
        <v>4.7</v>
      </c>
      <c r="BF325">
        <v>3.3999999999999901</v>
      </c>
      <c r="BG325">
        <v>10.1</v>
      </c>
      <c r="BH325">
        <v>101</v>
      </c>
      <c r="BI325">
        <v>5.8099999999999898</v>
      </c>
      <c r="BJ325">
        <v>8.3000000000000007</v>
      </c>
      <c r="BK325">
        <v>4.5999999999999899</v>
      </c>
      <c r="BL325">
        <v>5</v>
      </c>
      <c r="BM325">
        <v>199.36</v>
      </c>
      <c r="BN325">
        <v>7.2999999999999901</v>
      </c>
    </row>
    <row r="326" spans="1:66" x14ac:dyDescent="0.3">
      <c r="A326">
        <v>325</v>
      </c>
      <c r="B326" s="2" t="s">
        <v>430</v>
      </c>
      <c r="C326" s="2" t="s">
        <v>448</v>
      </c>
      <c r="D326">
        <v>70.024623803009007</v>
      </c>
      <c r="E326" s="3">
        <v>43538.881944444453</v>
      </c>
      <c r="F326" s="1">
        <v>42864</v>
      </c>
      <c r="G326" s="1">
        <v>42860.326597222222</v>
      </c>
      <c r="H326" t="s">
        <v>17</v>
      </c>
      <c r="I326" t="s">
        <v>78</v>
      </c>
      <c r="J326" t="s">
        <v>22</v>
      </c>
      <c r="L326">
        <v>40</v>
      </c>
      <c r="M326" t="s">
        <v>17</v>
      </c>
      <c r="N326" t="s">
        <v>14</v>
      </c>
      <c r="O326" t="s">
        <v>25</v>
      </c>
      <c r="P326" t="s">
        <v>124</v>
      </c>
      <c r="Q326" t="s">
        <v>18</v>
      </c>
      <c r="S326" t="s">
        <v>451</v>
      </c>
      <c r="T326" t="s">
        <v>23</v>
      </c>
      <c r="V326" t="s">
        <v>451</v>
      </c>
      <c r="W326" t="s">
        <v>19</v>
      </c>
      <c r="X326" t="s">
        <v>87</v>
      </c>
      <c r="Y326">
        <v>5.8000001907348597</v>
      </c>
      <c r="Z326">
        <v>4.5700001716613698</v>
      </c>
      <c r="AA326">
        <v>1.40999996662139</v>
      </c>
      <c r="AB326">
        <v>1.29999995231628</v>
      </c>
      <c r="AC326">
        <v>351.02429199218699</v>
      </c>
      <c r="AD326">
        <v>156</v>
      </c>
      <c r="AE326">
        <v>1.5599999427795399</v>
      </c>
      <c r="AF326">
        <v>57</v>
      </c>
      <c r="AG326">
        <v>152.600006103515</v>
      </c>
      <c r="AH326">
        <v>4</v>
      </c>
      <c r="AI326">
        <v>4</v>
      </c>
      <c r="AJ326">
        <v>38.150001525878899</v>
      </c>
      <c r="AK326">
        <v>7</v>
      </c>
      <c r="AL326">
        <v>4</v>
      </c>
      <c r="AM326">
        <v>38.150001525878899</v>
      </c>
      <c r="AN326" t="s">
        <v>595</v>
      </c>
      <c r="AO326">
        <v>108</v>
      </c>
      <c r="AP326">
        <v>36.50621957815035</v>
      </c>
      <c r="AR326" s="1">
        <v>39595</v>
      </c>
      <c r="AS326" s="1">
        <v>40104.881562071758</v>
      </c>
      <c r="AT326" s="1"/>
      <c r="AU326" s="1">
        <v>39536.078078819453</v>
      </c>
      <c r="AV326" s="1">
        <v>39536.071871990738</v>
      </c>
      <c r="AW326" s="1"/>
      <c r="AX326" s="1">
        <v>42858.860750347223</v>
      </c>
      <c r="AZ326">
        <v>142</v>
      </c>
      <c r="BA326">
        <v>79</v>
      </c>
      <c r="BB326" s="2">
        <v>9</v>
      </c>
      <c r="BC326">
        <f t="shared" si="17"/>
        <v>22.428005191343313</v>
      </c>
      <c r="BD326">
        <v>141.5</v>
      </c>
      <c r="BE326">
        <v>4.24</v>
      </c>
      <c r="BF326">
        <v>3.7</v>
      </c>
      <c r="BG326">
        <v>9.6999999999999904</v>
      </c>
      <c r="BH326">
        <v>222</v>
      </c>
      <c r="BI326">
        <v>4.6799999999999899</v>
      </c>
      <c r="BJ326">
        <v>7.9</v>
      </c>
      <c r="BK326">
        <v>6.5999999999999899</v>
      </c>
      <c r="BL326">
        <v>10.4</v>
      </c>
      <c r="BM326">
        <v>95.069999999999894</v>
      </c>
      <c r="BN326">
        <v>7.5</v>
      </c>
    </row>
    <row r="327" spans="1:66" x14ac:dyDescent="0.3">
      <c r="A327">
        <v>326</v>
      </c>
      <c r="B327" s="2" t="s">
        <v>434</v>
      </c>
      <c r="C327" s="2" t="s">
        <v>448</v>
      </c>
      <c r="D327">
        <v>69.3953488372089</v>
      </c>
      <c r="E327" s="3">
        <v>45495.668749999997</v>
      </c>
      <c r="F327" s="1">
        <v>42037</v>
      </c>
      <c r="G327" s="1">
        <v>41771.418611111112</v>
      </c>
      <c r="H327" t="s">
        <v>15</v>
      </c>
      <c r="I327" t="s">
        <v>15</v>
      </c>
      <c r="J327" t="s">
        <v>35</v>
      </c>
      <c r="L327">
        <v>15</v>
      </c>
      <c r="M327" t="s">
        <v>478</v>
      </c>
      <c r="N327" t="s">
        <v>28</v>
      </c>
      <c r="O327" t="s">
        <v>17</v>
      </c>
      <c r="P327" t="s">
        <v>112</v>
      </c>
      <c r="Q327" t="s">
        <v>451</v>
      </c>
      <c r="S327" t="s">
        <v>451</v>
      </c>
      <c r="T327" t="s">
        <v>23</v>
      </c>
      <c r="V327" t="s">
        <v>451</v>
      </c>
      <c r="W327" t="s">
        <v>34</v>
      </c>
      <c r="X327" t="s">
        <v>90</v>
      </c>
      <c r="Y327">
        <v>5.4000000953674299</v>
      </c>
      <c r="Z327">
        <v>4.5999999046325604</v>
      </c>
      <c r="AA327">
        <v>1.1000000238418499</v>
      </c>
      <c r="AB327">
        <v>0.80000001192092796</v>
      </c>
      <c r="AC327">
        <v>193.25209045410099</v>
      </c>
      <c r="AD327">
        <v>116</v>
      </c>
      <c r="AE327">
        <v>2.6199998855590798</v>
      </c>
      <c r="AF327">
        <v>67</v>
      </c>
      <c r="AG327">
        <v>91.300003051757798</v>
      </c>
      <c r="AH327">
        <v>4</v>
      </c>
      <c r="AI327">
        <v>4</v>
      </c>
      <c r="AJ327">
        <v>22.819999694824201</v>
      </c>
      <c r="AK327">
        <v>4</v>
      </c>
      <c r="AL327">
        <v>6</v>
      </c>
      <c r="AM327">
        <v>15.2200002670288</v>
      </c>
      <c r="AN327" t="s">
        <v>596</v>
      </c>
      <c r="AO327">
        <v>67.799999999999898</v>
      </c>
      <c r="AP327">
        <v>25.518461364748354</v>
      </c>
      <c r="AQ327" s="1">
        <v>41271</v>
      </c>
      <c r="AS327" s="1">
        <v>41269.909879664352</v>
      </c>
      <c r="AT327" s="1"/>
      <c r="AU327" s="1">
        <v>41269.909879664352</v>
      </c>
      <c r="AV327" s="1">
        <v>41269.909879664352</v>
      </c>
      <c r="AW327" s="1">
        <v>41271.166330358799</v>
      </c>
      <c r="AX327" s="1"/>
      <c r="BB327" s="2">
        <v>1</v>
      </c>
      <c r="BC327">
        <f t="shared" si="17"/>
        <v>26.917427737501288</v>
      </c>
      <c r="BD327">
        <v>141</v>
      </c>
      <c r="BE327">
        <v>4.7</v>
      </c>
      <c r="BF327">
        <v>3.2</v>
      </c>
      <c r="BH327">
        <v>194</v>
      </c>
      <c r="BI327">
        <v>2.4700000000000002</v>
      </c>
      <c r="BJ327">
        <v>8.4</v>
      </c>
      <c r="BK327">
        <v>3.7</v>
      </c>
      <c r="BL327">
        <v>9.6999999999999904</v>
      </c>
      <c r="BM327">
        <v>5.37</v>
      </c>
      <c r="BN327">
        <v>5.2999999999999901</v>
      </c>
    </row>
    <row r="328" spans="1:66" x14ac:dyDescent="0.3">
      <c r="A328">
        <v>327</v>
      </c>
      <c r="B328" s="2" t="s">
        <v>434</v>
      </c>
      <c r="C328" s="2" t="s">
        <v>448</v>
      </c>
      <c r="D328">
        <v>77.274965800272895</v>
      </c>
      <c r="E328" s="3"/>
      <c r="F328" s="1">
        <v>45219</v>
      </c>
      <c r="G328" s="1">
        <v>45217.484953703701</v>
      </c>
      <c r="H328" t="s">
        <v>15</v>
      </c>
      <c r="I328" t="s">
        <v>90</v>
      </c>
      <c r="J328" t="s">
        <v>15</v>
      </c>
      <c r="L328">
        <v>60</v>
      </c>
      <c r="M328" t="s">
        <v>451</v>
      </c>
      <c r="N328" t="s">
        <v>451</v>
      </c>
      <c r="O328" t="s">
        <v>31</v>
      </c>
      <c r="P328" t="s">
        <v>75</v>
      </c>
      <c r="Q328" t="s">
        <v>451</v>
      </c>
      <c r="S328" t="s">
        <v>504</v>
      </c>
      <c r="T328" t="s">
        <v>451</v>
      </c>
      <c r="V328" t="s">
        <v>159</v>
      </c>
      <c r="W328" t="s">
        <v>19</v>
      </c>
      <c r="X328" t="s">
        <v>87</v>
      </c>
      <c r="Y328">
        <v>4.8000001907348597</v>
      </c>
      <c r="Z328">
        <v>3.5999999046325599</v>
      </c>
      <c r="AA328">
        <v>1.8099999427795399</v>
      </c>
      <c r="AB328">
        <v>1.75999999046325</v>
      </c>
      <c r="AC328">
        <v>396.45248413085898</v>
      </c>
      <c r="AD328">
        <v>180</v>
      </c>
      <c r="AE328">
        <v>1</v>
      </c>
      <c r="AF328">
        <v>59</v>
      </c>
      <c r="AN328" t="s">
        <v>597</v>
      </c>
      <c r="AO328">
        <v>106</v>
      </c>
      <c r="AP328">
        <v>33.455371796490347</v>
      </c>
      <c r="AS328" s="1">
        <v>43442.819376851847</v>
      </c>
      <c r="AT328" s="1">
        <v>43431.492930868058</v>
      </c>
      <c r="AU328" s="1">
        <v>43442.819376851847</v>
      </c>
      <c r="AV328" s="1">
        <v>43442.819376851847</v>
      </c>
      <c r="AW328" s="1">
        <v>43442.819376851847</v>
      </c>
      <c r="AX328" s="1"/>
      <c r="BB328" s="5">
        <v>0</v>
      </c>
      <c r="BC328">
        <f t="shared" si="17"/>
        <v>14.894385361046309</v>
      </c>
      <c r="BD328">
        <v>142</v>
      </c>
      <c r="BE328">
        <v>5</v>
      </c>
      <c r="BF328">
        <v>3.7</v>
      </c>
      <c r="BG328">
        <v>10.5</v>
      </c>
      <c r="BH328">
        <v>149</v>
      </c>
      <c r="BI328">
        <v>6.2</v>
      </c>
      <c r="BJ328">
        <v>9.3000000000000007</v>
      </c>
      <c r="BK328">
        <v>4.7</v>
      </c>
      <c r="BL328">
        <v>8</v>
      </c>
      <c r="BM328">
        <v>1.52</v>
      </c>
      <c r="BN328">
        <v>5.7999999999999901</v>
      </c>
    </row>
    <row r="329" spans="1:66" x14ac:dyDescent="0.3">
      <c r="A329">
        <v>328</v>
      </c>
      <c r="B329" s="2" t="s">
        <v>430</v>
      </c>
      <c r="C329" s="2" t="s">
        <v>449</v>
      </c>
      <c r="D329">
        <v>77.069767441859895</v>
      </c>
      <c r="E329" s="3">
        <v>44324.09375</v>
      </c>
      <c r="F329" s="1">
        <v>44301</v>
      </c>
      <c r="G329" s="1">
        <v>44298.432280092587</v>
      </c>
      <c r="H329" t="s">
        <v>15</v>
      </c>
      <c r="I329" t="s">
        <v>87</v>
      </c>
      <c r="J329" t="s">
        <v>15</v>
      </c>
      <c r="L329">
        <v>60</v>
      </c>
      <c r="M329" t="s">
        <v>451</v>
      </c>
      <c r="N329" t="s">
        <v>451</v>
      </c>
      <c r="O329" t="s">
        <v>31</v>
      </c>
      <c r="P329" t="s">
        <v>75</v>
      </c>
      <c r="Q329" t="s">
        <v>18</v>
      </c>
      <c r="R329" t="s">
        <v>489</v>
      </c>
      <c r="S329" t="s">
        <v>451</v>
      </c>
      <c r="T329" t="s">
        <v>23</v>
      </c>
      <c r="U329" t="s">
        <v>266</v>
      </c>
      <c r="V329" t="s">
        <v>15</v>
      </c>
      <c r="W329" t="s">
        <v>19</v>
      </c>
      <c r="X329" t="s">
        <v>87</v>
      </c>
      <c r="Y329">
        <v>4.88000011444091</v>
      </c>
      <c r="Z329">
        <v>2.70000004768371</v>
      </c>
      <c r="AA329">
        <v>1.5</v>
      </c>
      <c r="AB329">
        <v>1.1000000238418499</v>
      </c>
      <c r="AC329">
        <v>252.10920715332</v>
      </c>
      <c r="AD329">
        <v>133</v>
      </c>
      <c r="AE329">
        <v>1</v>
      </c>
      <c r="AF329">
        <v>46</v>
      </c>
      <c r="AG329">
        <v>181</v>
      </c>
      <c r="AH329">
        <v>4.88000011444091</v>
      </c>
      <c r="AI329">
        <v>5.0300002098083398</v>
      </c>
      <c r="AJ329">
        <v>35.9799995422363</v>
      </c>
      <c r="AK329">
        <v>4.0500001907348597</v>
      </c>
      <c r="AL329">
        <v>4.4299998283386204</v>
      </c>
      <c r="AM329">
        <v>40.860000610351499</v>
      </c>
      <c r="AN329" t="s">
        <v>598</v>
      </c>
      <c r="AO329">
        <v>85</v>
      </c>
      <c r="AP329">
        <v>31.221303948576676</v>
      </c>
      <c r="AS329" s="1">
        <v>42256.568473611107</v>
      </c>
      <c r="AT329" s="1">
        <v>42253.508508333332</v>
      </c>
      <c r="AU329" s="1">
        <v>40184.870357060187</v>
      </c>
      <c r="AV329" s="1">
        <v>40184.870229548607</v>
      </c>
      <c r="AW329" s="1">
        <v>40184.870462118059</v>
      </c>
      <c r="AX329" s="1"/>
      <c r="AY329" t="s">
        <v>21</v>
      </c>
      <c r="AZ329">
        <v>127</v>
      </c>
      <c r="BA329">
        <v>59</v>
      </c>
      <c r="BB329" s="2">
        <v>2</v>
      </c>
      <c r="BC329">
        <f t="shared" si="17"/>
        <v>13.757895492391741</v>
      </c>
      <c r="BD329">
        <v>129</v>
      </c>
      <c r="BE329">
        <v>4.5999999999999899</v>
      </c>
      <c r="BF329">
        <v>3.1</v>
      </c>
      <c r="BG329">
        <v>9.1999999999999904</v>
      </c>
      <c r="BH329">
        <v>194</v>
      </c>
      <c r="BI329">
        <v>5.4</v>
      </c>
      <c r="BJ329">
        <v>9.1999999999999904</v>
      </c>
      <c r="BK329">
        <v>6.5</v>
      </c>
      <c r="BL329">
        <v>13.4</v>
      </c>
      <c r="BM329">
        <v>9</v>
      </c>
      <c r="BN329">
        <v>7.5</v>
      </c>
    </row>
    <row r="330" spans="1:66" x14ac:dyDescent="0.3">
      <c r="A330">
        <v>329</v>
      </c>
      <c r="B330" s="2" t="s">
        <v>434</v>
      </c>
      <c r="C330" s="2" t="s">
        <v>448</v>
      </c>
      <c r="D330">
        <v>80.875512995896003</v>
      </c>
      <c r="E330" s="3">
        <v>45410.193749999999</v>
      </c>
      <c r="F330" s="1">
        <v>44390</v>
      </c>
      <c r="G330" s="1">
        <v>44116.418414351851</v>
      </c>
      <c r="H330" t="s">
        <v>15</v>
      </c>
      <c r="I330" t="s">
        <v>15</v>
      </c>
      <c r="J330" t="s">
        <v>15</v>
      </c>
      <c r="L330">
        <v>60</v>
      </c>
      <c r="M330" t="s">
        <v>79</v>
      </c>
      <c r="N330" t="s">
        <v>28</v>
      </c>
      <c r="O330" t="s">
        <v>17</v>
      </c>
      <c r="P330" t="s">
        <v>112</v>
      </c>
      <c r="S330" t="s">
        <v>451</v>
      </c>
      <c r="T330" t="s">
        <v>34</v>
      </c>
      <c r="V330" t="s">
        <v>451</v>
      </c>
      <c r="W330" t="s">
        <v>34</v>
      </c>
      <c r="X330" t="s">
        <v>90</v>
      </c>
      <c r="Y330">
        <v>5.5</v>
      </c>
      <c r="Z330">
        <v>3.16000008583068</v>
      </c>
      <c r="AA330">
        <v>1.1000000238418499</v>
      </c>
      <c r="AB330">
        <v>0.89999997615814198</v>
      </c>
      <c r="AC330">
        <v>213.17599487304599</v>
      </c>
      <c r="AD330">
        <v>104</v>
      </c>
      <c r="AE330">
        <v>1</v>
      </c>
      <c r="AF330">
        <v>82</v>
      </c>
      <c r="AG330">
        <v>93</v>
      </c>
      <c r="AK330">
        <v>4</v>
      </c>
      <c r="AL330">
        <v>6</v>
      </c>
      <c r="AM330">
        <v>15.5</v>
      </c>
      <c r="AN330" t="s">
        <v>599</v>
      </c>
      <c r="AO330">
        <v>91.549999999999898</v>
      </c>
      <c r="AP330">
        <v>28.89471026385554</v>
      </c>
      <c r="AR330" s="1">
        <v>31413</v>
      </c>
      <c r="AS330" s="1">
        <v>44357.588074502317</v>
      </c>
      <c r="AT330" s="1">
        <v>40902.564362384262</v>
      </c>
      <c r="AU330" s="1">
        <v>40475.415214780092</v>
      </c>
      <c r="AV330" s="1">
        <v>40475.415214780092</v>
      </c>
      <c r="AW330" s="1">
        <v>40475.415214780092</v>
      </c>
      <c r="AX330" s="1">
        <v>43568.378672418978</v>
      </c>
      <c r="BB330" s="5">
        <v>0</v>
      </c>
      <c r="BC330">
        <f t="shared" si="17"/>
        <v>31.855265920584614</v>
      </c>
      <c r="BD330">
        <v>139</v>
      </c>
      <c r="BE330">
        <v>4.4000000000000004</v>
      </c>
      <c r="BF330">
        <v>3.5</v>
      </c>
      <c r="BG330">
        <v>6.5999999999999899</v>
      </c>
      <c r="BH330">
        <v>148</v>
      </c>
      <c r="BI330">
        <v>2.3599999999999901</v>
      </c>
      <c r="BJ330">
        <v>9.6999999999999904</v>
      </c>
      <c r="BK330">
        <v>2.3999999999999901</v>
      </c>
      <c r="BL330">
        <v>9.1999999999999904</v>
      </c>
      <c r="BM330">
        <v>12.1</v>
      </c>
      <c r="BN330">
        <v>7.0999999999999899</v>
      </c>
    </row>
    <row r="331" spans="1:66" x14ac:dyDescent="0.3">
      <c r="A331">
        <v>330</v>
      </c>
      <c r="B331" s="2" t="s">
        <v>430</v>
      </c>
      <c r="C331" s="2" t="s">
        <v>448</v>
      </c>
      <c r="D331">
        <v>71.348837209302005</v>
      </c>
      <c r="E331" s="3">
        <v>44248.749305555553</v>
      </c>
      <c r="F331" s="1">
        <v>44201</v>
      </c>
      <c r="G331" s="1">
        <v>43993.428576388891</v>
      </c>
      <c r="H331" t="s">
        <v>17</v>
      </c>
      <c r="I331" t="s">
        <v>15</v>
      </c>
      <c r="J331" t="s">
        <v>35</v>
      </c>
      <c r="L331">
        <v>25</v>
      </c>
      <c r="M331" t="s">
        <v>15</v>
      </c>
      <c r="N331" t="s">
        <v>28</v>
      </c>
      <c r="O331" t="s">
        <v>17</v>
      </c>
      <c r="P331" t="s">
        <v>451</v>
      </c>
      <c r="Q331" t="s">
        <v>19</v>
      </c>
      <c r="S331" t="s">
        <v>451</v>
      </c>
      <c r="T331" t="s">
        <v>23</v>
      </c>
      <c r="V331" t="s">
        <v>451</v>
      </c>
      <c r="W331" t="s">
        <v>19</v>
      </c>
      <c r="X331" t="s">
        <v>78</v>
      </c>
      <c r="Y331">
        <v>6.0599999427795401</v>
      </c>
      <c r="Z331">
        <v>5.7399997711181596</v>
      </c>
      <c r="AA331">
        <v>0.83999997377395597</v>
      </c>
      <c r="AB331">
        <v>0.77999997138976995</v>
      </c>
      <c r="AC331">
        <v>192.325927734375</v>
      </c>
      <c r="AD331">
        <v>100</v>
      </c>
      <c r="AE331">
        <v>2.5599999427795401</v>
      </c>
      <c r="AF331">
        <v>45</v>
      </c>
      <c r="AG331">
        <v>104</v>
      </c>
      <c r="AH331">
        <v>4.7899999618530202</v>
      </c>
      <c r="AI331">
        <v>4.9000000953674299</v>
      </c>
      <c r="AJ331">
        <v>21.2199993133544</v>
      </c>
      <c r="AK331">
        <v>4.46000003814697</v>
      </c>
      <c r="AL331">
        <v>5.5500001907348597</v>
      </c>
      <c r="AM331">
        <v>18.7399997711181</v>
      </c>
      <c r="AN331" t="s">
        <v>600</v>
      </c>
      <c r="AO331">
        <v>71</v>
      </c>
      <c r="AP331">
        <v>23.183673469387756</v>
      </c>
      <c r="AQ331" s="1">
        <v>38353</v>
      </c>
      <c r="AS331" s="1">
        <v>40767.685286342603</v>
      </c>
      <c r="AT331" s="1"/>
      <c r="AU331" s="1"/>
      <c r="AV331" s="1">
        <v>43187.585687233797</v>
      </c>
      <c r="AW331" s="1"/>
      <c r="AX331" s="1"/>
      <c r="AY331" t="s">
        <v>21</v>
      </c>
      <c r="AZ331">
        <v>96</v>
      </c>
      <c r="BA331">
        <v>65</v>
      </c>
      <c r="BB331" s="2">
        <v>4</v>
      </c>
      <c r="BC331">
        <f t="shared" si="17"/>
        <v>8.954718838439824</v>
      </c>
      <c r="BD331">
        <v>132</v>
      </c>
      <c r="BE331">
        <v>4.5999999999999899</v>
      </c>
      <c r="BF331">
        <v>2.6</v>
      </c>
      <c r="BG331">
        <v>8.6999999999999904</v>
      </c>
      <c r="BH331">
        <v>214</v>
      </c>
      <c r="BI331">
        <v>7.5599999999999898</v>
      </c>
      <c r="BJ331">
        <v>8.5</v>
      </c>
      <c r="BK331">
        <v>6.5999999999999899</v>
      </c>
      <c r="BL331">
        <v>13.6</v>
      </c>
      <c r="BM331">
        <v>148.77000000000001</v>
      </c>
      <c r="BN331">
        <v>9.4</v>
      </c>
    </row>
    <row r="332" spans="1:66" x14ac:dyDescent="0.3">
      <c r="A332">
        <v>331</v>
      </c>
      <c r="B332" s="2" t="s">
        <v>434</v>
      </c>
      <c r="C332" s="2" t="s">
        <v>448</v>
      </c>
      <c r="D332">
        <v>84.916552667578003</v>
      </c>
      <c r="E332" s="3">
        <v>42985.351388888892</v>
      </c>
      <c r="F332" s="1">
        <v>42923</v>
      </c>
      <c r="G332" s="1">
        <v>42747.345451388886</v>
      </c>
      <c r="H332" t="s">
        <v>15</v>
      </c>
      <c r="I332" t="s">
        <v>15</v>
      </c>
      <c r="J332" t="s">
        <v>14</v>
      </c>
      <c r="L332">
        <v>45</v>
      </c>
      <c r="M332" t="s">
        <v>79</v>
      </c>
      <c r="N332" t="s">
        <v>35</v>
      </c>
      <c r="O332" t="s">
        <v>25</v>
      </c>
      <c r="P332" t="s">
        <v>75</v>
      </c>
      <c r="Q332" t="s">
        <v>19</v>
      </c>
      <c r="R332" t="s">
        <v>76</v>
      </c>
      <c r="S332" t="s">
        <v>92</v>
      </c>
      <c r="T332" t="s">
        <v>26</v>
      </c>
      <c r="V332" t="s">
        <v>451</v>
      </c>
      <c r="W332" t="s">
        <v>34</v>
      </c>
      <c r="X332" t="s">
        <v>87</v>
      </c>
      <c r="Y332">
        <v>5.3600001335143999</v>
      </c>
      <c r="Z332">
        <v>3.91000008583068</v>
      </c>
      <c r="AA332">
        <v>1.0900000333786</v>
      </c>
      <c r="AB332">
        <v>1.0700000524520801</v>
      </c>
      <c r="AC332">
        <v>226.29527282714801</v>
      </c>
      <c r="AD332">
        <v>105</v>
      </c>
      <c r="AE332">
        <v>1.3099999427795399</v>
      </c>
      <c r="AF332">
        <v>54</v>
      </c>
      <c r="AG332">
        <v>147</v>
      </c>
      <c r="AH332">
        <v>3.2200000286102202</v>
      </c>
      <c r="AI332">
        <v>5.3600001335143999</v>
      </c>
      <c r="AJ332">
        <v>27.4300003051757</v>
      </c>
      <c r="AK332">
        <v>5.9499998092651296</v>
      </c>
      <c r="AL332">
        <v>17.100000381469702</v>
      </c>
      <c r="AM332">
        <v>8.6000003814697195</v>
      </c>
      <c r="AN332" t="s">
        <v>601</v>
      </c>
      <c r="AO332">
        <v>91.9</v>
      </c>
      <c r="AQ332" s="1">
        <v>42984</v>
      </c>
      <c r="AR332" s="1">
        <v>35431</v>
      </c>
      <c r="AS332" s="1">
        <v>42746.60443579861</v>
      </c>
      <c r="AT332" s="1">
        <v>42740.618224537036</v>
      </c>
      <c r="AU332" s="1">
        <v>42740.618224537036</v>
      </c>
      <c r="AV332" s="1">
        <v>42740.618224537036</v>
      </c>
      <c r="AW332" s="1">
        <v>42740.618224537036</v>
      </c>
      <c r="AX332" s="1"/>
      <c r="AZ332">
        <v>116</v>
      </c>
      <c r="BA332">
        <v>75</v>
      </c>
      <c r="BB332" s="2">
        <v>1</v>
      </c>
      <c r="BC332">
        <f t="shared" si="17"/>
        <v>45.952875906405062</v>
      </c>
      <c r="BD332">
        <v>127.9</v>
      </c>
      <c r="BE332">
        <v>2.56</v>
      </c>
      <c r="BF332">
        <v>1.7</v>
      </c>
      <c r="BG332">
        <v>8.8000000000000007</v>
      </c>
      <c r="BH332">
        <v>222</v>
      </c>
      <c r="BI332">
        <v>1.53</v>
      </c>
      <c r="BJ332">
        <v>6.0999999999999899</v>
      </c>
      <c r="BK332">
        <v>3.1</v>
      </c>
      <c r="BL332">
        <v>7.5</v>
      </c>
      <c r="BM332">
        <v>35.439999999999898</v>
      </c>
      <c r="BN332">
        <v>6.4</v>
      </c>
    </row>
    <row r="333" spans="1:66" x14ac:dyDescent="0.3">
      <c r="A333">
        <v>332</v>
      </c>
      <c r="B333" s="2" t="s">
        <v>430</v>
      </c>
      <c r="C333" s="2" t="s">
        <v>448</v>
      </c>
      <c r="D333">
        <v>82.612859097127</v>
      </c>
      <c r="E333" s="3">
        <v>42697.855555555558</v>
      </c>
      <c r="F333" s="1">
        <v>42134</v>
      </c>
      <c r="G333" s="1">
        <v>42150.443888888891</v>
      </c>
      <c r="H333" t="s">
        <v>25</v>
      </c>
      <c r="I333" t="s">
        <v>87</v>
      </c>
      <c r="J333" t="s">
        <v>35</v>
      </c>
      <c r="L333">
        <v>25</v>
      </c>
      <c r="M333" t="s">
        <v>79</v>
      </c>
      <c r="N333" t="s">
        <v>35</v>
      </c>
      <c r="O333" t="s">
        <v>17</v>
      </c>
      <c r="P333" t="s">
        <v>75</v>
      </c>
      <c r="Q333" t="s">
        <v>19</v>
      </c>
      <c r="S333" t="s">
        <v>451</v>
      </c>
      <c r="T333" t="s">
        <v>23</v>
      </c>
      <c r="V333" t="s">
        <v>451</v>
      </c>
      <c r="W333" t="s">
        <v>19</v>
      </c>
      <c r="X333" t="s">
        <v>87</v>
      </c>
      <c r="Y333">
        <v>6</v>
      </c>
      <c r="Z333">
        <v>5.1999998092651296</v>
      </c>
      <c r="AA333">
        <v>1.5</v>
      </c>
      <c r="AB333">
        <v>0.80000001192092796</v>
      </c>
      <c r="AC333">
        <v>296.61477661132801</v>
      </c>
      <c r="AD333">
        <v>159</v>
      </c>
      <c r="AE333">
        <v>2.6900000572204501</v>
      </c>
      <c r="AF333">
        <v>52</v>
      </c>
      <c r="AG333">
        <v>55.200000762939403</v>
      </c>
      <c r="AH333">
        <v>5</v>
      </c>
      <c r="AI333">
        <v>7</v>
      </c>
      <c r="AJ333">
        <v>7.8899998664855904</v>
      </c>
      <c r="AK333">
        <v>5</v>
      </c>
      <c r="AL333">
        <v>8</v>
      </c>
      <c r="AM333">
        <v>6.9000000953674299</v>
      </c>
      <c r="AN333" t="s">
        <v>602</v>
      </c>
      <c r="AO333">
        <v>68</v>
      </c>
      <c r="AP333">
        <v>24.09297052154195</v>
      </c>
      <c r="AS333" s="1">
        <v>42095.152986574067</v>
      </c>
      <c r="AT333" s="1"/>
      <c r="AU333" s="1">
        <v>42095.152986574067</v>
      </c>
      <c r="AV333" s="1"/>
      <c r="AW333" s="1"/>
      <c r="AX333" s="1"/>
      <c r="AZ333">
        <v>168</v>
      </c>
      <c r="BA333">
        <v>67</v>
      </c>
      <c r="BB333" s="2">
        <v>1</v>
      </c>
      <c r="BC333">
        <f t="shared" si="17"/>
        <v>9.3446493807360405</v>
      </c>
      <c r="BD333">
        <v>148</v>
      </c>
      <c r="BE333">
        <v>4.2999999999999901</v>
      </c>
      <c r="BF333">
        <v>2.1</v>
      </c>
      <c r="BG333">
        <v>9.6999999999999904</v>
      </c>
      <c r="BH333">
        <v>283</v>
      </c>
      <c r="BI333">
        <v>5.7999999999999901</v>
      </c>
      <c r="BJ333">
        <v>7.9</v>
      </c>
      <c r="BK333">
        <v>7.7999999999999901</v>
      </c>
      <c r="BL333">
        <v>10.8</v>
      </c>
      <c r="BM333">
        <v>361.44</v>
      </c>
      <c r="BN333">
        <v>6</v>
      </c>
    </row>
    <row r="334" spans="1:66" x14ac:dyDescent="0.3">
      <c r="A334">
        <v>333</v>
      </c>
      <c r="B334" s="2" t="s">
        <v>430</v>
      </c>
      <c r="C334" s="2" t="s">
        <v>449</v>
      </c>
      <c r="D334">
        <v>69.712722298220896</v>
      </c>
      <c r="E334" s="3">
        <v>43718.661805555559</v>
      </c>
      <c r="F334" s="1">
        <v>43577</v>
      </c>
      <c r="G334" s="1">
        <v>43475.551793981482</v>
      </c>
      <c r="H334" t="s">
        <v>15</v>
      </c>
      <c r="I334" t="s">
        <v>87</v>
      </c>
      <c r="J334" t="s">
        <v>15</v>
      </c>
      <c r="L334">
        <v>65</v>
      </c>
      <c r="M334" t="s">
        <v>15</v>
      </c>
      <c r="N334" t="s">
        <v>15</v>
      </c>
      <c r="O334" t="s">
        <v>17</v>
      </c>
      <c r="P334" t="s">
        <v>75</v>
      </c>
      <c r="Q334" t="s">
        <v>23</v>
      </c>
      <c r="S334" t="s">
        <v>75</v>
      </c>
      <c r="T334" t="s">
        <v>29</v>
      </c>
      <c r="U334" t="s">
        <v>147</v>
      </c>
      <c r="V334" t="s">
        <v>451</v>
      </c>
      <c r="W334" t="s">
        <v>19</v>
      </c>
      <c r="X334" t="s">
        <v>90</v>
      </c>
      <c r="Y334">
        <v>4.1999998092651296</v>
      </c>
      <c r="Z334">
        <v>2.7999999523162802</v>
      </c>
      <c r="AA334">
        <v>1.6000000238418499</v>
      </c>
      <c r="AB334">
        <v>1.29999995231628</v>
      </c>
      <c r="AC334">
        <v>236.74073791503901</v>
      </c>
      <c r="AD334">
        <v>149</v>
      </c>
      <c r="AE334">
        <v>1</v>
      </c>
      <c r="AF334">
        <v>61</v>
      </c>
      <c r="AG334">
        <v>200</v>
      </c>
      <c r="AH334">
        <v>5.5</v>
      </c>
      <c r="AI334">
        <v>3.5</v>
      </c>
      <c r="AJ334">
        <v>57.139999389648402</v>
      </c>
      <c r="AK334">
        <v>6.5999999046325604</v>
      </c>
      <c r="AL334">
        <v>8.8999996185302699</v>
      </c>
      <c r="AM334">
        <v>22.4699993133544</v>
      </c>
      <c r="AN334" t="s">
        <v>603</v>
      </c>
      <c r="AO334">
        <v>50</v>
      </c>
      <c r="AP334">
        <v>23.138507103521682</v>
      </c>
      <c r="AS334" s="1">
        <v>42862.497753738433</v>
      </c>
      <c r="AT334" s="1"/>
      <c r="AU334" s="1">
        <v>40636.495338854169</v>
      </c>
      <c r="AV334" s="1">
        <v>40636.495338854169</v>
      </c>
      <c r="AW334" s="1">
        <v>42708.446202974526</v>
      </c>
      <c r="AX334" s="1"/>
      <c r="AZ334">
        <v>125</v>
      </c>
      <c r="BA334">
        <v>41</v>
      </c>
      <c r="BB334" s="2">
        <v>3</v>
      </c>
      <c r="BC334">
        <f t="shared" si="17"/>
        <v>12.645235625679923</v>
      </c>
      <c r="BD334">
        <v>136</v>
      </c>
      <c r="BE334">
        <v>3.8999999999999901</v>
      </c>
      <c r="BF334">
        <v>2.7999999999999901</v>
      </c>
      <c r="BG334">
        <v>5.9</v>
      </c>
      <c r="BH334">
        <v>324</v>
      </c>
      <c r="BI334">
        <v>3.8599999999999901</v>
      </c>
      <c r="BJ334">
        <v>7.9</v>
      </c>
      <c r="BK334">
        <v>10.1</v>
      </c>
      <c r="BL334">
        <v>14</v>
      </c>
      <c r="BM334">
        <v>62.939999999999898</v>
      </c>
      <c r="BN334">
        <v>5.7999999999999901</v>
      </c>
    </row>
    <row r="335" spans="1:66" x14ac:dyDescent="0.3">
      <c r="A335">
        <v>334</v>
      </c>
      <c r="B335" s="2" t="s">
        <v>430</v>
      </c>
      <c r="C335" s="2" t="s">
        <v>448</v>
      </c>
      <c r="D335">
        <v>82.060191518466993</v>
      </c>
      <c r="E335" s="3">
        <v>44830.777777777781</v>
      </c>
      <c r="F335" s="1">
        <v>44033</v>
      </c>
      <c r="G335" s="1">
        <v>43682.736458333333</v>
      </c>
      <c r="H335" t="s">
        <v>17</v>
      </c>
      <c r="I335" t="s">
        <v>15</v>
      </c>
      <c r="J335" t="s">
        <v>453</v>
      </c>
      <c r="L335">
        <v>55</v>
      </c>
      <c r="M335" t="s">
        <v>451</v>
      </c>
      <c r="N335" t="s">
        <v>451</v>
      </c>
      <c r="O335" t="s">
        <v>25</v>
      </c>
      <c r="P335" t="s">
        <v>75</v>
      </c>
      <c r="Q335" t="s">
        <v>451</v>
      </c>
      <c r="S335" t="s">
        <v>451</v>
      </c>
      <c r="T335" t="s">
        <v>34</v>
      </c>
      <c r="U335" t="s">
        <v>96</v>
      </c>
      <c r="V335" t="s">
        <v>451</v>
      </c>
      <c r="W335" t="s">
        <v>23</v>
      </c>
      <c r="X335" t="s">
        <v>90</v>
      </c>
      <c r="Y335">
        <v>5.9400000572204501</v>
      </c>
      <c r="Z335">
        <v>5.0399999618530202</v>
      </c>
      <c r="AA335">
        <v>1.08000004291534</v>
      </c>
      <c r="AB335">
        <v>0.93000000715255704</v>
      </c>
      <c r="AC335">
        <v>244.27224731445301</v>
      </c>
      <c r="AD335">
        <v>141</v>
      </c>
      <c r="AE335">
        <v>1.4400000572204501</v>
      </c>
      <c r="AF335">
        <v>76</v>
      </c>
      <c r="AG335">
        <v>153</v>
      </c>
      <c r="AH335">
        <v>5.46000003814697</v>
      </c>
      <c r="AI335">
        <v>4.0500001907348597</v>
      </c>
      <c r="AJ335">
        <v>37.779998779296797</v>
      </c>
      <c r="AK335">
        <v>6.4099998474120996</v>
      </c>
      <c r="AL335">
        <v>8.7200002670287997</v>
      </c>
      <c r="AM335">
        <v>17.549999237060501</v>
      </c>
      <c r="AN335" t="s">
        <v>604</v>
      </c>
      <c r="AO335">
        <v>62.399999999999899</v>
      </c>
      <c r="AP335">
        <v>22.920110192837431</v>
      </c>
      <c r="AQ335" s="1">
        <v>39990</v>
      </c>
      <c r="AR335" s="1">
        <v>44600</v>
      </c>
      <c r="AS335" s="1">
        <v>39990.213091469908</v>
      </c>
      <c r="AT335" s="1">
        <v>41814.735835613428</v>
      </c>
      <c r="AU335" s="1">
        <v>39990.212659409721</v>
      </c>
      <c r="AV335" s="1">
        <v>39990.212534953702</v>
      </c>
      <c r="AW335" s="1"/>
      <c r="AX335" s="1"/>
      <c r="AZ335">
        <v>109</v>
      </c>
      <c r="BA335">
        <v>54</v>
      </c>
      <c r="BB335" s="2">
        <v>4</v>
      </c>
      <c r="BC335">
        <f t="shared" si="17"/>
        <v>12.217640069098586</v>
      </c>
      <c r="BD335">
        <v>137</v>
      </c>
      <c r="BE335">
        <v>3.6</v>
      </c>
      <c r="BF335">
        <v>3.2999999999999901</v>
      </c>
      <c r="BG335">
        <v>8</v>
      </c>
      <c r="BH335">
        <v>262</v>
      </c>
      <c r="BI335">
        <v>4.1100000000000003</v>
      </c>
      <c r="BJ335">
        <v>9</v>
      </c>
      <c r="BK335">
        <v>4.5</v>
      </c>
      <c r="BL335">
        <v>8.4</v>
      </c>
      <c r="BM335">
        <v>13.05</v>
      </c>
      <c r="BN335">
        <v>5.7999999999999901</v>
      </c>
    </row>
    <row r="336" spans="1:66" x14ac:dyDescent="0.3">
      <c r="A336">
        <v>335</v>
      </c>
      <c r="B336" s="2" t="s">
        <v>430</v>
      </c>
      <c r="C336" s="2" t="s">
        <v>448</v>
      </c>
      <c r="D336">
        <v>66.971272229822006</v>
      </c>
      <c r="E336" s="3">
        <v>44135</v>
      </c>
      <c r="F336" s="1">
        <v>42578</v>
      </c>
      <c r="G336" s="1">
        <v>42373.46738425926</v>
      </c>
      <c r="H336" t="s">
        <v>15</v>
      </c>
      <c r="I336" t="s">
        <v>451</v>
      </c>
      <c r="J336" t="s">
        <v>15</v>
      </c>
      <c r="K336" t="s">
        <v>460</v>
      </c>
      <c r="L336">
        <v>60</v>
      </c>
      <c r="M336" t="s">
        <v>451</v>
      </c>
      <c r="N336" t="s">
        <v>451</v>
      </c>
      <c r="O336" t="s">
        <v>17</v>
      </c>
      <c r="P336" t="s">
        <v>75</v>
      </c>
      <c r="Q336" t="s">
        <v>18</v>
      </c>
      <c r="S336" t="s">
        <v>451</v>
      </c>
      <c r="T336" t="s">
        <v>19</v>
      </c>
      <c r="V336" t="s">
        <v>451</v>
      </c>
      <c r="W336" t="s">
        <v>19</v>
      </c>
      <c r="X336" t="s">
        <v>87</v>
      </c>
      <c r="Y336">
        <v>5.0700001716613698</v>
      </c>
      <c r="Z336">
        <v>2.9300000667571999</v>
      </c>
      <c r="AA336">
        <v>1.29999995231628</v>
      </c>
      <c r="AB336">
        <v>0.80000001192092796</v>
      </c>
      <c r="AC336">
        <v>198.84727478027301</v>
      </c>
      <c r="AD336">
        <v>96</v>
      </c>
      <c r="AE336">
        <v>1</v>
      </c>
      <c r="AF336">
        <v>49</v>
      </c>
      <c r="AG336">
        <v>115</v>
      </c>
      <c r="AH336">
        <v>7.6999998092651296</v>
      </c>
      <c r="AI336">
        <v>6.5700001716613698</v>
      </c>
      <c r="AJ336">
        <v>17.5</v>
      </c>
      <c r="AK336">
        <v>7.0399999618530202</v>
      </c>
      <c r="AL336">
        <v>7.42000007629394</v>
      </c>
      <c r="AM336">
        <v>15.5</v>
      </c>
      <c r="AN336" t="s">
        <v>605</v>
      </c>
      <c r="AO336">
        <v>88</v>
      </c>
      <c r="AP336">
        <v>27.160493827160494</v>
      </c>
      <c r="AS336" s="1">
        <v>42054.410885914353</v>
      </c>
      <c r="AT336" s="1">
        <v>42054.023946956018</v>
      </c>
      <c r="AU336" s="1">
        <v>42516.001884837962</v>
      </c>
      <c r="AV336" s="1">
        <v>41583.532105868057</v>
      </c>
      <c r="AW336" s="1"/>
      <c r="AX336" s="1"/>
      <c r="AZ336">
        <v>146</v>
      </c>
      <c r="BA336">
        <v>82</v>
      </c>
      <c r="BB336" s="5">
        <v>0</v>
      </c>
      <c r="BC336">
        <f t="shared" si="17"/>
        <v>11.980850193466935</v>
      </c>
      <c r="BD336">
        <v>140</v>
      </c>
      <c r="BE336">
        <v>4.9000000000000004</v>
      </c>
      <c r="BF336">
        <v>2.7999999999999901</v>
      </c>
      <c r="BG336">
        <v>9.5</v>
      </c>
      <c r="BH336">
        <v>147</v>
      </c>
      <c r="BI336">
        <v>7.45</v>
      </c>
      <c r="BJ336">
        <v>7.4</v>
      </c>
      <c r="BK336">
        <v>5.7</v>
      </c>
      <c r="BL336">
        <v>8.5999999999999908</v>
      </c>
      <c r="BM336">
        <v>58.84</v>
      </c>
      <c r="BN336">
        <v>4</v>
      </c>
    </row>
    <row r="337" spans="1:66" x14ac:dyDescent="0.3">
      <c r="A337">
        <v>336</v>
      </c>
      <c r="B337" s="2" t="s">
        <v>430</v>
      </c>
      <c r="C337" s="2" t="s">
        <v>448</v>
      </c>
      <c r="D337">
        <v>79.206566347469007</v>
      </c>
      <c r="E337" s="3"/>
      <c r="F337" s="1">
        <v>45753</v>
      </c>
      <c r="G337" s="1">
        <v>45683.342013888891</v>
      </c>
      <c r="H337" t="s">
        <v>451</v>
      </c>
      <c r="I337" t="s">
        <v>451</v>
      </c>
      <c r="J337" t="s">
        <v>451</v>
      </c>
      <c r="K337" t="s">
        <v>461</v>
      </c>
      <c r="L337">
        <v>50</v>
      </c>
      <c r="M337" t="s">
        <v>451</v>
      </c>
      <c r="N337" t="s">
        <v>451</v>
      </c>
      <c r="O337" t="s">
        <v>451</v>
      </c>
      <c r="P337" t="s">
        <v>451</v>
      </c>
      <c r="Q337" t="s">
        <v>451</v>
      </c>
      <c r="R337" t="s">
        <v>490</v>
      </c>
      <c r="S337" t="s">
        <v>75</v>
      </c>
      <c r="T337" t="s">
        <v>451</v>
      </c>
      <c r="U337" t="s">
        <v>513</v>
      </c>
      <c r="V337" t="s">
        <v>451</v>
      </c>
      <c r="W337" t="s">
        <v>26</v>
      </c>
      <c r="X337" t="s">
        <v>87</v>
      </c>
      <c r="Y337">
        <v>4.9000000953674299</v>
      </c>
      <c r="Z337">
        <v>3.5</v>
      </c>
      <c r="AA337">
        <v>0.89999997615814198</v>
      </c>
      <c r="AB337">
        <v>0.89999997615814198</v>
      </c>
      <c r="AC337">
        <v>152.95085144042901</v>
      </c>
      <c r="AD337">
        <v>87</v>
      </c>
      <c r="AE337">
        <v>1</v>
      </c>
      <c r="AF337">
        <v>47</v>
      </c>
      <c r="AG337">
        <v>152</v>
      </c>
      <c r="AI337">
        <v>4.7899999618530202</v>
      </c>
      <c r="AJ337">
        <v>31.7299995422363</v>
      </c>
      <c r="AK337">
        <v>6.7399997711181596</v>
      </c>
      <c r="AL337">
        <v>8.0500001907348597</v>
      </c>
      <c r="AM337">
        <v>18.879999160766602</v>
      </c>
      <c r="AN337" t="s">
        <v>606</v>
      </c>
      <c r="AO337">
        <v>65</v>
      </c>
      <c r="AP337">
        <v>24.16716240333135</v>
      </c>
      <c r="AS337" s="1"/>
      <c r="AT337" s="1">
        <v>43870.955643981477</v>
      </c>
      <c r="AU337" s="1"/>
      <c r="AV337" s="1"/>
      <c r="AW337" s="1">
        <v>43872.51036871528</v>
      </c>
      <c r="AX337" s="1"/>
      <c r="AY337" t="s">
        <v>21</v>
      </c>
      <c r="BA337">
        <v>56</v>
      </c>
      <c r="BB337" s="5">
        <v>0</v>
      </c>
      <c r="BC337">
        <f t="shared" si="17"/>
        <v>6.9914599918869778</v>
      </c>
      <c r="BD337">
        <v>133</v>
      </c>
      <c r="BE337">
        <v>4.5</v>
      </c>
      <c r="BF337">
        <v>3.7999999999999901</v>
      </c>
      <c r="BG337">
        <v>11.6</v>
      </c>
      <c r="BH337">
        <v>236</v>
      </c>
      <c r="BI337">
        <v>7.8499999999999899</v>
      </c>
      <c r="BJ337">
        <v>8.8000000000000007</v>
      </c>
      <c r="BK337">
        <v>5.7</v>
      </c>
      <c r="BL337">
        <v>5.7999999999999901</v>
      </c>
      <c r="BM337">
        <v>14.13</v>
      </c>
    </row>
    <row r="338" spans="1:66" x14ac:dyDescent="0.3">
      <c r="A338">
        <v>337</v>
      </c>
      <c r="B338" s="2" t="s">
        <v>430</v>
      </c>
      <c r="C338" s="2" t="s">
        <v>448</v>
      </c>
      <c r="D338">
        <v>72.270861833105002</v>
      </c>
      <c r="E338" s="3"/>
      <c r="F338" s="1">
        <v>44521</v>
      </c>
      <c r="G338" s="1">
        <v>44508.42931712963</v>
      </c>
      <c r="H338" t="s">
        <v>15</v>
      </c>
      <c r="I338" t="s">
        <v>133</v>
      </c>
      <c r="J338" t="s">
        <v>37</v>
      </c>
      <c r="K338" t="s">
        <v>462</v>
      </c>
      <c r="L338">
        <v>69</v>
      </c>
      <c r="M338" t="s">
        <v>451</v>
      </c>
      <c r="N338" t="s">
        <v>451</v>
      </c>
      <c r="O338" t="s">
        <v>17</v>
      </c>
      <c r="P338" t="s">
        <v>75</v>
      </c>
      <c r="S338" t="s">
        <v>451</v>
      </c>
      <c r="T338" t="s">
        <v>19</v>
      </c>
      <c r="V338" t="s">
        <v>451</v>
      </c>
      <c r="W338" t="s">
        <v>26</v>
      </c>
      <c r="X338" t="s">
        <v>90</v>
      </c>
      <c r="Y338">
        <v>4.9000000953674299</v>
      </c>
      <c r="Z338">
        <v>3.5</v>
      </c>
      <c r="AA338">
        <v>1.5</v>
      </c>
      <c r="AB338">
        <v>1</v>
      </c>
      <c r="AC338">
        <v>239.86239624023401</v>
      </c>
      <c r="AD338">
        <v>113</v>
      </c>
      <c r="AE338">
        <v>1</v>
      </c>
      <c r="AF338">
        <v>76</v>
      </c>
      <c r="AG338">
        <v>102</v>
      </c>
      <c r="AN338" t="s">
        <v>607</v>
      </c>
      <c r="AO338">
        <v>110</v>
      </c>
      <c r="AP338">
        <v>42.96875</v>
      </c>
      <c r="AS338" s="1"/>
      <c r="AT338" s="1"/>
      <c r="AU338" s="1"/>
      <c r="AV338" s="1">
        <v>44493.269755092602</v>
      </c>
      <c r="AW338" s="1"/>
      <c r="AX338" s="1"/>
      <c r="BB338" s="2">
        <v>5</v>
      </c>
      <c r="BC338">
        <f t="shared" si="17"/>
        <v>14.635795219154584</v>
      </c>
      <c r="BD338">
        <v>132</v>
      </c>
      <c r="BE338">
        <v>4.5999999999999899</v>
      </c>
      <c r="BF338">
        <v>2.8999999999999901</v>
      </c>
      <c r="BG338">
        <v>10.1</v>
      </c>
      <c r="BH338">
        <v>415</v>
      </c>
      <c r="BI338">
        <v>7.07</v>
      </c>
      <c r="BJ338">
        <v>9.1999999999999904</v>
      </c>
      <c r="BK338">
        <v>10.6</v>
      </c>
      <c r="BL338">
        <v>12.4</v>
      </c>
      <c r="BM338">
        <v>37.53</v>
      </c>
      <c r="BN338">
        <v>6.0999999999999899</v>
      </c>
    </row>
    <row r="339" spans="1:66" x14ac:dyDescent="0.3">
      <c r="A339">
        <v>338</v>
      </c>
      <c r="B339" s="2" t="s">
        <v>430</v>
      </c>
      <c r="C339" s="2" t="s">
        <v>448</v>
      </c>
      <c r="D339">
        <v>72.014804681561898</v>
      </c>
      <c r="E339" s="3">
        <v>41124</v>
      </c>
      <c r="F339" s="1">
        <v>40938.411111111112</v>
      </c>
      <c r="G339" s="1">
        <v>40610.351956018523</v>
      </c>
      <c r="H339" t="s">
        <v>15</v>
      </c>
      <c r="I339" t="s">
        <v>78</v>
      </c>
      <c r="J339" t="s">
        <v>14</v>
      </c>
      <c r="L339">
        <v>55</v>
      </c>
      <c r="M339" t="s">
        <v>15</v>
      </c>
      <c r="N339" t="s">
        <v>15</v>
      </c>
      <c r="O339" t="s">
        <v>17</v>
      </c>
      <c r="P339" t="s">
        <v>124</v>
      </c>
      <c r="Q339" t="s">
        <v>451</v>
      </c>
      <c r="R339" t="s">
        <v>482</v>
      </c>
      <c r="S339" t="s">
        <v>451</v>
      </c>
      <c r="T339" t="s">
        <v>18</v>
      </c>
      <c r="U339" t="s">
        <v>96</v>
      </c>
      <c r="V339" t="s">
        <v>451</v>
      </c>
      <c r="W339" t="s">
        <v>23</v>
      </c>
      <c r="X339" t="s">
        <v>87</v>
      </c>
      <c r="Y339">
        <v>4.5</v>
      </c>
      <c r="Z339">
        <v>2.5999999046325599</v>
      </c>
      <c r="AA339">
        <v>1.3999999761581401</v>
      </c>
      <c r="AB339">
        <v>1.29999995231628</v>
      </c>
      <c r="AC339">
        <v>235.32633972167901</v>
      </c>
      <c r="AD339">
        <v>134</v>
      </c>
      <c r="AE339">
        <v>1</v>
      </c>
      <c r="AF339">
        <v>57</v>
      </c>
      <c r="AG339">
        <v>126</v>
      </c>
      <c r="AN339" t="s">
        <v>608</v>
      </c>
      <c r="AO339">
        <v>63.7</v>
      </c>
      <c r="AP339">
        <v>23.397612488521581</v>
      </c>
      <c r="AR339" s="1">
        <v>40671</v>
      </c>
      <c r="AS339" s="1">
        <v>40671.579982060182</v>
      </c>
      <c r="AT339" s="1"/>
      <c r="AU339" s="1"/>
      <c r="AV339" s="1"/>
      <c r="AW339" s="1"/>
      <c r="AX339" s="1"/>
      <c r="AZ339">
        <v>143</v>
      </c>
      <c r="BA339">
        <v>59</v>
      </c>
      <c r="BB339" s="2">
        <v>4</v>
      </c>
      <c r="BC339">
        <f t="shared" si="17"/>
        <v>17.535863871819352</v>
      </c>
      <c r="BD339">
        <v>131</v>
      </c>
      <c r="BE339">
        <v>4.2999999999999901</v>
      </c>
      <c r="BF339">
        <v>3.2999999999999901</v>
      </c>
      <c r="BG339">
        <v>8.1999999999999904</v>
      </c>
      <c r="BH339">
        <v>204</v>
      </c>
      <c r="BI339">
        <v>3.43</v>
      </c>
      <c r="BJ339">
        <v>7.7999999999999901</v>
      </c>
      <c r="BK339">
        <v>5.0999999999999899</v>
      </c>
      <c r="BL339">
        <v>7.2</v>
      </c>
      <c r="BM339">
        <v>19.489999999999899</v>
      </c>
      <c r="BN339">
        <v>6.2999999999999901</v>
      </c>
    </row>
    <row r="340" spans="1:66" x14ac:dyDescent="0.3">
      <c r="A340">
        <v>339</v>
      </c>
      <c r="B340" s="2" t="s">
        <v>430</v>
      </c>
      <c r="C340" s="2" t="s">
        <v>449</v>
      </c>
      <c r="D340">
        <v>87.305061559506996</v>
      </c>
      <c r="E340" s="3">
        <v>42490.201388888891</v>
      </c>
      <c r="F340" s="1">
        <v>42471</v>
      </c>
      <c r="G340" s="1">
        <v>42309.532465277778</v>
      </c>
      <c r="H340" t="s">
        <v>15</v>
      </c>
      <c r="I340" t="s">
        <v>451</v>
      </c>
      <c r="J340" t="s">
        <v>22</v>
      </c>
      <c r="L340">
        <v>40</v>
      </c>
      <c r="M340" t="s">
        <v>15</v>
      </c>
      <c r="N340" t="s">
        <v>15</v>
      </c>
      <c r="O340" t="s">
        <v>17</v>
      </c>
      <c r="P340" t="s">
        <v>451</v>
      </c>
      <c r="Q340" t="s">
        <v>18</v>
      </c>
      <c r="S340" t="s">
        <v>451</v>
      </c>
      <c r="T340" t="s">
        <v>29</v>
      </c>
      <c r="U340" t="s">
        <v>132</v>
      </c>
      <c r="V340" t="s">
        <v>451</v>
      </c>
      <c r="W340" t="s">
        <v>18</v>
      </c>
      <c r="Y340">
        <v>5.3600001335143999</v>
      </c>
      <c r="Z340">
        <v>3.41000008583068</v>
      </c>
      <c r="AA340">
        <v>1.1000000238418499</v>
      </c>
      <c r="AB340">
        <v>1.0299999713897701</v>
      </c>
      <c r="AC340">
        <v>222.07765197753901</v>
      </c>
      <c r="AD340">
        <v>121</v>
      </c>
      <c r="AE340">
        <v>1.5599999427795399</v>
      </c>
      <c r="AG340">
        <v>120</v>
      </c>
      <c r="AH340">
        <v>4.13000011444091</v>
      </c>
      <c r="AI340">
        <v>3.8199999332427899</v>
      </c>
      <c r="AJ340">
        <v>31.409999847412099</v>
      </c>
      <c r="AK340">
        <v>5.0700001716613698</v>
      </c>
      <c r="AL340">
        <v>4.4000000953674299</v>
      </c>
      <c r="AM340">
        <v>27.270000457763601</v>
      </c>
      <c r="AN340" t="s">
        <v>609</v>
      </c>
      <c r="AO340">
        <v>85</v>
      </c>
      <c r="AP340">
        <v>31.221303948576676</v>
      </c>
      <c r="AS340" s="1">
        <v>39123.831510219898</v>
      </c>
      <c r="AT340" s="1">
        <v>39123.823371377322</v>
      </c>
      <c r="AU340" s="1">
        <v>39123.820187268517</v>
      </c>
      <c r="AV340" s="1">
        <v>41288.499461111111</v>
      </c>
      <c r="AW340" s="1"/>
      <c r="AX340" s="1"/>
      <c r="AY340" t="s">
        <v>21</v>
      </c>
      <c r="BB340" s="2">
        <v>1</v>
      </c>
      <c r="BC340">
        <f t="shared" si="17"/>
        <v>9.8121927958331412</v>
      </c>
      <c r="BD340">
        <v>133</v>
      </c>
      <c r="BE340">
        <v>4.0999999999999899</v>
      </c>
      <c r="BF340">
        <v>2.8999999999999901</v>
      </c>
      <c r="BH340">
        <v>410</v>
      </c>
      <c r="BI340">
        <v>6.3399999999999901</v>
      </c>
      <c r="BJ340">
        <v>6.5999999999999899</v>
      </c>
      <c r="BK340">
        <v>8.9</v>
      </c>
      <c r="BL340">
        <v>14.5</v>
      </c>
      <c r="BM340">
        <v>15.5299999999999</v>
      </c>
      <c r="BN340">
        <v>6.0999999999999899</v>
      </c>
    </row>
    <row r="341" spans="1:66" x14ac:dyDescent="0.3">
      <c r="A341">
        <v>340</v>
      </c>
      <c r="B341" s="2" t="s">
        <v>430</v>
      </c>
      <c r="C341" s="2" t="s">
        <v>448</v>
      </c>
      <c r="D341">
        <v>86.976744186046105</v>
      </c>
      <c r="E341" s="3"/>
      <c r="F341" s="1">
        <v>45711</v>
      </c>
      <c r="G341" s="1">
        <v>45664.472743055558</v>
      </c>
      <c r="H341" t="s">
        <v>451</v>
      </c>
      <c r="I341" t="s">
        <v>451</v>
      </c>
      <c r="J341" t="s">
        <v>451</v>
      </c>
      <c r="L341">
        <v>60</v>
      </c>
      <c r="M341" t="s">
        <v>451</v>
      </c>
      <c r="N341" t="s">
        <v>451</v>
      </c>
      <c r="O341" t="s">
        <v>451</v>
      </c>
      <c r="P341" t="s">
        <v>451</v>
      </c>
      <c r="Q341" t="s">
        <v>451</v>
      </c>
      <c r="S341" t="s">
        <v>451</v>
      </c>
      <c r="T341" t="s">
        <v>451</v>
      </c>
      <c r="V341" t="s">
        <v>451</v>
      </c>
      <c r="W341" t="s">
        <v>451</v>
      </c>
      <c r="AN341" t="s">
        <v>610</v>
      </c>
      <c r="AO341">
        <v>75.799999999999898</v>
      </c>
      <c r="AP341">
        <v>29.609374999999961</v>
      </c>
      <c r="AS341" s="1"/>
      <c r="AT341" s="1">
        <v>45642.903091898152</v>
      </c>
      <c r="AU341" s="1">
        <v>43426.451554976848</v>
      </c>
      <c r="AV341" s="1">
        <v>43426.451554976848</v>
      </c>
      <c r="AW341" s="1"/>
      <c r="AX341" s="1"/>
      <c r="BA341">
        <v>60</v>
      </c>
      <c r="BB341" s="5">
        <v>0</v>
      </c>
      <c r="BC341">
        <f t="shared" si="17"/>
        <v>14.925589686191694</v>
      </c>
      <c r="BD341">
        <v>140</v>
      </c>
      <c r="BE341">
        <v>3.1</v>
      </c>
      <c r="BF341">
        <v>3.1</v>
      </c>
      <c r="BG341">
        <v>9.3000000000000007</v>
      </c>
      <c r="BH341">
        <v>295</v>
      </c>
      <c r="BI341">
        <v>3.74</v>
      </c>
      <c r="BJ341">
        <v>9.0999999999999908</v>
      </c>
      <c r="BK341">
        <v>4.0999999999999899</v>
      </c>
      <c r="BL341">
        <v>15.1999999999999</v>
      </c>
      <c r="BM341">
        <v>35.130000000000003</v>
      </c>
      <c r="BN341">
        <v>5.5</v>
      </c>
    </row>
    <row r="342" spans="1:66" x14ac:dyDescent="0.3">
      <c r="A342">
        <v>341</v>
      </c>
      <c r="B342" s="2" t="s">
        <v>434</v>
      </c>
      <c r="C342" s="2" t="s">
        <v>448</v>
      </c>
      <c r="D342">
        <v>80.145006839944898</v>
      </c>
      <c r="E342" s="3">
        <v>43488.39166666667</v>
      </c>
      <c r="F342" s="1">
        <v>43264</v>
      </c>
      <c r="G342" s="1">
        <v>43252.439189814817</v>
      </c>
      <c r="H342" t="s">
        <v>15</v>
      </c>
      <c r="I342" t="s">
        <v>451</v>
      </c>
      <c r="J342" t="s">
        <v>30</v>
      </c>
      <c r="L342">
        <v>30</v>
      </c>
      <c r="M342" t="s">
        <v>17</v>
      </c>
      <c r="N342" t="s">
        <v>35</v>
      </c>
      <c r="O342" t="s">
        <v>17</v>
      </c>
      <c r="P342" t="s">
        <v>479</v>
      </c>
      <c r="Q342" t="s">
        <v>19</v>
      </c>
      <c r="S342" t="s">
        <v>451</v>
      </c>
      <c r="T342" t="s">
        <v>29</v>
      </c>
      <c r="V342" t="s">
        <v>451</v>
      </c>
      <c r="W342" t="s">
        <v>29</v>
      </c>
      <c r="X342" t="s">
        <v>15</v>
      </c>
      <c r="Y342">
        <v>5.3499999046325604</v>
      </c>
      <c r="Z342">
        <v>4.7300000190734801</v>
      </c>
      <c r="AA342">
        <v>0.93000000715255704</v>
      </c>
      <c r="AB342">
        <v>0.91000002622604304</v>
      </c>
      <c r="AC342">
        <v>182.44573974609301</v>
      </c>
      <c r="AD342">
        <v>105</v>
      </c>
      <c r="AE342">
        <v>2.1199998855590798</v>
      </c>
      <c r="AF342">
        <v>35</v>
      </c>
      <c r="AG342">
        <v>80.5</v>
      </c>
      <c r="AN342" t="s">
        <v>611</v>
      </c>
      <c r="AO342">
        <v>69.2</v>
      </c>
      <c r="AP342">
        <v>25.112498185513136</v>
      </c>
      <c r="AQ342" s="1">
        <v>40807</v>
      </c>
      <c r="AR342" s="1">
        <v>40807</v>
      </c>
      <c r="AS342" s="1">
        <v>40238.125719212963</v>
      </c>
      <c r="AT342" s="1">
        <v>41955.405803090267</v>
      </c>
      <c r="AU342" s="1"/>
      <c r="AV342" s="1">
        <v>41613.548875462962</v>
      </c>
      <c r="AW342" s="1">
        <v>40238.126023067132</v>
      </c>
      <c r="AX342" s="1"/>
      <c r="AY342" t="s">
        <v>21</v>
      </c>
      <c r="BB342" s="2">
        <v>3</v>
      </c>
      <c r="BC342">
        <f t="shared" si="17"/>
        <v>30.599627117877038</v>
      </c>
      <c r="BD342">
        <v>139</v>
      </c>
      <c r="BE342">
        <v>4.5</v>
      </c>
      <c r="BF342">
        <v>2.6</v>
      </c>
      <c r="BG342">
        <v>11.1999999999999</v>
      </c>
      <c r="BH342">
        <v>156</v>
      </c>
      <c r="BI342">
        <v>1.8799999999999899</v>
      </c>
      <c r="BJ342">
        <v>9</v>
      </c>
      <c r="BK342">
        <v>4</v>
      </c>
      <c r="BL342">
        <v>10.9</v>
      </c>
      <c r="BM342">
        <v>17</v>
      </c>
      <c r="BN342">
        <v>7.7999999999999901</v>
      </c>
    </row>
    <row r="343" spans="1:66" x14ac:dyDescent="0.3">
      <c r="A343">
        <v>342</v>
      </c>
      <c r="B343" s="2" t="s">
        <v>430</v>
      </c>
      <c r="C343" s="2" t="s">
        <v>448</v>
      </c>
      <c r="D343">
        <v>68.998632010942998</v>
      </c>
      <c r="E343" s="3">
        <v>41658</v>
      </c>
      <c r="F343" s="1">
        <v>41417</v>
      </c>
      <c r="G343" s="1">
        <v>41268.565891203703</v>
      </c>
      <c r="H343" t="s">
        <v>25</v>
      </c>
      <c r="I343" t="s">
        <v>87</v>
      </c>
      <c r="J343" t="s">
        <v>28</v>
      </c>
      <c r="K343" t="s">
        <v>454</v>
      </c>
      <c r="L343">
        <v>35</v>
      </c>
      <c r="M343" t="s">
        <v>451</v>
      </c>
      <c r="N343" t="s">
        <v>451</v>
      </c>
      <c r="O343" t="s">
        <v>17</v>
      </c>
      <c r="P343" t="s">
        <v>451</v>
      </c>
      <c r="Q343" t="s">
        <v>451</v>
      </c>
      <c r="S343" t="s">
        <v>451</v>
      </c>
      <c r="T343" t="s">
        <v>18</v>
      </c>
      <c r="V343" t="s">
        <v>451</v>
      </c>
      <c r="W343" t="s">
        <v>18</v>
      </c>
      <c r="Y343">
        <v>6.4000000953674299</v>
      </c>
      <c r="Z343">
        <v>5.3000001907348597</v>
      </c>
      <c r="AA343">
        <v>1.6000000238418499</v>
      </c>
      <c r="AB343">
        <v>1</v>
      </c>
      <c r="AC343">
        <v>389.02420043945301</v>
      </c>
      <c r="AD343">
        <v>215</v>
      </c>
      <c r="AE343">
        <v>2.38000011444091</v>
      </c>
      <c r="AG343">
        <v>103</v>
      </c>
      <c r="AH343">
        <v>2</v>
      </c>
      <c r="AI343">
        <v>3</v>
      </c>
      <c r="AJ343">
        <v>34.330001831054602</v>
      </c>
      <c r="AK343">
        <v>3</v>
      </c>
      <c r="AL343">
        <v>4</v>
      </c>
      <c r="AM343">
        <v>25.75</v>
      </c>
      <c r="AN343" t="s">
        <v>612</v>
      </c>
      <c r="AO343">
        <v>72.799999999999898</v>
      </c>
      <c r="AP343">
        <v>25.793650793650759</v>
      </c>
      <c r="AQ343" s="1">
        <v>33604</v>
      </c>
      <c r="AR343" s="1">
        <v>33604</v>
      </c>
      <c r="AS343" s="1">
        <v>40500.410805173611</v>
      </c>
      <c r="AT343" s="1"/>
      <c r="AU343" s="1">
        <v>40500.371353206021</v>
      </c>
      <c r="AV343" s="1">
        <v>41267.807167824067</v>
      </c>
      <c r="AW343" s="1">
        <v>40500.371353206021</v>
      </c>
      <c r="AX343" s="1"/>
      <c r="AZ343">
        <v>154</v>
      </c>
      <c r="BA343">
        <v>57</v>
      </c>
      <c r="BB343" s="2">
        <v>2</v>
      </c>
      <c r="BC343">
        <f t="shared" si="17"/>
        <v>10.111305926454127</v>
      </c>
      <c r="BD343">
        <v>139</v>
      </c>
      <c r="BE343">
        <v>4</v>
      </c>
      <c r="BF343">
        <v>2.3999999999999901</v>
      </c>
      <c r="BG343">
        <v>11.5</v>
      </c>
      <c r="BH343">
        <v>212</v>
      </c>
      <c r="BI343">
        <v>7.0999999999999899</v>
      </c>
      <c r="BJ343">
        <v>6.7999999999999901</v>
      </c>
      <c r="BK343">
        <v>9.4</v>
      </c>
      <c r="BL343">
        <v>9.4</v>
      </c>
      <c r="BM343">
        <v>20.91</v>
      </c>
      <c r="BN343">
        <v>7.7</v>
      </c>
    </row>
    <row r="344" spans="1:66" x14ac:dyDescent="0.3">
      <c r="A344">
        <v>343</v>
      </c>
      <c r="B344" s="2" t="s">
        <v>434</v>
      </c>
      <c r="C344" s="2" t="s">
        <v>448</v>
      </c>
      <c r="D344">
        <v>77.053351573187001</v>
      </c>
      <c r="E344" s="3"/>
      <c r="F344" s="1">
        <v>45558</v>
      </c>
      <c r="G344" s="1">
        <v>45202.446458333332</v>
      </c>
      <c r="H344" t="s">
        <v>15</v>
      </c>
      <c r="I344" t="s">
        <v>78</v>
      </c>
      <c r="J344" t="s">
        <v>15</v>
      </c>
      <c r="L344">
        <v>60</v>
      </c>
      <c r="M344" t="s">
        <v>451</v>
      </c>
      <c r="N344" t="s">
        <v>451</v>
      </c>
      <c r="O344" t="s">
        <v>15</v>
      </c>
      <c r="P344" t="s">
        <v>75</v>
      </c>
      <c r="Q344" t="s">
        <v>18</v>
      </c>
      <c r="R344" t="s">
        <v>76</v>
      </c>
      <c r="S344" t="s">
        <v>451</v>
      </c>
      <c r="T344" t="s">
        <v>23</v>
      </c>
      <c r="U344" t="s">
        <v>96</v>
      </c>
      <c r="V344" t="s">
        <v>451</v>
      </c>
      <c r="W344" t="s">
        <v>19</v>
      </c>
      <c r="X344" t="s">
        <v>15</v>
      </c>
      <c r="Y344">
        <v>4.5900001525878897</v>
      </c>
      <c r="Z344">
        <v>2.71000003814697</v>
      </c>
      <c r="AA344">
        <v>1.20000004768371</v>
      </c>
      <c r="AB344">
        <v>0.95999997854232699</v>
      </c>
      <c r="AC344">
        <v>176.0224609375</v>
      </c>
      <c r="AD344">
        <v>90</v>
      </c>
      <c r="AE344">
        <v>1</v>
      </c>
      <c r="AF344">
        <v>33</v>
      </c>
      <c r="AG344">
        <v>89.300003051757798</v>
      </c>
      <c r="AH344">
        <v>5.2600002288818297</v>
      </c>
      <c r="AI344">
        <v>5.0100002288818297</v>
      </c>
      <c r="AJ344">
        <v>17.819999694824201</v>
      </c>
      <c r="AK344">
        <v>6.0199999809265101</v>
      </c>
      <c r="AL344">
        <v>5.9299998283386204</v>
      </c>
      <c r="AM344">
        <v>15.0600004196166</v>
      </c>
      <c r="AN344" t="s">
        <v>613</v>
      </c>
      <c r="AO344">
        <v>88</v>
      </c>
      <c r="AP344">
        <v>31.179138321995467</v>
      </c>
      <c r="AQ344" s="1">
        <v>45627</v>
      </c>
      <c r="AS344" s="1"/>
      <c r="AT344" s="1"/>
      <c r="AU344" s="1">
        <v>45201.985978124998</v>
      </c>
      <c r="AV344" s="1">
        <v>45201.985978124998</v>
      </c>
      <c r="AW344" s="1">
        <v>45201.990166747688</v>
      </c>
      <c r="AX344" s="1"/>
      <c r="AY344" t="s">
        <v>21</v>
      </c>
      <c r="BB344" s="2">
        <v>2</v>
      </c>
      <c r="BC344">
        <f t="shared" si="17"/>
        <v>9.9785723114993949</v>
      </c>
      <c r="BD344">
        <v>136</v>
      </c>
      <c r="BE344">
        <v>5.2999999999999901</v>
      </c>
      <c r="BF344">
        <v>4</v>
      </c>
      <c r="BG344">
        <v>10.6</v>
      </c>
      <c r="BH344">
        <v>223</v>
      </c>
      <c r="BI344">
        <v>7.71</v>
      </c>
      <c r="BJ344">
        <v>7.5</v>
      </c>
      <c r="BK344">
        <v>6.5999999999999899</v>
      </c>
      <c r="BL344">
        <v>8.3000000000000007</v>
      </c>
      <c r="BM344">
        <v>9.58</v>
      </c>
      <c r="BN344">
        <v>6.0999999999999899</v>
      </c>
    </row>
    <row r="345" spans="1:66" x14ac:dyDescent="0.3">
      <c r="A345">
        <v>344</v>
      </c>
      <c r="B345" s="2" t="s">
        <v>430</v>
      </c>
      <c r="C345" s="2" t="s">
        <v>449</v>
      </c>
      <c r="D345">
        <v>79.882352941175895</v>
      </c>
      <c r="E345" s="3">
        <v>43803</v>
      </c>
      <c r="F345" s="1">
        <v>43326</v>
      </c>
      <c r="G345" s="1">
        <v>43318.450601851851</v>
      </c>
      <c r="H345" t="s">
        <v>15</v>
      </c>
      <c r="I345" t="s">
        <v>451</v>
      </c>
      <c r="J345" t="s">
        <v>14</v>
      </c>
      <c r="K345" t="s">
        <v>157</v>
      </c>
      <c r="L345">
        <v>45</v>
      </c>
      <c r="M345" t="s">
        <v>451</v>
      </c>
      <c r="N345" t="s">
        <v>451</v>
      </c>
      <c r="O345" t="s">
        <v>17</v>
      </c>
      <c r="P345" t="s">
        <v>124</v>
      </c>
      <c r="Q345" t="s">
        <v>18</v>
      </c>
      <c r="S345" t="s">
        <v>504</v>
      </c>
      <c r="T345" t="s">
        <v>18</v>
      </c>
      <c r="V345" t="s">
        <v>159</v>
      </c>
      <c r="W345" t="s">
        <v>18</v>
      </c>
      <c r="X345" t="s">
        <v>78</v>
      </c>
      <c r="Y345">
        <v>4.88000011444091</v>
      </c>
      <c r="Z345">
        <v>2.9000000953674299</v>
      </c>
      <c r="AA345">
        <v>1.2200000286102199</v>
      </c>
      <c r="AB345">
        <v>1.1000000238418499</v>
      </c>
      <c r="AC345">
        <v>214.452056884765</v>
      </c>
      <c r="AD345">
        <v>127</v>
      </c>
      <c r="AE345">
        <v>1.37999999523162</v>
      </c>
      <c r="AF345">
        <v>46</v>
      </c>
      <c r="AG345">
        <v>131</v>
      </c>
      <c r="AN345" t="s">
        <v>614</v>
      </c>
      <c r="AS345" s="1"/>
      <c r="AT345" s="1">
        <v>42100.494953703703</v>
      </c>
      <c r="AU345" s="1">
        <v>42086.419275925917</v>
      </c>
      <c r="AV345" s="1">
        <v>42029.622982719913</v>
      </c>
      <c r="AW345" s="1"/>
      <c r="AX345" s="1"/>
      <c r="AZ345">
        <v>143</v>
      </c>
      <c r="BA345">
        <v>71</v>
      </c>
      <c r="BB345" s="5">
        <v>0</v>
      </c>
      <c r="BC345">
        <v>9.1999999999999993</v>
      </c>
      <c r="BD345">
        <v>133</v>
      </c>
      <c r="BE345">
        <v>4</v>
      </c>
      <c r="BF345">
        <v>3.2</v>
      </c>
      <c r="BG345">
        <v>9.9</v>
      </c>
      <c r="BH345">
        <v>184</v>
      </c>
      <c r="BI345">
        <v>5.8399999999999901</v>
      </c>
      <c r="BJ345">
        <v>9.3000000000000007</v>
      </c>
      <c r="BK345">
        <v>7</v>
      </c>
      <c r="BL345">
        <v>8.9</v>
      </c>
      <c r="BM345">
        <v>16.43</v>
      </c>
      <c r="BN345">
        <v>7.9</v>
      </c>
    </row>
    <row r="346" spans="1:66" x14ac:dyDescent="0.3">
      <c r="A346">
        <v>345</v>
      </c>
      <c r="B346" s="2" t="s">
        <v>430</v>
      </c>
      <c r="C346" s="2" t="s">
        <v>448</v>
      </c>
      <c r="D346">
        <v>82.593707250340898</v>
      </c>
      <c r="E346" s="3">
        <v>42381.902777777781</v>
      </c>
      <c r="F346" s="1">
        <v>42338</v>
      </c>
      <c r="G346" s="1">
        <v>42334.522268518522</v>
      </c>
      <c r="H346" t="s">
        <v>15</v>
      </c>
      <c r="I346" t="s">
        <v>15</v>
      </c>
      <c r="J346" t="s">
        <v>28</v>
      </c>
      <c r="K346" t="s">
        <v>458</v>
      </c>
      <c r="L346">
        <v>40</v>
      </c>
      <c r="M346" t="s">
        <v>15</v>
      </c>
      <c r="N346" t="s">
        <v>15</v>
      </c>
      <c r="O346" t="s">
        <v>17</v>
      </c>
      <c r="P346" t="s">
        <v>75</v>
      </c>
      <c r="Q346" t="s">
        <v>19</v>
      </c>
      <c r="S346" t="s">
        <v>451</v>
      </c>
      <c r="T346" t="s">
        <v>23</v>
      </c>
      <c r="V346" t="s">
        <v>451</v>
      </c>
      <c r="W346" t="s">
        <v>19</v>
      </c>
      <c r="X346" t="s">
        <v>90</v>
      </c>
      <c r="Y346">
        <v>4.96000003814697</v>
      </c>
      <c r="Z346">
        <v>4.3000001907348597</v>
      </c>
      <c r="AA346">
        <v>1.08000004291534</v>
      </c>
      <c r="AE346">
        <v>1.4400000572204501</v>
      </c>
      <c r="AF346">
        <v>70</v>
      </c>
      <c r="AG346">
        <v>104</v>
      </c>
      <c r="AH346">
        <v>4</v>
      </c>
      <c r="AI346">
        <v>4</v>
      </c>
      <c r="AJ346">
        <v>26</v>
      </c>
      <c r="AK346">
        <v>5</v>
      </c>
      <c r="AL346">
        <v>5</v>
      </c>
      <c r="AM346">
        <v>20.799999237060501</v>
      </c>
      <c r="AN346" t="s">
        <v>615</v>
      </c>
      <c r="AO346">
        <v>68</v>
      </c>
      <c r="AP346">
        <v>27.239224483255889</v>
      </c>
      <c r="AQ346" s="1">
        <v>42381</v>
      </c>
      <c r="AR346" s="1">
        <v>39264</v>
      </c>
      <c r="AS346" s="1">
        <v>42334.648179317133</v>
      </c>
      <c r="AT346" s="1"/>
      <c r="AU346" s="1"/>
      <c r="AV346" s="1"/>
      <c r="AW346" s="1"/>
      <c r="AX346" s="1"/>
      <c r="AZ346">
        <v>143</v>
      </c>
      <c r="BA346">
        <v>41</v>
      </c>
      <c r="BB346" s="2">
        <v>3</v>
      </c>
      <c r="BC346">
        <f t="shared" ref="BC346:BC356" si="18">(140-D346)*AO346/(72*BI346)</f>
        <v>9.6816168327798273</v>
      </c>
      <c r="BD346">
        <v>141</v>
      </c>
      <c r="BE346">
        <v>4.9000000000000004</v>
      </c>
      <c r="BF346">
        <v>3</v>
      </c>
      <c r="BG346">
        <v>10.1</v>
      </c>
      <c r="BH346">
        <v>239</v>
      </c>
      <c r="BI346">
        <v>5.5999999999999899</v>
      </c>
      <c r="BJ346">
        <v>8.0999999999999908</v>
      </c>
      <c r="BK346">
        <v>9.1999999999999904</v>
      </c>
      <c r="BL346">
        <v>11.5</v>
      </c>
      <c r="BM346">
        <v>144.55000000000001</v>
      </c>
      <c r="BN346">
        <v>5.9</v>
      </c>
    </row>
    <row r="347" spans="1:66" x14ac:dyDescent="0.3">
      <c r="A347">
        <v>346</v>
      </c>
      <c r="B347" s="2" t="s">
        <v>430</v>
      </c>
      <c r="C347" s="2" t="s">
        <v>448</v>
      </c>
      <c r="D347">
        <v>91.671682626538001</v>
      </c>
      <c r="E347" s="3">
        <v>43240.334027777782</v>
      </c>
      <c r="F347" s="1">
        <v>42360</v>
      </c>
      <c r="G347" s="1">
        <v>42023.633645833332</v>
      </c>
      <c r="H347" t="s">
        <v>451</v>
      </c>
      <c r="I347" t="s">
        <v>451</v>
      </c>
      <c r="J347" t="s">
        <v>451</v>
      </c>
      <c r="K347" t="s">
        <v>74</v>
      </c>
      <c r="L347">
        <v>60</v>
      </c>
      <c r="M347" t="s">
        <v>451</v>
      </c>
      <c r="N347" t="s">
        <v>451</v>
      </c>
      <c r="O347" t="s">
        <v>17</v>
      </c>
      <c r="P347" t="s">
        <v>75</v>
      </c>
      <c r="Q347" t="s">
        <v>451</v>
      </c>
      <c r="S347" t="s">
        <v>451</v>
      </c>
      <c r="T347" t="s">
        <v>23</v>
      </c>
      <c r="U347" t="s">
        <v>96</v>
      </c>
      <c r="V347" t="s">
        <v>451</v>
      </c>
      <c r="W347" t="s">
        <v>26</v>
      </c>
      <c r="X347" t="s">
        <v>90</v>
      </c>
      <c r="Y347">
        <v>4.6999998092651296</v>
      </c>
      <c r="Z347">
        <v>3.4000000953674299</v>
      </c>
      <c r="AA347">
        <v>1</v>
      </c>
      <c r="AB347">
        <v>1</v>
      </c>
      <c r="AC347">
        <v>164.45408630371</v>
      </c>
      <c r="AD347">
        <v>107</v>
      </c>
      <c r="AE347">
        <v>1</v>
      </c>
      <c r="AF347">
        <v>71</v>
      </c>
      <c r="AG347">
        <v>91</v>
      </c>
      <c r="AH347">
        <v>6</v>
      </c>
      <c r="AI347">
        <v>7</v>
      </c>
      <c r="AJ347">
        <v>13</v>
      </c>
      <c r="AK347">
        <v>6</v>
      </c>
      <c r="AL347">
        <v>10</v>
      </c>
      <c r="AM347">
        <v>9.1000003814697195</v>
      </c>
      <c r="AN347" t="s">
        <v>616</v>
      </c>
      <c r="AO347">
        <v>58</v>
      </c>
      <c r="AP347">
        <v>23.23345617689473</v>
      </c>
      <c r="AS347" s="1"/>
      <c r="AT347" s="1">
        <v>39812.616068252311</v>
      </c>
      <c r="AU347" s="1">
        <v>39812.616241863427</v>
      </c>
      <c r="AV347" s="1">
        <v>39812.616328668977</v>
      </c>
      <c r="AW347" s="1"/>
      <c r="AX347" s="1">
        <v>39812.598497951389</v>
      </c>
      <c r="AZ347">
        <v>157</v>
      </c>
      <c r="BA347">
        <v>95</v>
      </c>
      <c r="BB347" s="2">
        <v>3</v>
      </c>
      <c r="BC347">
        <f t="shared" si="18"/>
        <v>5.7420567184136262</v>
      </c>
      <c r="BD347">
        <v>144</v>
      </c>
      <c r="BE347">
        <v>4.9000000000000004</v>
      </c>
      <c r="BF347">
        <v>2.8999999999999901</v>
      </c>
      <c r="BG347">
        <v>9.3000000000000007</v>
      </c>
      <c r="BH347">
        <v>345</v>
      </c>
      <c r="BI347">
        <v>6.78</v>
      </c>
      <c r="BJ347">
        <v>8.0999999999999908</v>
      </c>
      <c r="BK347">
        <v>6.5999999999999899</v>
      </c>
      <c r="BL347">
        <v>9.3000000000000007</v>
      </c>
      <c r="BM347">
        <v>196.44999999999899</v>
      </c>
      <c r="BN347">
        <v>6</v>
      </c>
    </row>
    <row r="348" spans="1:66" x14ac:dyDescent="0.3">
      <c r="A348">
        <v>347</v>
      </c>
      <c r="B348" s="2" t="s">
        <v>430</v>
      </c>
      <c r="C348" s="2" t="s">
        <v>448</v>
      </c>
      <c r="D348">
        <v>71.242134062926894</v>
      </c>
      <c r="E348" s="3">
        <v>44918</v>
      </c>
      <c r="F348" s="1">
        <v>43207</v>
      </c>
      <c r="G348" s="1">
        <v>43170.615717592591</v>
      </c>
      <c r="H348" t="s">
        <v>15</v>
      </c>
      <c r="I348" t="s">
        <v>78</v>
      </c>
      <c r="J348" t="s">
        <v>28</v>
      </c>
      <c r="L348">
        <v>60</v>
      </c>
      <c r="M348" t="s">
        <v>79</v>
      </c>
      <c r="N348" t="s">
        <v>14</v>
      </c>
      <c r="O348" t="s">
        <v>17</v>
      </c>
      <c r="P348" t="s">
        <v>75</v>
      </c>
      <c r="Q348" t="s">
        <v>19</v>
      </c>
      <c r="S348" t="s">
        <v>451</v>
      </c>
      <c r="T348" t="s">
        <v>23</v>
      </c>
      <c r="V348" t="s">
        <v>451</v>
      </c>
      <c r="W348" t="s">
        <v>29</v>
      </c>
      <c r="X348" t="s">
        <v>78</v>
      </c>
      <c r="Y348">
        <v>5.4499998092651296</v>
      </c>
      <c r="Z348">
        <v>4.6999998092651296</v>
      </c>
      <c r="AA348">
        <v>1.2300000190734801</v>
      </c>
      <c r="AB348">
        <v>1.00999999046325</v>
      </c>
      <c r="AC348">
        <v>244.274490356445</v>
      </c>
      <c r="AD348">
        <v>126</v>
      </c>
      <c r="AE348">
        <v>1</v>
      </c>
      <c r="AF348">
        <v>45</v>
      </c>
      <c r="AG348">
        <v>119</v>
      </c>
      <c r="AH348">
        <v>5.7699999809265101</v>
      </c>
      <c r="AI348">
        <v>5.7699999809265101</v>
      </c>
      <c r="AJ348">
        <v>20.620000839233299</v>
      </c>
      <c r="AK348">
        <v>5.1500000953674299</v>
      </c>
      <c r="AL348">
        <v>6.8600001335143999</v>
      </c>
      <c r="AM348">
        <v>17.350000381469702</v>
      </c>
      <c r="AN348" t="s">
        <v>617</v>
      </c>
      <c r="AO348">
        <v>88</v>
      </c>
      <c r="AP348">
        <v>33.531473860691968</v>
      </c>
      <c r="AS348" s="1">
        <v>41952.636716666668</v>
      </c>
      <c r="AT348" s="1">
        <v>40763.418558483798</v>
      </c>
      <c r="AU348" s="1">
        <v>40763.375723761572</v>
      </c>
      <c r="AV348" s="1">
        <v>40763.375723761572</v>
      </c>
      <c r="AW348" s="1"/>
      <c r="AX348" s="1"/>
      <c r="AZ348">
        <v>109</v>
      </c>
      <c r="BA348">
        <v>52</v>
      </c>
      <c r="BB348" s="2">
        <v>2</v>
      </c>
      <c r="BC348">
        <f t="shared" si="18"/>
        <v>20.447053941816819</v>
      </c>
      <c r="BD348">
        <v>140</v>
      </c>
      <c r="BE348">
        <v>6</v>
      </c>
      <c r="BF348">
        <v>2.8999999999999901</v>
      </c>
      <c r="BG348">
        <v>14.4</v>
      </c>
      <c r="BH348">
        <v>206</v>
      </c>
      <c r="BI348">
        <v>4.1100000000000003</v>
      </c>
      <c r="BJ348">
        <v>8.0999999999999908</v>
      </c>
      <c r="BK348">
        <v>6.4</v>
      </c>
      <c r="BL348">
        <v>6.7999999999999901</v>
      </c>
      <c r="BM348">
        <v>50.649999999999899</v>
      </c>
      <c r="BN348">
        <v>6.4</v>
      </c>
    </row>
    <row r="349" spans="1:66" x14ac:dyDescent="0.3">
      <c r="A349">
        <v>348</v>
      </c>
      <c r="B349" s="2" t="s">
        <v>430</v>
      </c>
      <c r="C349" s="2" t="s">
        <v>448</v>
      </c>
      <c r="D349">
        <v>74.4158686730499</v>
      </c>
      <c r="E349" s="3">
        <v>42742.542361111111</v>
      </c>
      <c r="F349" s="1">
        <v>41894</v>
      </c>
      <c r="G349" s="1">
        <v>41879.383194444446</v>
      </c>
      <c r="H349" t="s">
        <v>15</v>
      </c>
      <c r="I349" t="s">
        <v>78</v>
      </c>
      <c r="J349" t="s">
        <v>14</v>
      </c>
      <c r="L349">
        <v>47</v>
      </c>
      <c r="M349" t="s">
        <v>79</v>
      </c>
      <c r="N349" t="s">
        <v>451</v>
      </c>
      <c r="O349" t="s">
        <v>25</v>
      </c>
      <c r="P349" t="s">
        <v>75</v>
      </c>
      <c r="Q349" t="s">
        <v>451</v>
      </c>
      <c r="S349" t="s">
        <v>451</v>
      </c>
      <c r="T349" t="s">
        <v>18</v>
      </c>
      <c r="U349" t="s">
        <v>132</v>
      </c>
      <c r="V349" t="s">
        <v>451</v>
      </c>
      <c r="W349" t="s">
        <v>19</v>
      </c>
      <c r="X349" t="s">
        <v>90</v>
      </c>
      <c r="Y349">
        <v>5.4699997901916504</v>
      </c>
      <c r="Z349">
        <v>4.2699999809265101</v>
      </c>
      <c r="AA349">
        <v>1.4299999475479099</v>
      </c>
      <c r="AB349">
        <v>1.2400000095367401</v>
      </c>
      <c r="AC349">
        <v>313.17059326171801</v>
      </c>
      <c r="AD349">
        <v>154</v>
      </c>
      <c r="AE349">
        <v>1.5</v>
      </c>
      <c r="AF349">
        <v>60</v>
      </c>
      <c r="AG349">
        <v>120.400001525878</v>
      </c>
      <c r="AH349">
        <v>5</v>
      </c>
      <c r="AI349">
        <v>5</v>
      </c>
      <c r="AJ349">
        <v>24.079999923706001</v>
      </c>
      <c r="AK349">
        <v>5</v>
      </c>
      <c r="AL349">
        <v>5</v>
      </c>
      <c r="AM349">
        <v>24.079999923706001</v>
      </c>
      <c r="AN349" t="s">
        <v>618</v>
      </c>
      <c r="AO349">
        <v>79</v>
      </c>
      <c r="AP349">
        <v>26.703623580313682</v>
      </c>
      <c r="AQ349" s="1">
        <v>40304</v>
      </c>
      <c r="AS349" s="1">
        <v>40308.630537997677</v>
      </c>
      <c r="AT349" s="1">
        <v>41881.248020833344</v>
      </c>
      <c r="AU349" s="1">
        <v>40031.065915775464</v>
      </c>
      <c r="AV349" s="1">
        <v>40031.066623576393</v>
      </c>
      <c r="AW349" s="1"/>
      <c r="AX349" s="1"/>
      <c r="AY349" t="s">
        <v>21</v>
      </c>
      <c r="BB349" s="2">
        <v>6</v>
      </c>
      <c r="BC349">
        <f t="shared" si="18"/>
        <v>10.429038596676847</v>
      </c>
      <c r="BD349">
        <v>134</v>
      </c>
      <c r="BE349">
        <v>3.8999999999999901</v>
      </c>
      <c r="BF349">
        <v>2.2999999999999901</v>
      </c>
      <c r="BG349">
        <v>8.4</v>
      </c>
      <c r="BH349">
        <v>205</v>
      </c>
      <c r="BI349">
        <v>6.9</v>
      </c>
      <c r="BJ349">
        <v>7.7</v>
      </c>
      <c r="BK349">
        <v>5.2999999999999901</v>
      </c>
      <c r="BL349">
        <v>7.5999999999999899</v>
      </c>
      <c r="BM349">
        <v>108.44</v>
      </c>
      <c r="BN349">
        <v>6.4</v>
      </c>
    </row>
    <row r="350" spans="1:66" x14ac:dyDescent="0.3">
      <c r="A350">
        <v>349</v>
      </c>
      <c r="B350" s="2" t="s">
        <v>434</v>
      </c>
      <c r="C350" s="2" t="s">
        <v>448</v>
      </c>
      <c r="D350">
        <v>82.037057303541005</v>
      </c>
      <c r="E350" s="3">
        <v>43670.53125</v>
      </c>
      <c r="F350" s="1">
        <v>43647.544444444437</v>
      </c>
      <c r="G350" s="1">
        <v>43299.440081018518</v>
      </c>
      <c r="H350" t="s">
        <v>15</v>
      </c>
      <c r="I350" t="s">
        <v>87</v>
      </c>
      <c r="J350" t="s">
        <v>15</v>
      </c>
      <c r="L350">
        <v>60</v>
      </c>
      <c r="M350" t="s">
        <v>15</v>
      </c>
      <c r="N350" t="s">
        <v>451</v>
      </c>
      <c r="O350" t="s">
        <v>25</v>
      </c>
      <c r="P350" t="s">
        <v>479</v>
      </c>
      <c r="S350" t="s">
        <v>92</v>
      </c>
      <c r="T350" t="s">
        <v>23</v>
      </c>
      <c r="V350" t="s">
        <v>479</v>
      </c>
      <c r="W350" t="s">
        <v>34</v>
      </c>
      <c r="X350" t="s">
        <v>78</v>
      </c>
      <c r="Y350">
        <v>4.5100002288818297</v>
      </c>
      <c r="Z350">
        <v>3</v>
      </c>
      <c r="AA350">
        <v>1.6000000238418499</v>
      </c>
      <c r="AB350">
        <v>1.3600000143051101</v>
      </c>
      <c r="AC350">
        <v>271.082275390625</v>
      </c>
      <c r="AE350">
        <v>1</v>
      </c>
      <c r="AF350">
        <v>36</v>
      </c>
      <c r="AG350">
        <v>79</v>
      </c>
      <c r="AN350" t="s">
        <v>619</v>
      </c>
      <c r="AO350">
        <v>92.299999999999898</v>
      </c>
      <c r="AP350">
        <v>31.937716262975744</v>
      </c>
      <c r="AS350" s="1">
        <v>41218.81878603009</v>
      </c>
      <c r="AT350" s="1">
        <v>41218.928868055547</v>
      </c>
      <c r="AU350" s="1">
        <v>41300.796003240743</v>
      </c>
      <c r="AV350" s="1"/>
      <c r="AW350" s="1">
        <v>41300.796003240743</v>
      </c>
      <c r="AX350" s="1"/>
      <c r="BB350" s="5">
        <v>0</v>
      </c>
      <c r="BC350">
        <f t="shared" si="18"/>
        <v>30.452980480892425</v>
      </c>
      <c r="BD350">
        <v>137</v>
      </c>
      <c r="BE350">
        <v>3.7</v>
      </c>
      <c r="BF350">
        <v>2.7999999999999901</v>
      </c>
      <c r="BG350">
        <v>11.8</v>
      </c>
      <c r="BH350">
        <v>232</v>
      </c>
      <c r="BI350">
        <v>2.4399999999999902</v>
      </c>
      <c r="BJ350">
        <v>8.5</v>
      </c>
      <c r="BK350">
        <v>5.0999999999999899</v>
      </c>
      <c r="BL350">
        <v>11.6999999999999</v>
      </c>
      <c r="BM350">
        <v>57.579999999999899</v>
      </c>
      <c r="BN350">
        <v>6.2999999999999901</v>
      </c>
    </row>
    <row r="351" spans="1:66" x14ac:dyDescent="0.3">
      <c r="A351">
        <v>350</v>
      </c>
      <c r="B351" s="2" t="s">
        <v>434</v>
      </c>
      <c r="C351" s="2" t="s">
        <v>448</v>
      </c>
      <c r="D351">
        <v>70.046511627906</v>
      </c>
      <c r="E351" s="3">
        <v>42679.145833333343</v>
      </c>
      <c r="F351" s="1">
        <v>42102</v>
      </c>
      <c r="G351" s="1">
        <v>42073.410462962973</v>
      </c>
      <c r="H351" t="s">
        <v>31</v>
      </c>
      <c r="I351" t="s">
        <v>15</v>
      </c>
      <c r="J351" t="s">
        <v>35</v>
      </c>
      <c r="L351">
        <v>20</v>
      </c>
      <c r="M351" t="s">
        <v>79</v>
      </c>
      <c r="N351" t="s">
        <v>35</v>
      </c>
      <c r="O351" t="s">
        <v>17</v>
      </c>
      <c r="P351" t="s">
        <v>75</v>
      </c>
      <c r="Q351" t="s">
        <v>451</v>
      </c>
      <c r="S351" t="s">
        <v>92</v>
      </c>
      <c r="T351" t="s">
        <v>23</v>
      </c>
      <c r="V351" t="s">
        <v>451</v>
      </c>
      <c r="W351" t="s">
        <v>26</v>
      </c>
      <c r="X351" t="s">
        <v>90</v>
      </c>
      <c r="Y351">
        <v>6.9000000953674299</v>
      </c>
      <c r="Z351">
        <v>6.1900000572204501</v>
      </c>
      <c r="AA351">
        <v>1.1399999856948799</v>
      </c>
      <c r="AB351">
        <v>0.76999998092651301</v>
      </c>
      <c r="AC351">
        <v>296.20031738281199</v>
      </c>
      <c r="AD351">
        <v>125</v>
      </c>
      <c r="AE351">
        <v>2.6199998855590798</v>
      </c>
      <c r="AF351">
        <v>81</v>
      </c>
      <c r="AG351">
        <v>76</v>
      </c>
      <c r="AH351">
        <v>2</v>
      </c>
      <c r="AI351">
        <v>2</v>
      </c>
      <c r="AJ351">
        <v>38</v>
      </c>
      <c r="AK351">
        <v>4</v>
      </c>
      <c r="AL351">
        <v>8</v>
      </c>
      <c r="AM351">
        <v>9.5</v>
      </c>
      <c r="AN351" t="s">
        <v>620</v>
      </c>
      <c r="AO351">
        <v>101.599999999999</v>
      </c>
      <c r="AP351">
        <v>29.685902118334258</v>
      </c>
      <c r="AS351" s="1">
        <v>40710.737973726849</v>
      </c>
      <c r="AT351" s="1"/>
      <c r="AU351" s="1">
        <v>40710.737973726849</v>
      </c>
      <c r="AV351" s="1">
        <v>40710.737973726849</v>
      </c>
      <c r="AW351" s="1">
        <v>40874.482860335651</v>
      </c>
      <c r="AX351" s="1"/>
      <c r="AY351" t="s">
        <v>21</v>
      </c>
      <c r="BB351" s="2">
        <v>5</v>
      </c>
      <c r="BC351">
        <f t="shared" si="18"/>
        <v>42.184677223437269</v>
      </c>
      <c r="BD351">
        <v>135</v>
      </c>
      <c r="BE351">
        <v>4.7</v>
      </c>
      <c r="BF351">
        <v>3.7999999999999901</v>
      </c>
      <c r="BG351">
        <v>11.6999999999999</v>
      </c>
      <c r="BH351">
        <v>156</v>
      </c>
      <c r="BI351">
        <v>2.3399999999999901</v>
      </c>
      <c r="BJ351">
        <v>9.1999999999999904</v>
      </c>
      <c r="BK351">
        <v>4</v>
      </c>
      <c r="BL351">
        <v>11.6</v>
      </c>
      <c r="BM351">
        <v>16.62</v>
      </c>
      <c r="BN351">
        <v>6.7999999999999901</v>
      </c>
    </row>
    <row r="352" spans="1:66" x14ac:dyDescent="0.3">
      <c r="A352">
        <v>351</v>
      </c>
      <c r="B352" s="2" t="s">
        <v>434</v>
      </c>
      <c r="C352" s="2" t="s">
        <v>448</v>
      </c>
      <c r="D352">
        <v>72.0175558595529</v>
      </c>
      <c r="E352" s="3">
        <v>44795.618055555547</v>
      </c>
      <c r="F352" s="1">
        <v>44644.416666666657</v>
      </c>
      <c r="G352" s="1">
        <v>44299.395810185182</v>
      </c>
      <c r="H352" t="s">
        <v>15</v>
      </c>
      <c r="I352" t="s">
        <v>451</v>
      </c>
      <c r="J352" t="s">
        <v>453</v>
      </c>
      <c r="K352" t="s">
        <v>145</v>
      </c>
      <c r="L352">
        <v>60</v>
      </c>
      <c r="M352" t="s">
        <v>17</v>
      </c>
      <c r="N352" t="s">
        <v>28</v>
      </c>
      <c r="O352" t="s">
        <v>17</v>
      </c>
      <c r="P352" t="s">
        <v>126</v>
      </c>
      <c r="Q352" t="s">
        <v>451</v>
      </c>
      <c r="R352" t="s">
        <v>491</v>
      </c>
      <c r="S352" t="s">
        <v>126</v>
      </c>
      <c r="T352" t="s">
        <v>451</v>
      </c>
      <c r="U352" t="s">
        <v>272</v>
      </c>
      <c r="V352" t="s">
        <v>159</v>
      </c>
      <c r="W352" t="s">
        <v>18</v>
      </c>
      <c r="X352" t="s">
        <v>78</v>
      </c>
      <c r="Y352">
        <v>4.5399999618530202</v>
      </c>
      <c r="Z352">
        <v>3.2599999904632502</v>
      </c>
      <c r="AA352">
        <v>1.2799999713897701</v>
      </c>
      <c r="AB352">
        <v>1.03999996185302</v>
      </c>
      <c r="AC352">
        <v>191.33782958984301</v>
      </c>
      <c r="AD352">
        <v>95</v>
      </c>
      <c r="AE352">
        <v>1</v>
      </c>
      <c r="AF352">
        <v>46</v>
      </c>
      <c r="AG352">
        <v>171</v>
      </c>
      <c r="AN352" t="s">
        <v>621</v>
      </c>
      <c r="AO352">
        <v>103.9</v>
      </c>
      <c r="AP352">
        <v>36.378278071496098</v>
      </c>
      <c r="AR352" s="1">
        <v>41259</v>
      </c>
      <c r="AS352" s="1">
        <v>41014.647664351847</v>
      </c>
      <c r="AT352" s="1">
        <v>41017.376148611111</v>
      </c>
      <c r="AU352" s="1">
        <v>41259.519446261576</v>
      </c>
      <c r="AV352" s="1">
        <v>41014.647664351847</v>
      </c>
      <c r="AW352" s="1"/>
      <c r="AX352" s="1"/>
      <c r="BB352" s="2">
        <v>6</v>
      </c>
      <c r="BC352">
        <f t="shared" si="18"/>
        <v>61.314027310698378</v>
      </c>
      <c r="BD352">
        <v>117</v>
      </c>
      <c r="BE352">
        <v>4.9000000000000004</v>
      </c>
      <c r="BF352">
        <v>3.3999999999999901</v>
      </c>
      <c r="BG352">
        <v>10.1</v>
      </c>
      <c r="BH352">
        <v>126</v>
      </c>
      <c r="BI352">
        <v>1.6</v>
      </c>
      <c r="BJ352">
        <v>8.4</v>
      </c>
      <c r="BK352">
        <v>3.6</v>
      </c>
      <c r="BL352">
        <v>8.8000000000000007</v>
      </c>
      <c r="BM352">
        <v>5.99</v>
      </c>
      <c r="BN352">
        <v>7.5</v>
      </c>
    </row>
    <row r="353" spans="1:66" x14ac:dyDescent="0.3">
      <c r="A353">
        <v>352</v>
      </c>
      <c r="B353" s="2" t="s">
        <v>430</v>
      </c>
      <c r="C353" s="2" t="s">
        <v>448</v>
      </c>
      <c r="D353">
        <v>76.640218878248007</v>
      </c>
      <c r="E353" s="3"/>
      <c r="F353" s="1">
        <v>44815</v>
      </c>
      <c r="G353" s="1">
        <v>44784.54005787037</v>
      </c>
      <c r="H353" t="s">
        <v>15</v>
      </c>
      <c r="I353" t="s">
        <v>451</v>
      </c>
      <c r="J353" t="s">
        <v>15</v>
      </c>
      <c r="K353" t="s">
        <v>145</v>
      </c>
      <c r="L353">
        <v>60</v>
      </c>
      <c r="M353" t="s">
        <v>451</v>
      </c>
      <c r="N353" t="s">
        <v>451</v>
      </c>
      <c r="O353" t="s">
        <v>25</v>
      </c>
      <c r="P353" t="s">
        <v>451</v>
      </c>
      <c r="Q353" t="s">
        <v>19</v>
      </c>
      <c r="S353" t="s">
        <v>451</v>
      </c>
      <c r="T353" t="s">
        <v>18</v>
      </c>
      <c r="V353" t="s">
        <v>451</v>
      </c>
      <c r="W353" t="s">
        <v>18</v>
      </c>
      <c r="X353" t="s">
        <v>15</v>
      </c>
      <c r="Y353">
        <v>5</v>
      </c>
      <c r="Z353">
        <v>3.13000011444091</v>
      </c>
      <c r="AA353">
        <v>1.2400000095367401</v>
      </c>
      <c r="AB353">
        <v>0.93000000715255704</v>
      </c>
      <c r="AC353">
        <v>203.27670288085901</v>
      </c>
      <c r="AD353">
        <v>94</v>
      </c>
      <c r="AE353">
        <v>1</v>
      </c>
      <c r="AF353">
        <v>27</v>
      </c>
      <c r="AG353">
        <v>125</v>
      </c>
      <c r="AI353">
        <v>4.0300002098083398</v>
      </c>
      <c r="AJ353">
        <v>31.020000457763601</v>
      </c>
      <c r="AK353">
        <v>5.3299999237060502</v>
      </c>
      <c r="AL353">
        <v>8.6999998092651296</v>
      </c>
      <c r="AM353">
        <v>14.369999885559</v>
      </c>
      <c r="AN353" t="s">
        <v>622</v>
      </c>
      <c r="AO353">
        <v>97</v>
      </c>
      <c r="AP353">
        <v>24.742373227221712</v>
      </c>
      <c r="AR353" s="1">
        <v>36892</v>
      </c>
      <c r="AS353" s="1">
        <v>43347.542147453707</v>
      </c>
      <c r="AT353" s="1"/>
      <c r="AU353" s="1">
        <v>43347.833207719908</v>
      </c>
      <c r="AV353" s="1"/>
      <c r="AW353" s="1">
        <v>43347.83322565972</v>
      </c>
      <c r="AX353" s="1"/>
      <c r="BA353">
        <v>76</v>
      </c>
      <c r="BB353" s="2">
        <v>1</v>
      </c>
      <c r="BC353">
        <f t="shared" si="18"/>
        <v>10.873847786287953</v>
      </c>
      <c r="BD353">
        <v>140</v>
      </c>
      <c r="BE353">
        <v>4.5</v>
      </c>
      <c r="BF353">
        <v>3.8999999999999901</v>
      </c>
      <c r="BG353">
        <v>9.5999999999999908</v>
      </c>
      <c r="BH353">
        <v>205</v>
      </c>
      <c r="BI353">
        <v>7.8499999999999899</v>
      </c>
      <c r="BJ353">
        <v>8.5</v>
      </c>
      <c r="BK353">
        <v>6.5999999999999899</v>
      </c>
      <c r="BL353">
        <v>9.9</v>
      </c>
      <c r="BM353">
        <v>12.84</v>
      </c>
      <c r="BN353">
        <v>6.2999999999999901</v>
      </c>
    </row>
    <row r="354" spans="1:66" x14ac:dyDescent="0.3">
      <c r="A354">
        <v>353</v>
      </c>
      <c r="B354" s="2" t="s">
        <v>430</v>
      </c>
      <c r="C354" s="2" t="s">
        <v>449</v>
      </c>
      <c r="D354">
        <v>76.525307797536897</v>
      </c>
      <c r="E354" s="3">
        <v>43247</v>
      </c>
      <c r="F354" s="1">
        <v>42235</v>
      </c>
      <c r="G354" s="1">
        <v>42047.615474537037</v>
      </c>
      <c r="H354" t="s">
        <v>15</v>
      </c>
      <c r="I354" t="s">
        <v>451</v>
      </c>
      <c r="J354" t="s">
        <v>15</v>
      </c>
      <c r="L354">
        <v>65</v>
      </c>
      <c r="M354" t="s">
        <v>451</v>
      </c>
      <c r="N354" t="s">
        <v>451</v>
      </c>
      <c r="O354" t="s">
        <v>451</v>
      </c>
      <c r="P354" t="s">
        <v>75</v>
      </c>
      <c r="Q354" t="s">
        <v>451</v>
      </c>
      <c r="R354" t="s">
        <v>492</v>
      </c>
      <c r="S354" t="s">
        <v>451</v>
      </c>
      <c r="T354" t="s">
        <v>29</v>
      </c>
      <c r="V354" t="s">
        <v>451</v>
      </c>
      <c r="W354" t="s">
        <v>23</v>
      </c>
      <c r="X354" t="s">
        <v>78</v>
      </c>
      <c r="Y354">
        <v>4.8699998855590803</v>
      </c>
      <c r="Z354">
        <v>2.6099998950958199</v>
      </c>
      <c r="AA354">
        <v>1.3999999761581401</v>
      </c>
      <c r="AB354">
        <v>0.980000019073486</v>
      </c>
      <c r="AC354">
        <v>221.55992126464801</v>
      </c>
      <c r="AD354">
        <v>145</v>
      </c>
      <c r="AE354">
        <v>1</v>
      </c>
      <c r="AF354">
        <v>39</v>
      </c>
      <c r="AG354">
        <v>152</v>
      </c>
      <c r="AH354">
        <v>6.4299998283386204</v>
      </c>
      <c r="AI354">
        <v>5.3499999046325604</v>
      </c>
      <c r="AJ354">
        <v>28.409999847412099</v>
      </c>
      <c r="AK354">
        <v>8.1000003814697195</v>
      </c>
      <c r="AL354">
        <v>8.4399995803833008</v>
      </c>
      <c r="AM354">
        <v>18.0100002288818</v>
      </c>
      <c r="AN354" t="s">
        <v>623</v>
      </c>
      <c r="AO354">
        <v>45.2</v>
      </c>
      <c r="AP354">
        <v>17.65625</v>
      </c>
      <c r="AS354" s="1"/>
      <c r="AT354" s="1"/>
      <c r="AU354" s="1">
        <v>41198.490064733793</v>
      </c>
      <c r="AV354" s="1"/>
      <c r="AW354" s="1">
        <v>41198.490064733793</v>
      </c>
      <c r="AX354" s="1"/>
      <c r="AY354" t="s">
        <v>21</v>
      </c>
      <c r="BB354" s="2">
        <v>2</v>
      </c>
      <c r="BC354">
        <f t="shared" si="18"/>
        <v>4.585500715303886</v>
      </c>
      <c r="BD354">
        <v>135</v>
      </c>
      <c r="BE354">
        <v>3.8999999999999901</v>
      </c>
      <c r="BF354">
        <v>4.2</v>
      </c>
      <c r="BG354">
        <v>10.4</v>
      </c>
      <c r="BH354">
        <v>279</v>
      </c>
      <c r="BI354">
        <v>8.6899999999999906</v>
      </c>
      <c r="BJ354">
        <v>12.8</v>
      </c>
      <c r="BK354">
        <v>8.0999999999999908</v>
      </c>
      <c r="BL354">
        <v>8.5</v>
      </c>
      <c r="BM354">
        <v>1.3</v>
      </c>
      <c r="BN354">
        <v>5.0999999999999899</v>
      </c>
    </row>
    <row r="355" spans="1:66" x14ac:dyDescent="0.3">
      <c r="A355">
        <v>354</v>
      </c>
      <c r="B355" s="2" t="s">
        <v>430</v>
      </c>
      <c r="C355" s="2" t="s">
        <v>448</v>
      </c>
      <c r="D355">
        <v>74.759511323908896</v>
      </c>
      <c r="E355" s="3">
        <v>43782.301388888889</v>
      </c>
      <c r="F355" s="1">
        <v>43762.601388888892</v>
      </c>
      <c r="G355" s="1">
        <v>43755.450601851851</v>
      </c>
      <c r="H355" t="s">
        <v>17</v>
      </c>
      <c r="I355" t="s">
        <v>15</v>
      </c>
      <c r="J355" t="s">
        <v>14</v>
      </c>
      <c r="L355">
        <v>45</v>
      </c>
      <c r="M355" t="s">
        <v>451</v>
      </c>
      <c r="N355" t="s">
        <v>451</v>
      </c>
      <c r="O355" t="s">
        <v>17</v>
      </c>
      <c r="P355" t="s">
        <v>75</v>
      </c>
      <c r="Q355" t="s">
        <v>19</v>
      </c>
      <c r="S355" t="s">
        <v>451</v>
      </c>
      <c r="T355" t="s">
        <v>19</v>
      </c>
      <c r="V355" t="s">
        <v>451</v>
      </c>
      <c r="W355" t="s">
        <v>19</v>
      </c>
      <c r="X355" t="s">
        <v>15</v>
      </c>
      <c r="Y355">
        <v>5.5</v>
      </c>
      <c r="Z355">
        <v>4.3600001335143999</v>
      </c>
      <c r="AA355">
        <v>1.1399999856948799</v>
      </c>
      <c r="AB355">
        <v>0.89999997615814198</v>
      </c>
      <c r="AC355">
        <v>218.822006225585</v>
      </c>
      <c r="AD355">
        <v>120</v>
      </c>
      <c r="AE355">
        <v>1.87999999523162</v>
      </c>
      <c r="AF355">
        <v>34</v>
      </c>
      <c r="AG355">
        <v>99.400001525878906</v>
      </c>
      <c r="AH355">
        <v>7.4000000953674299</v>
      </c>
      <c r="AI355">
        <v>6.0900001525878897</v>
      </c>
      <c r="AJ355">
        <v>16.319999694824201</v>
      </c>
      <c r="AK355">
        <v>5.5500001907348597</v>
      </c>
      <c r="AL355">
        <v>5.8699998855590803</v>
      </c>
      <c r="AM355">
        <v>16.9300003051757</v>
      </c>
      <c r="AN355" t="s">
        <v>624</v>
      </c>
      <c r="AO355">
        <v>75.099999999999895</v>
      </c>
      <c r="AP355">
        <v>25.986159169550135</v>
      </c>
      <c r="AQ355" s="1">
        <v>40372</v>
      </c>
      <c r="AS355" s="1">
        <v>40000.586591817133</v>
      </c>
      <c r="AT355" s="1"/>
      <c r="AU355" s="1">
        <v>40000.587924502317</v>
      </c>
      <c r="AV355" s="1">
        <v>40000.588001851851</v>
      </c>
      <c r="AW355" s="1">
        <v>43722.297924456019</v>
      </c>
      <c r="AX355" s="1"/>
      <c r="AZ355">
        <v>133</v>
      </c>
      <c r="BA355">
        <v>78</v>
      </c>
      <c r="BB355" s="5">
        <v>0</v>
      </c>
      <c r="BC355">
        <f t="shared" si="18"/>
        <v>10.373392402554291</v>
      </c>
      <c r="BD355">
        <v>133</v>
      </c>
      <c r="BE355">
        <v>4.2</v>
      </c>
      <c r="BF355">
        <v>3</v>
      </c>
      <c r="BG355">
        <v>14</v>
      </c>
      <c r="BH355">
        <v>284</v>
      </c>
      <c r="BI355">
        <v>6.5599999999999898</v>
      </c>
      <c r="BJ355">
        <v>8.6999999999999904</v>
      </c>
      <c r="BK355">
        <v>8.5</v>
      </c>
      <c r="BL355">
        <v>14.5</v>
      </c>
      <c r="BM355">
        <v>61.63</v>
      </c>
      <c r="BN355">
        <v>5.0999999999999899</v>
      </c>
    </row>
    <row r="356" spans="1:66" x14ac:dyDescent="0.3">
      <c r="A356">
        <v>355</v>
      </c>
      <c r="B356" s="2" t="s">
        <v>430</v>
      </c>
      <c r="C356" s="2" t="s">
        <v>448</v>
      </c>
      <c r="D356">
        <v>76</v>
      </c>
      <c r="E356" s="3">
        <v>44938.154861111107</v>
      </c>
      <c r="F356" s="1">
        <v>44913</v>
      </c>
      <c r="G356" s="1">
        <v>44871.382106481477</v>
      </c>
      <c r="H356" t="s">
        <v>17</v>
      </c>
      <c r="I356" t="s">
        <v>78</v>
      </c>
      <c r="J356" t="s">
        <v>15</v>
      </c>
      <c r="L356">
        <v>55</v>
      </c>
      <c r="M356" t="s">
        <v>451</v>
      </c>
      <c r="N356" t="s">
        <v>451</v>
      </c>
      <c r="O356" t="s">
        <v>31</v>
      </c>
      <c r="P356" t="s">
        <v>75</v>
      </c>
      <c r="Q356" t="s">
        <v>19</v>
      </c>
      <c r="R356" t="s">
        <v>98</v>
      </c>
      <c r="S356" t="s">
        <v>75</v>
      </c>
      <c r="T356" t="s">
        <v>29</v>
      </c>
      <c r="V356" t="s">
        <v>451</v>
      </c>
      <c r="W356" t="s">
        <v>29</v>
      </c>
      <c r="X356" t="s">
        <v>90</v>
      </c>
      <c r="Y356">
        <v>6</v>
      </c>
      <c r="Z356">
        <v>4.96000003814697</v>
      </c>
      <c r="AA356">
        <v>1.2699999809265099</v>
      </c>
      <c r="AB356">
        <v>1</v>
      </c>
      <c r="AC356">
        <v>291.47491455078102</v>
      </c>
      <c r="AD356">
        <v>139</v>
      </c>
      <c r="AE356">
        <v>1</v>
      </c>
      <c r="AF356">
        <v>68</v>
      </c>
      <c r="AG356">
        <v>166</v>
      </c>
      <c r="AI356">
        <v>8.8000001907348597</v>
      </c>
      <c r="AJ356">
        <v>18.860000610351499</v>
      </c>
      <c r="AK356">
        <v>7.7399997711181596</v>
      </c>
      <c r="AL356">
        <v>14.399999618530201</v>
      </c>
      <c r="AM356">
        <v>11.529999732971101</v>
      </c>
      <c r="AN356" t="s">
        <v>625</v>
      </c>
      <c r="AO356">
        <v>75</v>
      </c>
      <c r="AP356">
        <v>23.671253629592226</v>
      </c>
      <c r="AS356" s="1"/>
      <c r="AT356" s="1">
        <v>44868.809002581023</v>
      </c>
      <c r="AU356" s="1"/>
      <c r="AV356" s="1">
        <v>44868.809002581023</v>
      </c>
      <c r="AW356" s="1">
        <v>44868.810361493059</v>
      </c>
      <c r="AX356" s="1">
        <v>44868.809976469907</v>
      </c>
      <c r="AZ356">
        <v>122</v>
      </c>
      <c r="BA356">
        <v>71</v>
      </c>
      <c r="BB356" s="5">
        <v>0</v>
      </c>
      <c r="BC356">
        <f t="shared" si="18"/>
        <v>20.202020202020265</v>
      </c>
      <c r="BD356">
        <v>157</v>
      </c>
      <c r="BE356">
        <v>3.7</v>
      </c>
      <c r="BF356">
        <v>3.2</v>
      </c>
      <c r="BG356">
        <v>9.8000000000000007</v>
      </c>
      <c r="BH356">
        <v>297</v>
      </c>
      <c r="BI356">
        <v>3.2999999999999901</v>
      </c>
      <c r="BJ356">
        <v>9</v>
      </c>
      <c r="BK356">
        <v>3.2999999999999901</v>
      </c>
      <c r="BL356">
        <v>12.1999999999999</v>
      </c>
      <c r="BM356">
        <v>72.799999999999898</v>
      </c>
      <c r="BN356">
        <v>5.2999999999999901</v>
      </c>
    </row>
    <row r="357" spans="1:66" x14ac:dyDescent="0.3">
      <c r="A357">
        <v>356</v>
      </c>
      <c r="B357" s="2" t="s">
        <v>430</v>
      </c>
      <c r="C357" s="2" t="s">
        <v>448</v>
      </c>
      <c r="D357">
        <v>89.283173734610102</v>
      </c>
      <c r="E357" s="3">
        <v>43707.875</v>
      </c>
      <c r="F357" s="1">
        <v>43667</v>
      </c>
      <c r="G357" s="1">
        <v>43667.492245370369</v>
      </c>
      <c r="H357" t="s">
        <v>17</v>
      </c>
      <c r="I357" t="s">
        <v>78</v>
      </c>
      <c r="J357" t="s">
        <v>14</v>
      </c>
      <c r="L357">
        <v>45</v>
      </c>
      <c r="M357" t="s">
        <v>451</v>
      </c>
      <c r="N357" t="s">
        <v>451</v>
      </c>
      <c r="O357" t="s">
        <v>17</v>
      </c>
      <c r="P357" t="s">
        <v>75</v>
      </c>
      <c r="Q357" t="s">
        <v>18</v>
      </c>
      <c r="S357" t="s">
        <v>451</v>
      </c>
      <c r="T357" t="s">
        <v>19</v>
      </c>
      <c r="U357" t="s">
        <v>96</v>
      </c>
      <c r="V357" t="s">
        <v>451</v>
      </c>
      <c r="W357" t="s">
        <v>19</v>
      </c>
      <c r="X357" t="s">
        <v>78</v>
      </c>
      <c r="Y357">
        <v>5.6999998092651296</v>
      </c>
      <c r="Z357">
        <v>3.9000000953674299</v>
      </c>
      <c r="AA357">
        <v>1.29999995231628</v>
      </c>
      <c r="AB357">
        <v>1.20000004768371</v>
      </c>
      <c r="AC357">
        <v>305.25759887695301</v>
      </c>
      <c r="AE357">
        <v>1.4400000572204501</v>
      </c>
      <c r="AF357">
        <v>43</v>
      </c>
      <c r="AN357" t="s">
        <v>626</v>
      </c>
      <c r="AS357" s="1">
        <v>40292.360093437499</v>
      </c>
      <c r="AT357" s="1"/>
      <c r="AU357" s="1">
        <v>40292.359164351852</v>
      </c>
      <c r="AV357" s="1">
        <v>40292.359911493048</v>
      </c>
      <c r="AW357" s="1"/>
      <c r="AX357" s="1"/>
      <c r="BB357" s="5">
        <v>0</v>
      </c>
      <c r="BC357">
        <v>9.3000000000000007</v>
      </c>
      <c r="BD357">
        <v>143</v>
      </c>
      <c r="BE357">
        <v>4.2999999999999901</v>
      </c>
      <c r="BF357">
        <v>2.7999999999999901</v>
      </c>
      <c r="BG357">
        <v>13.6999999999999</v>
      </c>
      <c r="BH357">
        <v>266</v>
      </c>
      <c r="BI357">
        <v>5.82</v>
      </c>
      <c r="BJ357">
        <v>8.5999999999999908</v>
      </c>
      <c r="BK357">
        <v>8.9</v>
      </c>
      <c r="BL357">
        <v>17.8</v>
      </c>
      <c r="BM357">
        <v>150.93</v>
      </c>
      <c r="BN357">
        <v>5.5</v>
      </c>
    </row>
    <row r="358" spans="1:66" x14ac:dyDescent="0.3">
      <c r="A358">
        <v>357</v>
      </c>
      <c r="B358" s="2" t="s">
        <v>430</v>
      </c>
      <c r="C358" s="2" t="s">
        <v>448</v>
      </c>
      <c r="D358">
        <v>80.8536251709981</v>
      </c>
      <c r="E358" s="3">
        <v>45431.326388888891</v>
      </c>
      <c r="F358" s="1">
        <v>44529</v>
      </c>
      <c r="G358" s="1">
        <v>44225.410266203697</v>
      </c>
      <c r="H358" t="s">
        <v>15</v>
      </c>
      <c r="I358" t="s">
        <v>15</v>
      </c>
      <c r="J358" t="s">
        <v>30</v>
      </c>
      <c r="L358">
        <v>30</v>
      </c>
      <c r="M358" t="s">
        <v>451</v>
      </c>
      <c r="N358" t="s">
        <v>451</v>
      </c>
      <c r="O358" t="s">
        <v>17</v>
      </c>
      <c r="P358" t="s">
        <v>75</v>
      </c>
      <c r="Q358" t="s">
        <v>451</v>
      </c>
      <c r="S358" t="s">
        <v>451</v>
      </c>
      <c r="T358" t="s">
        <v>19</v>
      </c>
      <c r="U358" t="s">
        <v>514</v>
      </c>
      <c r="V358" t="s">
        <v>451</v>
      </c>
      <c r="W358" t="s">
        <v>19</v>
      </c>
      <c r="X358" t="s">
        <v>87</v>
      </c>
      <c r="Y358">
        <v>5.2800002098083398</v>
      </c>
      <c r="Z358">
        <v>4.38000011444091</v>
      </c>
      <c r="AA358">
        <v>1.0299999713897701</v>
      </c>
      <c r="AB358">
        <v>1</v>
      </c>
      <c r="AC358">
        <v>203.12538146972599</v>
      </c>
      <c r="AD358">
        <v>122</v>
      </c>
      <c r="AE358">
        <v>2.5</v>
      </c>
      <c r="AF358">
        <v>51</v>
      </c>
      <c r="AG358">
        <v>119</v>
      </c>
      <c r="AH358">
        <v>5.6599998474120996</v>
      </c>
      <c r="AI358">
        <v>4.46000003814697</v>
      </c>
      <c r="AJ358">
        <v>26.6800003051757</v>
      </c>
      <c r="AK358">
        <v>6.42000007629394</v>
      </c>
      <c r="AL358">
        <v>5.7699999809265101</v>
      </c>
      <c r="AM358">
        <v>20.620000839233299</v>
      </c>
      <c r="AN358" t="s">
        <v>627</v>
      </c>
      <c r="AS358" s="1">
        <v>41011.640510798607</v>
      </c>
      <c r="AT358" s="1">
        <v>41021.920924108803</v>
      </c>
      <c r="AU358" s="1"/>
      <c r="AV358" s="1">
        <v>41011.642129201391</v>
      </c>
      <c r="AW358" s="1">
        <v>41011.642129201391</v>
      </c>
      <c r="AX358" s="1">
        <v>41011.642129201391</v>
      </c>
      <c r="AZ358">
        <v>144</v>
      </c>
      <c r="BA358">
        <v>70</v>
      </c>
      <c r="BB358" s="2">
        <v>1</v>
      </c>
      <c r="BC358">
        <v>12.4</v>
      </c>
      <c r="BD358">
        <v>142</v>
      </c>
      <c r="BE358">
        <v>4.2</v>
      </c>
      <c r="BF358">
        <v>3.1</v>
      </c>
      <c r="BG358">
        <v>8.3000000000000007</v>
      </c>
      <c r="BH358">
        <v>298</v>
      </c>
      <c r="BI358">
        <v>4.57</v>
      </c>
      <c r="BJ358">
        <v>7.2999999999999901</v>
      </c>
      <c r="BK358">
        <v>6.9</v>
      </c>
      <c r="BL358">
        <v>11</v>
      </c>
      <c r="BM358">
        <v>73.73</v>
      </c>
      <c r="BN358">
        <v>6.5</v>
      </c>
    </row>
    <row r="359" spans="1:66" x14ac:dyDescent="0.3">
      <c r="A359">
        <v>358</v>
      </c>
      <c r="B359" s="2" t="s">
        <v>430</v>
      </c>
      <c r="C359" s="2" t="s">
        <v>449</v>
      </c>
      <c r="D359">
        <v>76.979480164158005</v>
      </c>
      <c r="E359" s="3">
        <v>42837</v>
      </c>
      <c r="F359" s="1">
        <v>42613</v>
      </c>
      <c r="G359" s="1">
        <v>42313.521215277768</v>
      </c>
      <c r="H359" t="s">
        <v>15</v>
      </c>
      <c r="I359" t="s">
        <v>87</v>
      </c>
      <c r="J359" t="s">
        <v>15</v>
      </c>
      <c r="L359">
        <v>50</v>
      </c>
      <c r="M359" t="s">
        <v>451</v>
      </c>
      <c r="N359" t="s">
        <v>451</v>
      </c>
      <c r="O359" t="s">
        <v>25</v>
      </c>
      <c r="P359" t="s">
        <v>75</v>
      </c>
      <c r="Q359" t="s">
        <v>19</v>
      </c>
      <c r="R359" t="s">
        <v>493</v>
      </c>
      <c r="S359" t="s">
        <v>451</v>
      </c>
      <c r="T359" t="s">
        <v>23</v>
      </c>
      <c r="U359" t="s">
        <v>96</v>
      </c>
      <c r="V359" t="s">
        <v>451</v>
      </c>
      <c r="W359" t="s">
        <v>23</v>
      </c>
      <c r="X359" t="s">
        <v>87</v>
      </c>
      <c r="Y359">
        <v>4.1900000572204501</v>
      </c>
      <c r="Z359">
        <v>3.13000011444091</v>
      </c>
      <c r="AA359">
        <v>1.5199999809265099</v>
      </c>
      <c r="AB359">
        <v>1.15999996662139</v>
      </c>
      <c r="AC359">
        <v>209.16795349121</v>
      </c>
      <c r="AD359">
        <v>112</v>
      </c>
      <c r="AE359">
        <v>1</v>
      </c>
      <c r="AF359">
        <v>46</v>
      </c>
      <c r="AG359">
        <v>136</v>
      </c>
      <c r="AH359">
        <v>3.8399999141693102</v>
      </c>
      <c r="AI359">
        <v>6.9299998283386204</v>
      </c>
      <c r="AJ359">
        <v>19.620000839233299</v>
      </c>
      <c r="AK359">
        <v>5.1799998283386204</v>
      </c>
      <c r="AL359">
        <v>8.1000003814697195</v>
      </c>
      <c r="AM359">
        <v>16.790000915527301</v>
      </c>
      <c r="AN359" t="s">
        <v>628</v>
      </c>
      <c r="AO359">
        <v>95.2</v>
      </c>
      <c r="AP359">
        <v>39.119000657462195</v>
      </c>
      <c r="AS359" s="1">
        <v>42600.562189317126</v>
      </c>
      <c r="AT359" s="1">
        <v>41945.496697418981</v>
      </c>
      <c r="AU359" s="1">
        <v>41956.427999108797</v>
      </c>
      <c r="AV359" s="1">
        <v>41956.427999108797</v>
      </c>
      <c r="AW359" s="1">
        <v>42039.5639252662</v>
      </c>
      <c r="AX359" s="1"/>
      <c r="BB359" s="5">
        <v>0</v>
      </c>
      <c r="BC359">
        <f t="shared" ref="BC359:BC368" si="19">(140-D359)*AO359/(72*BI359)</f>
        <v>14.959987752773184</v>
      </c>
      <c r="BD359">
        <v>140</v>
      </c>
      <c r="BE359">
        <v>5.0999999999999899</v>
      </c>
      <c r="BF359">
        <v>3.8999999999999901</v>
      </c>
      <c r="BH359">
        <v>155</v>
      </c>
      <c r="BI359">
        <v>5.57</v>
      </c>
      <c r="BJ359">
        <v>8.8000000000000007</v>
      </c>
      <c r="BK359">
        <v>4.5</v>
      </c>
      <c r="BL359">
        <v>8.0999999999999908</v>
      </c>
      <c r="BM359">
        <v>15.89</v>
      </c>
    </row>
    <row r="360" spans="1:66" x14ac:dyDescent="0.3">
      <c r="A360">
        <v>359</v>
      </c>
      <c r="B360" s="2" t="s">
        <v>430</v>
      </c>
      <c r="C360" s="2" t="s">
        <v>448</v>
      </c>
      <c r="D360">
        <v>68.916552667578003</v>
      </c>
      <c r="E360" s="3">
        <v>43465.667361111111</v>
      </c>
      <c r="F360" s="1">
        <v>43149</v>
      </c>
      <c r="G360" s="1">
        <v>42817.673090277778</v>
      </c>
      <c r="H360" t="s">
        <v>31</v>
      </c>
      <c r="I360" t="s">
        <v>15</v>
      </c>
      <c r="J360" t="s">
        <v>35</v>
      </c>
      <c r="L360">
        <v>20</v>
      </c>
      <c r="M360" t="s">
        <v>79</v>
      </c>
      <c r="N360" t="s">
        <v>35</v>
      </c>
      <c r="O360" t="s">
        <v>17</v>
      </c>
      <c r="P360" t="s">
        <v>479</v>
      </c>
      <c r="Q360" t="s">
        <v>18</v>
      </c>
      <c r="S360" t="s">
        <v>451</v>
      </c>
      <c r="T360" t="s">
        <v>19</v>
      </c>
      <c r="V360" t="s">
        <v>451</v>
      </c>
      <c r="W360" t="s">
        <v>29</v>
      </c>
      <c r="X360" t="s">
        <v>90</v>
      </c>
      <c r="Y360">
        <v>6.9499998092651296</v>
      </c>
      <c r="Z360">
        <v>6.4000000953674299</v>
      </c>
      <c r="AA360">
        <v>0.82999998331069902</v>
      </c>
      <c r="AB360">
        <v>0.86000001430511397</v>
      </c>
      <c r="AC360">
        <v>257.91278076171801</v>
      </c>
      <c r="AD360">
        <v>132</v>
      </c>
      <c r="AE360">
        <v>2.5599999427795401</v>
      </c>
      <c r="AF360">
        <v>57</v>
      </c>
      <c r="AG360">
        <v>98.5</v>
      </c>
      <c r="AH360">
        <v>4.13000011444091</v>
      </c>
      <c r="AI360">
        <v>3.0499999523162802</v>
      </c>
      <c r="AJ360">
        <v>32.299999237060497</v>
      </c>
      <c r="AK360">
        <v>3.1500000953674299</v>
      </c>
      <c r="AL360">
        <v>4.6799998283386204</v>
      </c>
      <c r="AM360">
        <v>21.049999237060501</v>
      </c>
      <c r="AN360" t="s">
        <v>629</v>
      </c>
      <c r="AO360">
        <v>84.4</v>
      </c>
      <c r="AP360">
        <v>30.628538249383077</v>
      </c>
      <c r="AQ360" s="1">
        <v>32143</v>
      </c>
      <c r="AR360" s="1">
        <v>33970</v>
      </c>
      <c r="AS360" s="1">
        <v>40520.377566516203</v>
      </c>
      <c r="AT360" s="1">
        <v>40696.42181068287</v>
      </c>
      <c r="AU360" s="1"/>
      <c r="AV360" s="1">
        <v>42940.521739236108</v>
      </c>
      <c r="AW360" s="1"/>
      <c r="AX360" s="1"/>
      <c r="AZ360">
        <v>105</v>
      </c>
      <c r="BA360">
        <v>52</v>
      </c>
      <c r="BB360" s="2">
        <v>9</v>
      </c>
      <c r="BC360">
        <f t="shared" si="19"/>
        <v>18.273157148076358</v>
      </c>
      <c r="BD360">
        <v>133</v>
      </c>
      <c r="BE360">
        <v>5.2</v>
      </c>
      <c r="BF360">
        <v>3.5</v>
      </c>
      <c r="BG360">
        <v>12.1999999999999</v>
      </c>
      <c r="BH360">
        <v>363</v>
      </c>
      <c r="BI360">
        <v>4.5599999999999898</v>
      </c>
      <c r="BJ360">
        <v>7.7999999999999901</v>
      </c>
      <c r="BK360">
        <v>7.7999999999999901</v>
      </c>
      <c r="BL360">
        <v>9.0999999999999908</v>
      </c>
      <c r="BM360">
        <v>123.45</v>
      </c>
      <c r="BN360">
        <v>5.7</v>
      </c>
    </row>
    <row r="361" spans="1:66" x14ac:dyDescent="0.3">
      <c r="A361">
        <v>360</v>
      </c>
      <c r="B361" s="2" t="s">
        <v>430</v>
      </c>
      <c r="C361" s="2" t="s">
        <v>448</v>
      </c>
      <c r="D361">
        <v>67.195622435019999</v>
      </c>
      <c r="E361" s="3"/>
      <c r="F361" s="1">
        <v>44998</v>
      </c>
      <c r="G361" s="1">
        <v>44993.547905092593</v>
      </c>
      <c r="H361" t="s">
        <v>15</v>
      </c>
      <c r="I361" t="s">
        <v>78</v>
      </c>
      <c r="J361" t="s">
        <v>453</v>
      </c>
      <c r="L361">
        <v>50</v>
      </c>
      <c r="M361" t="s">
        <v>451</v>
      </c>
      <c r="N361" t="s">
        <v>451</v>
      </c>
      <c r="O361" t="s">
        <v>15</v>
      </c>
      <c r="P361" t="s">
        <v>75</v>
      </c>
      <c r="Q361" t="s">
        <v>18</v>
      </c>
      <c r="S361" t="s">
        <v>451</v>
      </c>
      <c r="T361" t="s">
        <v>18</v>
      </c>
      <c r="V361" t="s">
        <v>451</v>
      </c>
      <c r="W361" t="s">
        <v>23</v>
      </c>
      <c r="X361" t="s">
        <v>78</v>
      </c>
      <c r="Y361">
        <v>4.63000011444091</v>
      </c>
      <c r="Z361">
        <v>2.9300000667571999</v>
      </c>
      <c r="AA361">
        <v>1.2300000190734801</v>
      </c>
      <c r="AB361">
        <v>0.95999997854232699</v>
      </c>
      <c r="AC361">
        <v>181.94415283203099</v>
      </c>
      <c r="AD361">
        <v>98</v>
      </c>
      <c r="AE361">
        <v>1</v>
      </c>
      <c r="AF361">
        <v>46</v>
      </c>
      <c r="AG361">
        <v>118</v>
      </c>
      <c r="AI361">
        <v>4.6799998283386204</v>
      </c>
      <c r="AJ361">
        <v>25.209999084472599</v>
      </c>
      <c r="AK361">
        <v>6.0900001525878897</v>
      </c>
      <c r="AL361">
        <v>9.8999996185302699</v>
      </c>
      <c r="AM361">
        <v>11.920000076293899</v>
      </c>
      <c r="AN361" t="s">
        <v>630</v>
      </c>
      <c r="AO361">
        <v>98</v>
      </c>
      <c r="AP361">
        <v>34.722222222222221</v>
      </c>
      <c r="AQ361" s="1">
        <v>42767</v>
      </c>
      <c r="AS361" s="1">
        <v>42778.510867858793</v>
      </c>
      <c r="AT361" s="1"/>
      <c r="AU361" s="1">
        <v>42778.510867858793</v>
      </c>
      <c r="AV361" s="1">
        <v>42778.510867858793</v>
      </c>
      <c r="AW361" s="1">
        <v>42883.506203506942</v>
      </c>
      <c r="AX361" s="1"/>
      <c r="AZ361">
        <v>55</v>
      </c>
      <c r="BA361">
        <v>137</v>
      </c>
      <c r="BB361" s="2">
        <v>2</v>
      </c>
      <c r="BC361">
        <f t="shared" si="19"/>
        <v>23.045313311912327</v>
      </c>
      <c r="BD361">
        <v>136</v>
      </c>
      <c r="BE361">
        <v>5</v>
      </c>
      <c r="BF361">
        <v>3.1</v>
      </c>
      <c r="BG361">
        <v>9</v>
      </c>
      <c r="BH361">
        <v>305</v>
      </c>
      <c r="BI361">
        <v>4.2999999999999901</v>
      </c>
      <c r="BJ361">
        <v>6.5</v>
      </c>
      <c r="BK361">
        <v>5.7</v>
      </c>
      <c r="BL361">
        <v>9.3000000000000007</v>
      </c>
      <c r="BM361">
        <v>60.43</v>
      </c>
      <c r="BN361">
        <v>7</v>
      </c>
    </row>
    <row r="362" spans="1:66" x14ac:dyDescent="0.3">
      <c r="A362">
        <v>361</v>
      </c>
      <c r="B362" s="2" t="s">
        <v>430</v>
      </c>
      <c r="C362" s="2" t="s">
        <v>448</v>
      </c>
      <c r="D362">
        <v>63.088919288645002</v>
      </c>
      <c r="E362" s="3">
        <v>44717.90625</v>
      </c>
      <c r="F362" s="1">
        <v>44629</v>
      </c>
      <c r="G362" s="1">
        <v>44379.306145833332</v>
      </c>
      <c r="H362" t="s">
        <v>15</v>
      </c>
      <c r="I362" t="s">
        <v>15</v>
      </c>
      <c r="J362" t="s">
        <v>28</v>
      </c>
      <c r="L362">
        <v>40</v>
      </c>
      <c r="M362" t="s">
        <v>451</v>
      </c>
      <c r="N362" t="s">
        <v>28</v>
      </c>
      <c r="O362" t="s">
        <v>17</v>
      </c>
      <c r="P362" t="s">
        <v>451</v>
      </c>
      <c r="Q362" t="s">
        <v>451</v>
      </c>
      <c r="S362" t="s">
        <v>137</v>
      </c>
      <c r="T362" t="s">
        <v>23</v>
      </c>
      <c r="V362" t="s">
        <v>451</v>
      </c>
      <c r="W362" t="s">
        <v>34</v>
      </c>
      <c r="X362" t="s">
        <v>90</v>
      </c>
      <c r="Y362">
        <v>5.17000007629394</v>
      </c>
      <c r="Z362">
        <v>3.25</v>
      </c>
      <c r="AA362">
        <v>0.87999999523162797</v>
      </c>
      <c r="AB362">
        <v>0.88999998569488503</v>
      </c>
      <c r="AC362">
        <v>163.72772216796801</v>
      </c>
      <c r="AD362">
        <v>83</v>
      </c>
      <c r="AE362">
        <v>1</v>
      </c>
      <c r="AF362">
        <v>70</v>
      </c>
      <c r="AG362">
        <v>208</v>
      </c>
      <c r="AN362" t="s">
        <v>631</v>
      </c>
      <c r="AO362">
        <v>101.2</v>
      </c>
      <c r="AP362">
        <v>36.725214109449851</v>
      </c>
      <c r="AQ362" s="1">
        <v>41974</v>
      </c>
      <c r="AS362" s="1">
        <v>43604.556165393522</v>
      </c>
      <c r="AT362" s="1"/>
      <c r="AU362" s="1"/>
      <c r="AV362" s="1">
        <v>43604.556165393522</v>
      </c>
      <c r="AW362" s="1"/>
      <c r="AX362" s="1">
        <v>44192.45321226852</v>
      </c>
      <c r="AY362" t="s">
        <v>21</v>
      </c>
      <c r="AZ362">
        <v>86</v>
      </c>
      <c r="BA362">
        <v>60</v>
      </c>
      <c r="BB362" s="2">
        <v>3</v>
      </c>
      <c r="BC362">
        <f t="shared" si="19"/>
        <v>18.107671152031312</v>
      </c>
      <c r="BD362">
        <v>135</v>
      </c>
      <c r="BE362">
        <v>3.8999999999999901</v>
      </c>
      <c r="BF362">
        <v>3.6</v>
      </c>
      <c r="BG362">
        <v>10</v>
      </c>
      <c r="BH362">
        <v>404</v>
      </c>
      <c r="BI362">
        <v>5.96999999999999</v>
      </c>
      <c r="BJ362">
        <v>8.4</v>
      </c>
      <c r="BK362">
        <v>11.4</v>
      </c>
      <c r="BL362">
        <v>11.9</v>
      </c>
      <c r="BM362">
        <v>12.88</v>
      </c>
      <c r="BN362">
        <v>6</v>
      </c>
    </row>
    <row r="363" spans="1:66" x14ac:dyDescent="0.3">
      <c r="A363">
        <v>362</v>
      </c>
      <c r="B363" s="2" t="s">
        <v>430</v>
      </c>
      <c r="C363" s="2" t="s">
        <v>449</v>
      </c>
      <c r="D363">
        <v>90.413132694938</v>
      </c>
      <c r="E363" s="3">
        <v>43153.916666666657</v>
      </c>
      <c r="F363" s="1">
        <v>42700</v>
      </c>
      <c r="G363" s="1">
        <v>42606.368391203701</v>
      </c>
      <c r="H363" t="s">
        <v>451</v>
      </c>
      <c r="I363" t="s">
        <v>451</v>
      </c>
      <c r="J363" t="s">
        <v>451</v>
      </c>
      <c r="K363" t="s">
        <v>74</v>
      </c>
      <c r="L363">
        <v>60</v>
      </c>
      <c r="M363" t="s">
        <v>451</v>
      </c>
      <c r="N363" t="s">
        <v>451</v>
      </c>
      <c r="O363" t="s">
        <v>17</v>
      </c>
      <c r="P363" t="s">
        <v>124</v>
      </c>
      <c r="Q363" t="s">
        <v>451</v>
      </c>
      <c r="R363" t="s">
        <v>494</v>
      </c>
      <c r="S363" t="s">
        <v>451</v>
      </c>
      <c r="T363" t="s">
        <v>451</v>
      </c>
      <c r="U363" t="s">
        <v>147</v>
      </c>
      <c r="V363" t="s">
        <v>451</v>
      </c>
      <c r="W363" t="s">
        <v>19</v>
      </c>
      <c r="X363" t="s">
        <v>78</v>
      </c>
      <c r="Y363">
        <v>4.88000011444091</v>
      </c>
      <c r="Z363">
        <v>3.2799999713897701</v>
      </c>
      <c r="AA363">
        <v>1.1100000143051101</v>
      </c>
      <c r="AB363">
        <v>1.0599999427795399</v>
      </c>
      <c r="AC363">
        <v>195.44471740722599</v>
      </c>
      <c r="AD363">
        <v>108</v>
      </c>
      <c r="AE363">
        <v>1</v>
      </c>
      <c r="AF363">
        <v>43</v>
      </c>
      <c r="AG363">
        <v>151</v>
      </c>
      <c r="AH363">
        <v>4.9499998092651296</v>
      </c>
      <c r="AI363">
        <v>4.8699998855590803</v>
      </c>
      <c r="AJ363">
        <v>31.0100002288818</v>
      </c>
      <c r="AK363">
        <v>6</v>
      </c>
      <c r="AL363">
        <v>3.41000008583068</v>
      </c>
      <c r="AM363">
        <v>44.279998779296797</v>
      </c>
      <c r="AN363" t="s">
        <v>632</v>
      </c>
      <c r="AO363">
        <v>78</v>
      </c>
      <c r="AP363">
        <v>81.216159933361098</v>
      </c>
      <c r="AS363" s="1">
        <v>39710.284908831018</v>
      </c>
      <c r="AT363" s="1"/>
      <c r="AU363" s="1">
        <v>39710.297509837961</v>
      </c>
      <c r="AV363" s="1">
        <v>39710.297332442133</v>
      </c>
      <c r="AW363" s="1"/>
      <c r="AX363" s="1"/>
      <c r="AY363" t="s">
        <v>21</v>
      </c>
      <c r="BB363" s="5">
        <v>0</v>
      </c>
      <c r="BC363">
        <f t="shared" si="19"/>
        <v>7.785377716978334</v>
      </c>
      <c r="BD363">
        <v>142</v>
      </c>
      <c r="BE363">
        <v>3.2999999999999901</v>
      </c>
      <c r="BF363">
        <v>2.8999999999999901</v>
      </c>
      <c r="BG363">
        <v>12.8</v>
      </c>
      <c r="BH363">
        <v>148</v>
      </c>
      <c r="BI363">
        <v>6.9</v>
      </c>
      <c r="BJ363">
        <v>7.2999999999999901</v>
      </c>
      <c r="BK363">
        <v>9</v>
      </c>
      <c r="BL363">
        <v>11.6</v>
      </c>
      <c r="BM363">
        <v>60.52</v>
      </c>
      <c r="BN363">
        <v>5.7999999999999901</v>
      </c>
    </row>
    <row r="364" spans="1:66" x14ac:dyDescent="0.3">
      <c r="A364">
        <v>363</v>
      </c>
      <c r="B364" s="2" t="s">
        <v>430</v>
      </c>
      <c r="C364" s="2" t="s">
        <v>449</v>
      </c>
      <c r="D364">
        <v>69.729138166894003</v>
      </c>
      <c r="E364" s="3">
        <v>42784.79583333333</v>
      </c>
      <c r="F364" s="1">
        <v>42656</v>
      </c>
      <c r="G364" s="1">
        <v>42524.404722222222</v>
      </c>
      <c r="H364" t="s">
        <v>15</v>
      </c>
      <c r="I364" t="s">
        <v>15</v>
      </c>
      <c r="J364" t="s">
        <v>22</v>
      </c>
      <c r="L364">
        <v>40</v>
      </c>
      <c r="M364" t="s">
        <v>15</v>
      </c>
      <c r="N364" t="s">
        <v>15</v>
      </c>
      <c r="O364" t="s">
        <v>17</v>
      </c>
      <c r="P364" t="s">
        <v>15</v>
      </c>
      <c r="Q364" t="s">
        <v>18</v>
      </c>
      <c r="S364" t="s">
        <v>504</v>
      </c>
      <c r="U364" t="s">
        <v>515</v>
      </c>
      <c r="V364" t="s">
        <v>451</v>
      </c>
      <c r="W364" t="s">
        <v>29</v>
      </c>
      <c r="X364" t="s">
        <v>78</v>
      </c>
      <c r="Y364">
        <v>4.6999998092651296</v>
      </c>
      <c r="Z364">
        <v>3.7999999523162802</v>
      </c>
      <c r="AA364">
        <v>1.04999995231628</v>
      </c>
      <c r="AB364">
        <v>0.95999997854232699</v>
      </c>
      <c r="AC364">
        <v>165.57620239257801</v>
      </c>
      <c r="AD364">
        <v>91</v>
      </c>
      <c r="AE364">
        <v>2</v>
      </c>
      <c r="AF364">
        <v>37</v>
      </c>
      <c r="AG364">
        <v>133</v>
      </c>
      <c r="AN364" t="s">
        <v>633</v>
      </c>
      <c r="AO364">
        <v>50</v>
      </c>
      <c r="AP364">
        <v>19.051973784484073</v>
      </c>
      <c r="AS364" s="1">
        <v>42006.605350810183</v>
      </c>
      <c r="AT364" s="1">
        <v>41665.458139548609</v>
      </c>
      <c r="AU364" s="1">
        <v>41382.660167708331</v>
      </c>
      <c r="AV364" s="1"/>
      <c r="AW364" s="1"/>
      <c r="AX364" s="1"/>
      <c r="AY364" t="s">
        <v>21</v>
      </c>
      <c r="BB364" s="2">
        <v>2</v>
      </c>
      <c r="BC364">
        <f t="shared" si="19"/>
        <v>10.892680715697233</v>
      </c>
      <c r="BD364">
        <v>130</v>
      </c>
      <c r="BE364">
        <v>4.9000000000000004</v>
      </c>
      <c r="BF364">
        <v>2</v>
      </c>
      <c r="BG364">
        <v>8.9</v>
      </c>
      <c r="BH364">
        <v>252</v>
      </c>
      <c r="BI364">
        <v>4.4800000000000004</v>
      </c>
      <c r="BJ364">
        <v>7.5999999999999899</v>
      </c>
      <c r="BK364">
        <v>8.0999999999999908</v>
      </c>
      <c r="BL364">
        <v>10.3</v>
      </c>
      <c r="BM364">
        <v>71.53</v>
      </c>
      <c r="BN364">
        <v>4.9000000000000004</v>
      </c>
    </row>
    <row r="365" spans="1:66" x14ac:dyDescent="0.3">
      <c r="A365">
        <v>364</v>
      </c>
      <c r="B365" s="2" t="s">
        <v>430</v>
      </c>
      <c r="C365" s="2" t="s">
        <v>449</v>
      </c>
      <c r="D365">
        <v>78.2161422708609</v>
      </c>
      <c r="E365" s="3"/>
      <c r="F365" s="1">
        <v>44882</v>
      </c>
      <c r="G365" s="1">
        <v>44781.442812499998</v>
      </c>
      <c r="H365" t="s">
        <v>15</v>
      </c>
      <c r="I365" t="s">
        <v>451</v>
      </c>
      <c r="J365" t="s">
        <v>15</v>
      </c>
      <c r="K365" t="s">
        <v>463</v>
      </c>
      <c r="L365">
        <v>65</v>
      </c>
      <c r="M365" t="s">
        <v>451</v>
      </c>
      <c r="N365" t="s">
        <v>451</v>
      </c>
      <c r="O365" t="s">
        <v>25</v>
      </c>
      <c r="P365" t="s">
        <v>75</v>
      </c>
      <c r="Q365" t="s">
        <v>19</v>
      </c>
      <c r="R365" t="s">
        <v>495</v>
      </c>
      <c r="S365" t="s">
        <v>92</v>
      </c>
      <c r="T365" t="s">
        <v>29</v>
      </c>
      <c r="U365" t="s">
        <v>96</v>
      </c>
      <c r="V365" t="s">
        <v>15</v>
      </c>
      <c r="W365" t="s">
        <v>19</v>
      </c>
      <c r="X365" t="s">
        <v>87</v>
      </c>
      <c r="Y365">
        <v>4.6999998092651296</v>
      </c>
      <c r="Z365">
        <v>2.5999999046325599</v>
      </c>
      <c r="AA365">
        <v>1.20000004768371</v>
      </c>
      <c r="AB365">
        <v>0.89999997615814198</v>
      </c>
      <c r="AC365">
        <v>175.82669067382801</v>
      </c>
      <c r="AD365">
        <v>99</v>
      </c>
      <c r="AE365">
        <v>1</v>
      </c>
      <c r="AF365">
        <v>51</v>
      </c>
      <c r="AN365" t="s">
        <v>634</v>
      </c>
      <c r="AO365">
        <v>66.5</v>
      </c>
      <c r="AP365">
        <v>26.638359237301717</v>
      </c>
      <c r="AR365" s="1">
        <v>44935</v>
      </c>
      <c r="AS365" s="1">
        <v>44797.567243634257</v>
      </c>
      <c r="AT365" s="1"/>
      <c r="AU365" s="1">
        <v>44481.936192361107</v>
      </c>
      <c r="AV365" s="1">
        <v>44481.936192361107</v>
      </c>
      <c r="AW365" s="1">
        <v>44797.567243634257</v>
      </c>
      <c r="AX365" s="1"/>
      <c r="AZ365">
        <v>152</v>
      </c>
      <c r="BA365">
        <v>64</v>
      </c>
      <c r="BB365" s="2">
        <v>1</v>
      </c>
      <c r="BC365">
        <f t="shared" si="19"/>
        <v>39.627956587459281</v>
      </c>
      <c r="BD365">
        <v>134</v>
      </c>
      <c r="BE365">
        <v>3.7999999999999901</v>
      </c>
      <c r="BF365">
        <v>2.6</v>
      </c>
      <c r="BG365">
        <v>9.4</v>
      </c>
      <c r="BH365">
        <v>93</v>
      </c>
      <c r="BI365">
        <v>1.43999999999999</v>
      </c>
      <c r="BJ365">
        <v>8.8000000000000007</v>
      </c>
      <c r="BK365">
        <v>2.3999999999999901</v>
      </c>
      <c r="BL365">
        <v>2.6</v>
      </c>
      <c r="BM365">
        <v>35.49</v>
      </c>
      <c r="BN365">
        <v>5.9</v>
      </c>
    </row>
    <row r="366" spans="1:66" x14ac:dyDescent="0.3">
      <c r="A366">
        <v>365</v>
      </c>
      <c r="B366" s="2" t="s">
        <v>430</v>
      </c>
      <c r="C366" s="2" t="s">
        <v>449</v>
      </c>
      <c r="D366">
        <v>76.388508891927899</v>
      </c>
      <c r="E366" s="3">
        <v>42142.84375</v>
      </c>
      <c r="F366" s="1">
        <v>41008</v>
      </c>
      <c r="G366" s="1">
        <v>40827.744398148148</v>
      </c>
      <c r="H366" t="s">
        <v>15</v>
      </c>
      <c r="I366" t="s">
        <v>78</v>
      </c>
      <c r="J366" t="s">
        <v>15</v>
      </c>
      <c r="K366" t="s">
        <v>464</v>
      </c>
      <c r="L366">
        <v>60</v>
      </c>
      <c r="M366" t="s">
        <v>451</v>
      </c>
      <c r="N366" t="s">
        <v>451</v>
      </c>
      <c r="O366" t="s">
        <v>17</v>
      </c>
      <c r="P366" t="s">
        <v>451</v>
      </c>
      <c r="Q366" t="s">
        <v>18</v>
      </c>
      <c r="S366" t="s">
        <v>451</v>
      </c>
      <c r="T366" t="s">
        <v>26</v>
      </c>
      <c r="V366" t="s">
        <v>451</v>
      </c>
      <c r="W366" t="s">
        <v>19</v>
      </c>
      <c r="X366" t="s">
        <v>90</v>
      </c>
      <c r="Y366">
        <v>4.9000000953674299</v>
      </c>
      <c r="Z366">
        <v>3.20000004768371</v>
      </c>
      <c r="AA366">
        <v>1.29999995231628</v>
      </c>
      <c r="AB366">
        <v>1.1000000238418499</v>
      </c>
      <c r="AC366">
        <v>226.378173828125</v>
      </c>
      <c r="AD366">
        <v>145</v>
      </c>
      <c r="AE366">
        <v>1.5599999427795399</v>
      </c>
      <c r="AF366">
        <v>55</v>
      </c>
      <c r="AG366">
        <v>230</v>
      </c>
      <c r="AH366">
        <v>7</v>
      </c>
      <c r="AI366">
        <v>9</v>
      </c>
      <c r="AJ366">
        <v>25.559999465942301</v>
      </c>
      <c r="AK366">
        <v>5</v>
      </c>
      <c r="AL366">
        <v>13</v>
      </c>
      <c r="AM366">
        <v>17.690000534057599</v>
      </c>
      <c r="AN366" t="s">
        <v>635</v>
      </c>
      <c r="AO366">
        <v>58</v>
      </c>
      <c r="AP366">
        <v>24.141519250780441</v>
      </c>
      <c r="AQ366" s="1">
        <v>40593</v>
      </c>
      <c r="AS366" s="1">
        <v>40534.77489212963</v>
      </c>
      <c r="AT366" s="1"/>
      <c r="AU366" s="1">
        <v>40534.960239270833</v>
      </c>
      <c r="AV366" s="1"/>
      <c r="AW366" s="1"/>
      <c r="AX366" s="1"/>
      <c r="AZ366">
        <v>111</v>
      </c>
      <c r="BA366">
        <v>65</v>
      </c>
      <c r="BB366" s="5">
        <v>0</v>
      </c>
      <c r="BC366">
        <f t="shared" si="19"/>
        <v>13.737959801415631</v>
      </c>
      <c r="BD366">
        <v>124</v>
      </c>
      <c r="BE366">
        <v>4.0999999999999899</v>
      </c>
      <c r="BF366">
        <v>3</v>
      </c>
      <c r="BG366">
        <v>9.9</v>
      </c>
      <c r="BH366">
        <v>132</v>
      </c>
      <c r="BI366">
        <v>3.73</v>
      </c>
      <c r="BJ366">
        <v>8.5</v>
      </c>
      <c r="BK366">
        <v>3.2</v>
      </c>
      <c r="BL366">
        <v>5.7999999999999901</v>
      </c>
      <c r="BM366">
        <v>20.5</v>
      </c>
    </row>
    <row r="367" spans="1:66" x14ac:dyDescent="0.3">
      <c r="A367">
        <v>366</v>
      </c>
      <c r="B367" s="2" t="s">
        <v>434</v>
      </c>
      <c r="C367" s="2" t="s">
        <v>448</v>
      </c>
      <c r="D367">
        <v>54.835860313117003</v>
      </c>
      <c r="E367" s="3">
        <v>44156</v>
      </c>
      <c r="F367" s="1">
        <v>43822.506944444453</v>
      </c>
      <c r="G367" s="1">
        <v>43550.651909722219</v>
      </c>
      <c r="H367" t="s">
        <v>31</v>
      </c>
      <c r="I367" t="s">
        <v>451</v>
      </c>
      <c r="J367" t="s">
        <v>35</v>
      </c>
      <c r="L367">
        <v>20</v>
      </c>
      <c r="M367" t="s">
        <v>79</v>
      </c>
      <c r="N367" t="s">
        <v>28</v>
      </c>
      <c r="O367" t="s">
        <v>31</v>
      </c>
      <c r="P367" t="s">
        <v>451</v>
      </c>
      <c r="Q367" t="s">
        <v>18</v>
      </c>
      <c r="S367" t="s">
        <v>137</v>
      </c>
      <c r="T367" t="s">
        <v>18</v>
      </c>
      <c r="V367" t="s">
        <v>159</v>
      </c>
      <c r="W367" t="s">
        <v>18</v>
      </c>
      <c r="X367" t="s">
        <v>87</v>
      </c>
      <c r="Y367">
        <v>7.8000001907348597</v>
      </c>
      <c r="Z367">
        <v>6.5999999046325604</v>
      </c>
      <c r="AA367">
        <v>1.1799999475479099</v>
      </c>
      <c r="AB367">
        <v>1.00999999046325</v>
      </c>
      <c r="AC367">
        <v>435.27923583984301</v>
      </c>
      <c r="AD367">
        <v>200</v>
      </c>
      <c r="AE367">
        <v>2.38000011444091</v>
      </c>
      <c r="AF367">
        <v>40</v>
      </c>
      <c r="AG367">
        <v>123</v>
      </c>
      <c r="AH367">
        <v>3.71000003814697</v>
      </c>
      <c r="AI367">
        <v>4.7399997711181596</v>
      </c>
      <c r="AJ367">
        <v>25.9500007629394</v>
      </c>
      <c r="AK367">
        <v>3.6400001049041699</v>
      </c>
      <c r="AL367">
        <v>4.9499998092651296</v>
      </c>
      <c r="AM367">
        <v>24.850000381469702</v>
      </c>
      <c r="AN367" t="s">
        <v>636</v>
      </c>
      <c r="AO367">
        <v>81</v>
      </c>
      <c r="AP367">
        <v>26.753864447086801</v>
      </c>
      <c r="AS367" s="1"/>
      <c r="AT367" s="1">
        <v>40233.774513888893</v>
      </c>
      <c r="AU367" s="1"/>
      <c r="AV367" s="1"/>
      <c r="AW367" s="1"/>
      <c r="AX367" s="1"/>
      <c r="BB367" s="2">
        <v>1</v>
      </c>
      <c r="BC367">
        <f t="shared" si="19"/>
        <v>24.31717186490955</v>
      </c>
      <c r="BD367">
        <v>139</v>
      </c>
      <c r="BE367">
        <v>4.5999999999999899</v>
      </c>
      <c r="BF367">
        <v>3.2</v>
      </c>
      <c r="BH367">
        <v>175</v>
      </c>
      <c r="BI367">
        <v>3.9399999999999902</v>
      </c>
      <c r="BJ367">
        <v>8.6999999999999904</v>
      </c>
      <c r="BK367">
        <v>4.5999999999999899</v>
      </c>
      <c r="BL367">
        <v>8.5999999999999908</v>
      </c>
      <c r="BM367">
        <v>68.799999999999898</v>
      </c>
      <c r="BN367">
        <v>5.0999999999999899</v>
      </c>
    </row>
    <row r="368" spans="1:66" x14ac:dyDescent="0.3">
      <c r="A368">
        <v>367</v>
      </c>
      <c r="B368" s="2" t="s">
        <v>430</v>
      </c>
      <c r="C368" s="2" t="s">
        <v>448</v>
      </c>
      <c r="D368">
        <v>67.220246238030001</v>
      </c>
      <c r="E368" s="3"/>
      <c r="F368" s="1">
        <v>45525</v>
      </c>
      <c r="G368" s="1">
        <v>45308.652824074074</v>
      </c>
      <c r="H368" t="s">
        <v>17</v>
      </c>
      <c r="I368" t="s">
        <v>78</v>
      </c>
      <c r="J368" t="s">
        <v>15</v>
      </c>
      <c r="L368">
        <v>55</v>
      </c>
      <c r="M368" t="s">
        <v>15</v>
      </c>
      <c r="N368" t="s">
        <v>15</v>
      </c>
      <c r="O368" t="s">
        <v>25</v>
      </c>
      <c r="P368" t="s">
        <v>124</v>
      </c>
      <c r="Q368" t="s">
        <v>451</v>
      </c>
      <c r="R368" t="s">
        <v>496</v>
      </c>
      <c r="S368" t="s">
        <v>75</v>
      </c>
      <c r="T368" t="s">
        <v>18</v>
      </c>
      <c r="V368" t="s">
        <v>451</v>
      </c>
      <c r="W368" t="s">
        <v>26</v>
      </c>
      <c r="X368" t="s">
        <v>87</v>
      </c>
      <c r="Y368">
        <v>5.8000001907348597</v>
      </c>
      <c r="Z368">
        <v>3.9900000095367401</v>
      </c>
      <c r="AA368">
        <v>1.1900000572204501</v>
      </c>
      <c r="AB368">
        <v>1.0900000333786</v>
      </c>
      <c r="AC368">
        <v>277.15856933593699</v>
      </c>
      <c r="AE368">
        <v>1</v>
      </c>
      <c r="AF368">
        <v>53</v>
      </c>
      <c r="AN368" t="s">
        <v>637</v>
      </c>
      <c r="AO368">
        <v>105</v>
      </c>
      <c r="AP368">
        <v>35.083029837281565</v>
      </c>
      <c r="AR368" s="1">
        <v>39083</v>
      </c>
      <c r="AS368" s="1">
        <v>43247.939415162044</v>
      </c>
      <c r="AT368" s="1"/>
      <c r="AU368" s="1">
        <v>43247.939415162044</v>
      </c>
      <c r="AV368" s="1">
        <v>43247.939415162044</v>
      </c>
      <c r="AW368" s="1"/>
      <c r="AX368" s="1">
        <v>44749.438293981482</v>
      </c>
      <c r="AY368" t="s">
        <v>21</v>
      </c>
      <c r="BA368">
        <v>102</v>
      </c>
      <c r="BB368" s="2">
        <v>2</v>
      </c>
      <c r="BC368">
        <f t="shared" si="19"/>
        <v>30.587072306303433</v>
      </c>
      <c r="BD368">
        <v>147</v>
      </c>
      <c r="BE368">
        <v>4.0999999999999899</v>
      </c>
      <c r="BF368">
        <v>3.7999999999999901</v>
      </c>
      <c r="BG368">
        <v>9.3000000000000007</v>
      </c>
      <c r="BH368">
        <v>170</v>
      </c>
      <c r="BI368">
        <v>3.47</v>
      </c>
      <c r="BJ368">
        <v>9.5</v>
      </c>
      <c r="BK368">
        <v>4.5</v>
      </c>
      <c r="BL368">
        <v>12.6999999999999</v>
      </c>
      <c r="BM368">
        <v>8.7699999999999907</v>
      </c>
      <c r="BN368">
        <v>6.2</v>
      </c>
    </row>
    <row r="369" spans="1:66" x14ac:dyDescent="0.3">
      <c r="A369">
        <v>368</v>
      </c>
      <c r="B369" s="2" t="s">
        <v>430</v>
      </c>
      <c r="C369" s="2" t="s">
        <v>449</v>
      </c>
      <c r="D369">
        <v>51.441860465116001</v>
      </c>
      <c r="E369" s="3">
        <v>43218.502083333333</v>
      </c>
      <c r="F369" s="1">
        <v>43079</v>
      </c>
      <c r="G369" s="1">
        <v>42751.616296296299</v>
      </c>
      <c r="H369" t="s">
        <v>451</v>
      </c>
      <c r="I369" t="s">
        <v>451</v>
      </c>
      <c r="J369" t="s">
        <v>451</v>
      </c>
      <c r="K369" t="s">
        <v>74</v>
      </c>
      <c r="L369">
        <v>65</v>
      </c>
      <c r="M369" t="s">
        <v>451</v>
      </c>
      <c r="N369" t="s">
        <v>451</v>
      </c>
      <c r="O369" t="s">
        <v>17</v>
      </c>
      <c r="P369" t="s">
        <v>451</v>
      </c>
      <c r="Q369" t="s">
        <v>23</v>
      </c>
      <c r="S369" t="s">
        <v>503</v>
      </c>
      <c r="T369" t="s">
        <v>23</v>
      </c>
      <c r="V369" t="s">
        <v>451</v>
      </c>
      <c r="W369" t="s">
        <v>23</v>
      </c>
      <c r="X369" t="s">
        <v>78</v>
      </c>
      <c r="Y369">
        <v>4.4099998474120996</v>
      </c>
      <c r="Z369">
        <v>2.3199999332427899</v>
      </c>
      <c r="AA369">
        <v>0.97000002861022905</v>
      </c>
      <c r="AB369">
        <v>0.83999997377395597</v>
      </c>
      <c r="AC369">
        <v>129.45660400390599</v>
      </c>
      <c r="AD369">
        <v>103</v>
      </c>
      <c r="AE369">
        <v>1</v>
      </c>
      <c r="AF369">
        <v>36</v>
      </c>
      <c r="AG369">
        <v>153</v>
      </c>
      <c r="AH369">
        <v>5.9299998283386204</v>
      </c>
      <c r="AI369">
        <v>5.6900000572204501</v>
      </c>
      <c r="AJ369">
        <v>26.889999389648398</v>
      </c>
      <c r="AK369">
        <v>8.9700002670287997</v>
      </c>
      <c r="AL369">
        <v>8.9700002670287997</v>
      </c>
      <c r="AM369">
        <v>17.059999465942301</v>
      </c>
      <c r="AN369" t="s">
        <v>638</v>
      </c>
      <c r="AS369" s="1"/>
      <c r="AT369" s="1">
        <v>43061.472201504628</v>
      </c>
      <c r="AU369" s="1">
        <v>40027.433145682873</v>
      </c>
      <c r="AV369" s="1">
        <v>40027.432965891203</v>
      </c>
      <c r="AW369" s="1">
        <v>42943.636642673613</v>
      </c>
      <c r="AX369" s="1"/>
      <c r="AZ369">
        <v>81</v>
      </c>
      <c r="BA369">
        <v>50</v>
      </c>
      <c r="BB369" s="5">
        <v>0</v>
      </c>
      <c r="BC369">
        <v>25.5</v>
      </c>
      <c r="BD369">
        <v>133</v>
      </c>
      <c r="BE369">
        <v>4</v>
      </c>
      <c r="BF369">
        <v>1.7</v>
      </c>
      <c r="BG369">
        <v>7.2999999999999901</v>
      </c>
      <c r="BH369">
        <v>212</v>
      </c>
      <c r="BI369">
        <v>2.0499999999999901</v>
      </c>
      <c r="BJ369">
        <v>7.2</v>
      </c>
      <c r="BK369">
        <v>6.0999999999999899</v>
      </c>
      <c r="BL369">
        <v>9.4</v>
      </c>
      <c r="BM369">
        <v>50.24</v>
      </c>
      <c r="BN369">
        <v>6</v>
      </c>
    </row>
    <row r="370" spans="1:66" x14ac:dyDescent="0.3">
      <c r="A370">
        <v>369</v>
      </c>
      <c r="B370" s="2" t="s">
        <v>430</v>
      </c>
      <c r="C370" s="2" t="s">
        <v>448</v>
      </c>
      <c r="D370">
        <v>65.611491108070894</v>
      </c>
      <c r="E370" s="3">
        <v>44713.840277777781</v>
      </c>
      <c r="F370" s="1">
        <v>44679</v>
      </c>
      <c r="G370" s="1">
        <v>44586.502210648148</v>
      </c>
      <c r="H370" t="s">
        <v>15</v>
      </c>
      <c r="I370" t="s">
        <v>78</v>
      </c>
      <c r="J370" t="s">
        <v>15</v>
      </c>
      <c r="L370">
        <v>55</v>
      </c>
      <c r="M370" t="s">
        <v>451</v>
      </c>
      <c r="N370" t="s">
        <v>451</v>
      </c>
      <c r="O370" t="s">
        <v>17</v>
      </c>
      <c r="P370" t="s">
        <v>15</v>
      </c>
      <c r="Q370" t="s">
        <v>19</v>
      </c>
      <c r="S370" t="s">
        <v>15</v>
      </c>
      <c r="T370" t="s">
        <v>18</v>
      </c>
      <c r="V370" t="s">
        <v>15</v>
      </c>
      <c r="W370" t="s">
        <v>19</v>
      </c>
      <c r="X370" t="s">
        <v>15</v>
      </c>
      <c r="Y370">
        <v>4.1999998092651296</v>
      </c>
      <c r="Z370">
        <v>2.5</v>
      </c>
      <c r="AA370">
        <v>1.20000004768371</v>
      </c>
      <c r="AB370">
        <v>1.20000004768371</v>
      </c>
      <c r="AC370">
        <v>178.15545654296801</v>
      </c>
      <c r="AE370">
        <v>1.12000000476837</v>
      </c>
      <c r="AF370">
        <v>32</v>
      </c>
      <c r="AG370">
        <v>73.300003051757798</v>
      </c>
      <c r="AI370">
        <v>6.1900000572204501</v>
      </c>
      <c r="AJ370">
        <v>11.8400001525878</v>
      </c>
      <c r="AK370">
        <v>5.6100001335143999</v>
      </c>
      <c r="AL370">
        <v>6.96000003814697</v>
      </c>
      <c r="AM370">
        <v>10.529999732971101</v>
      </c>
      <c r="AN370" t="s">
        <v>639</v>
      </c>
      <c r="AS370" s="1"/>
      <c r="AT370" s="1">
        <v>42599.534261956018</v>
      </c>
      <c r="AU370" s="1">
        <v>40899.791582094913</v>
      </c>
      <c r="AV370" s="1"/>
      <c r="AW370" s="1"/>
      <c r="AX370" s="1"/>
      <c r="AZ370">
        <v>141</v>
      </c>
      <c r="BA370">
        <v>81</v>
      </c>
      <c r="BB370" s="5">
        <v>0</v>
      </c>
      <c r="BC370">
        <v>14.4</v>
      </c>
      <c r="BD370">
        <v>116</v>
      </c>
      <c r="BE370">
        <v>5.2</v>
      </c>
      <c r="BF370">
        <v>1.8</v>
      </c>
      <c r="BG370">
        <v>11.9</v>
      </c>
      <c r="BH370">
        <v>323</v>
      </c>
      <c r="BI370">
        <v>4.1699999999999902</v>
      </c>
      <c r="BJ370">
        <v>7.2999999999999901</v>
      </c>
      <c r="BK370">
        <v>8.6999999999999904</v>
      </c>
      <c r="BL370">
        <v>13.9</v>
      </c>
      <c r="BM370">
        <v>130.43</v>
      </c>
      <c r="BN370">
        <v>4.4000000000000004</v>
      </c>
    </row>
    <row r="371" spans="1:66" x14ac:dyDescent="0.3">
      <c r="A371">
        <v>370</v>
      </c>
      <c r="B371" s="2" t="s">
        <v>434</v>
      </c>
      <c r="C371" s="2" t="s">
        <v>449</v>
      </c>
      <c r="D371">
        <v>61.237593099255001</v>
      </c>
      <c r="E371" s="3">
        <v>44044.27847222222</v>
      </c>
      <c r="F371" s="1">
        <v>43759.340277777781</v>
      </c>
      <c r="G371" s="1">
        <v>43744.443541666667</v>
      </c>
      <c r="H371" t="s">
        <v>17</v>
      </c>
      <c r="I371" t="s">
        <v>78</v>
      </c>
      <c r="J371" t="s">
        <v>15</v>
      </c>
      <c r="L371">
        <v>60</v>
      </c>
      <c r="M371" t="s">
        <v>451</v>
      </c>
      <c r="N371" t="s">
        <v>451</v>
      </c>
      <c r="O371" t="s">
        <v>25</v>
      </c>
      <c r="P371" t="s">
        <v>451</v>
      </c>
      <c r="Q371" t="s">
        <v>19</v>
      </c>
      <c r="S371" t="s">
        <v>503</v>
      </c>
      <c r="T371" t="s">
        <v>18</v>
      </c>
      <c r="U371" t="s">
        <v>516</v>
      </c>
      <c r="V371" t="s">
        <v>451</v>
      </c>
      <c r="W371" t="s">
        <v>29</v>
      </c>
      <c r="X371" t="s">
        <v>90</v>
      </c>
      <c r="Y371">
        <v>5.9000000953674299</v>
      </c>
      <c r="Z371">
        <v>5.3000001907348597</v>
      </c>
      <c r="AA371">
        <v>1.29999995231628</v>
      </c>
      <c r="AB371">
        <v>1.20000004768371</v>
      </c>
      <c r="AC371">
        <v>322.854400634765</v>
      </c>
      <c r="AD371">
        <v>130</v>
      </c>
      <c r="AE371">
        <v>1</v>
      </c>
      <c r="AF371">
        <v>62</v>
      </c>
      <c r="AN371" t="s">
        <v>640</v>
      </c>
      <c r="AO371">
        <v>153.25</v>
      </c>
      <c r="AP371">
        <v>54.949980278963032</v>
      </c>
      <c r="AS371" s="1"/>
      <c r="AT371" s="1">
        <v>43628.502448726853</v>
      </c>
      <c r="AU371" s="1"/>
      <c r="AV371" s="1">
        <v>43628.502448726853</v>
      </c>
      <c r="AW371" s="1"/>
      <c r="AX371" s="1">
        <v>41537.016605324083</v>
      </c>
      <c r="BB371" s="2">
        <v>3</v>
      </c>
      <c r="BC371">
        <f t="shared" ref="BC371:BC377" si="20">(140-D371)*AO371/(72*BI371)</f>
        <v>80.212246528038463</v>
      </c>
      <c r="BD371">
        <v>137</v>
      </c>
      <c r="BE371">
        <v>5</v>
      </c>
      <c r="BF371">
        <v>2</v>
      </c>
      <c r="BG371">
        <v>10.4</v>
      </c>
      <c r="BH371">
        <v>129</v>
      </c>
      <c r="BI371">
        <v>2.0899999999999901</v>
      </c>
      <c r="BJ371">
        <v>8.3000000000000007</v>
      </c>
      <c r="BK371">
        <v>4.7999999999999901</v>
      </c>
      <c r="BL371">
        <v>9.5999999999999908</v>
      </c>
      <c r="BM371">
        <v>8.8599999999999905</v>
      </c>
      <c r="BN371">
        <v>5.2</v>
      </c>
    </row>
    <row r="372" spans="1:66" x14ac:dyDescent="0.3">
      <c r="A372">
        <v>371</v>
      </c>
      <c r="B372" s="2" t="s">
        <v>430</v>
      </c>
      <c r="C372" s="2" t="s">
        <v>448</v>
      </c>
      <c r="D372">
        <v>51.023255813953</v>
      </c>
      <c r="E372" s="3"/>
      <c r="F372" s="1">
        <v>42971</v>
      </c>
      <c r="G372" s="1">
        <v>42783.312777777777</v>
      </c>
      <c r="H372" t="s">
        <v>31</v>
      </c>
      <c r="I372" t="s">
        <v>451</v>
      </c>
      <c r="J372" t="s">
        <v>35</v>
      </c>
      <c r="L372">
        <v>20</v>
      </c>
      <c r="M372" t="s">
        <v>15</v>
      </c>
      <c r="N372" t="s">
        <v>15</v>
      </c>
      <c r="O372" t="s">
        <v>25</v>
      </c>
      <c r="P372" t="s">
        <v>451</v>
      </c>
      <c r="Q372" t="s">
        <v>451</v>
      </c>
      <c r="S372" t="s">
        <v>451</v>
      </c>
      <c r="T372" t="s">
        <v>23</v>
      </c>
      <c r="V372" t="s">
        <v>451</v>
      </c>
      <c r="W372" t="s">
        <v>18</v>
      </c>
      <c r="Y372">
        <v>7.1599998474120996</v>
      </c>
      <c r="Z372">
        <v>5.8499999046325604</v>
      </c>
      <c r="AA372">
        <v>1.0299999713897701</v>
      </c>
      <c r="AB372">
        <v>0.94999998807907104</v>
      </c>
      <c r="AC372">
        <v>330.479888916015</v>
      </c>
      <c r="AD372">
        <v>146</v>
      </c>
      <c r="AE372">
        <v>1</v>
      </c>
      <c r="AG372">
        <v>104</v>
      </c>
      <c r="AH372">
        <v>5.1100001335143999</v>
      </c>
      <c r="AI372">
        <v>4.46000003814697</v>
      </c>
      <c r="AJ372">
        <v>23.319999694824201</v>
      </c>
      <c r="AK372">
        <v>6.5300002098083398</v>
      </c>
      <c r="AL372">
        <v>5.8699998855590803</v>
      </c>
      <c r="AM372">
        <v>17.7199993133544</v>
      </c>
      <c r="AN372" t="s">
        <v>641</v>
      </c>
      <c r="AO372">
        <v>101.5</v>
      </c>
      <c r="AP372">
        <v>33.524904214559385</v>
      </c>
      <c r="AS372" s="1"/>
      <c r="AT372" s="1"/>
      <c r="AU372" s="1">
        <v>40507.794906631942</v>
      </c>
      <c r="AV372" s="1">
        <v>40507.794906631942</v>
      </c>
      <c r="AW372" s="1">
        <v>42937.804850775457</v>
      </c>
      <c r="AX372" s="1"/>
      <c r="BB372" s="5">
        <v>0</v>
      </c>
      <c r="BC372">
        <f t="shared" si="20"/>
        <v>19.878366646601041</v>
      </c>
      <c r="BD372">
        <v>139</v>
      </c>
      <c r="BE372">
        <v>3.7999999999999901</v>
      </c>
      <c r="BF372">
        <v>3.2999999999999901</v>
      </c>
      <c r="BG372">
        <v>8.9</v>
      </c>
      <c r="BH372">
        <v>166</v>
      </c>
      <c r="BI372">
        <v>6.3099999999999898</v>
      </c>
      <c r="BJ372">
        <v>8</v>
      </c>
      <c r="BK372">
        <v>3.6</v>
      </c>
      <c r="BL372">
        <v>7.5999999999999899</v>
      </c>
      <c r="BM372">
        <v>50.81</v>
      </c>
      <c r="BN372">
        <v>9.0999999999999908</v>
      </c>
    </row>
    <row r="373" spans="1:66" x14ac:dyDescent="0.3">
      <c r="A373">
        <v>372</v>
      </c>
      <c r="B373" s="2" t="s">
        <v>434</v>
      </c>
      <c r="C373" s="2" t="s">
        <v>448</v>
      </c>
      <c r="D373">
        <v>59.682626538987002</v>
      </c>
      <c r="E373" s="3"/>
      <c r="F373" s="1">
        <v>45035</v>
      </c>
      <c r="G373" s="1">
        <v>44924.677118055559</v>
      </c>
      <c r="H373" t="s">
        <v>451</v>
      </c>
      <c r="I373" t="s">
        <v>451</v>
      </c>
      <c r="J373" t="s">
        <v>451</v>
      </c>
      <c r="K373" t="s">
        <v>74</v>
      </c>
      <c r="L373">
        <v>60</v>
      </c>
      <c r="M373" t="s">
        <v>451</v>
      </c>
      <c r="N373" t="s">
        <v>451</v>
      </c>
      <c r="O373" t="s">
        <v>17</v>
      </c>
      <c r="P373" t="s">
        <v>15</v>
      </c>
      <c r="Q373" t="s">
        <v>19</v>
      </c>
      <c r="S373" t="s">
        <v>451</v>
      </c>
      <c r="T373" t="s">
        <v>23</v>
      </c>
      <c r="V373" t="s">
        <v>451</v>
      </c>
      <c r="W373" t="s">
        <v>19</v>
      </c>
      <c r="X373" t="s">
        <v>78</v>
      </c>
      <c r="Y373">
        <v>4.5900001525878897</v>
      </c>
      <c r="Z373">
        <v>3.25</v>
      </c>
      <c r="AA373">
        <v>1.3400000333786</v>
      </c>
      <c r="AB373">
        <v>0.87000000476837103</v>
      </c>
      <c r="AC373">
        <v>181.750885009765</v>
      </c>
      <c r="AD373">
        <v>98</v>
      </c>
      <c r="AE373">
        <v>1</v>
      </c>
      <c r="AF373">
        <v>42</v>
      </c>
      <c r="AG373">
        <v>121</v>
      </c>
      <c r="AI373">
        <v>5</v>
      </c>
      <c r="AJ373">
        <v>24.2000007629394</v>
      </c>
      <c r="AK373">
        <v>5.9800000190734801</v>
      </c>
      <c r="AL373">
        <v>6.96000003814697</v>
      </c>
      <c r="AM373">
        <v>17.389999389648398</v>
      </c>
      <c r="AN373" t="s">
        <v>642</v>
      </c>
      <c r="AO373">
        <v>67.400000000000006</v>
      </c>
      <c r="AP373">
        <v>22.519963914597881</v>
      </c>
      <c r="AS373" s="1"/>
      <c r="AT373" s="1"/>
      <c r="AU373" s="1">
        <v>44650.216953587973</v>
      </c>
      <c r="AV373" s="1"/>
      <c r="AW373" s="1"/>
      <c r="AX373" s="1"/>
      <c r="BB373" s="2">
        <v>8</v>
      </c>
      <c r="BC373">
        <f t="shared" si="20"/>
        <v>8.3539984124572175</v>
      </c>
      <c r="BD373">
        <v>138</v>
      </c>
      <c r="BE373">
        <v>5.2999999999999901</v>
      </c>
      <c r="BF373">
        <v>3.5</v>
      </c>
      <c r="BG373">
        <v>11.4</v>
      </c>
      <c r="BH373">
        <v>288</v>
      </c>
      <c r="BI373">
        <v>9</v>
      </c>
      <c r="BJ373">
        <v>6</v>
      </c>
      <c r="BK373">
        <v>10.5</v>
      </c>
      <c r="BL373">
        <v>9.5</v>
      </c>
      <c r="BM373">
        <v>44.579999999999899</v>
      </c>
      <c r="BN373">
        <v>5</v>
      </c>
    </row>
    <row r="374" spans="1:66" x14ac:dyDescent="0.3">
      <c r="A374">
        <v>373</v>
      </c>
      <c r="B374" s="2" t="s">
        <v>430</v>
      </c>
      <c r="C374" s="2" t="s">
        <v>448</v>
      </c>
      <c r="D374">
        <v>53.061559507523</v>
      </c>
      <c r="E374" s="3"/>
      <c r="F374" s="1">
        <v>43192</v>
      </c>
      <c r="G374" s="1">
        <v>43102.664918981478</v>
      </c>
      <c r="H374" t="s">
        <v>451</v>
      </c>
      <c r="I374" t="s">
        <v>451</v>
      </c>
      <c r="J374" t="s">
        <v>451</v>
      </c>
      <c r="L374">
        <v>50</v>
      </c>
      <c r="M374" t="s">
        <v>451</v>
      </c>
      <c r="N374" t="s">
        <v>451</v>
      </c>
      <c r="O374" t="s">
        <v>451</v>
      </c>
      <c r="P374" t="s">
        <v>451</v>
      </c>
      <c r="Q374" t="s">
        <v>451</v>
      </c>
      <c r="S374" t="s">
        <v>451</v>
      </c>
      <c r="T374" t="s">
        <v>451</v>
      </c>
      <c r="V374" t="s">
        <v>451</v>
      </c>
      <c r="W374" t="s">
        <v>451</v>
      </c>
      <c r="Y374">
        <v>5.6500000953674299</v>
      </c>
      <c r="Z374">
        <v>3.8399999141693102</v>
      </c>
      <c r="AA374">
        <v>1.15999996662139</v>
      </c>
      <c r="AB374">
        <v>0.79000002145767201</v>
      </c>
      <c r="AC374">
        <v>215.76673889160099</v>
      </c>
      <c r="AD374">
        <v>92</v>
      </c>
      <c r="AE374">
        <v>1.0599999427795399</v>
      </c>
      <c r="AF374">
        <v>30</v>
      </c>
      <c r="AG374">
        <v>51.299999237060497</v>
      </c>
      <c r="AH374">
        <v>5.5700001716613698</v>
      </c>
      <c r="AI374">
        <v>4.1199998855590803</v>
      </c>
      <c r="AJ374">
        <v>12.449999809265099</v>
      </c>
      <c r="AK374">
        <v>10.6000003814697</v>
      </c>
      <c r="AL374">
        <v>4.7899999618530202</v>
      </c>
      <c r="AM374">
        <v>10.7100000381469</v>
      </c>
      <c r="AN374" t="s">
        <v>643</v>
      </c>
      <c r="AO374">
        <v>113.2</v>
      </c>
      <c r="AP374">
        <v>34.938271604938272</v>
      </c>
      <c r="AS374" s="1"/>
      <c r="AT374" s="1"/>
      <c r="AU374" s="1">
        <v>41618.486937534719</v>
      </c>
      <c r="AV374" s="1">
        <v>41618.486937534719</v>
      </c>
      <c r="AW374" s="1">
        <v>41708.453500347219</v>
      </c>
      <c r="AX374" s="1"/>
      <c r="AZ374">
        <v>141</v>
      </c>
      <c r="BA374">
        <v>76</v>
      </c>
      <c r="BB374" s="2">
        <v>2</v>
      </c>
      <c r="BC374">
        <f t="shared" si="20"/>
        <v>17.390146069671324</v>
      </c>
      <c r="BD374">
        <v>139</v>
      </c>
      <c r="BE374">
        <v>5.5</v>
      </c>
      <c r="BF374">
        <v>3.7999999999999901</v>
      </c>
      <c r="BG374">
        <v>12.3</v>
      </c>
      <c r="BH374">
        <v>191</v>
      </c>
      <c r="BI374">
        <v>7.86</v>
      </c>
      <c r="BJ374">
        <v>6.4</v>
      </c>
      <c r="BK374">
        <v>5.2999999999999901</v>
      </c>
      <c r="BL374">
        <v>6.7</v>
      </c>
      <c r="BM374">
        <v>135.97</v>
      </c>
      <c r="BN374">
        <v>6</v>
      </c>
    </row>
    <row r="375" spans="1:66" x14ac:dyDescent="0.3">
      <c r="A375">
        <v>374</v>
      </c>
      <c r="B375" s="2" t="s">
        <v>430</v>
      </c>
      <c r="C375" s="2" t="s">
        <v>448</v>
      </c>
      <c r="D375">
        <v>75.794801641586005</v>
      </c>
      <c r="E375" s="3">
        <v>41848</v>
      </c>
      <c r="F375" s="1">
        <v>41732</v>
      </c>
      <c r="G375" s="1">
        <v>41616.658043981479</v>
      </c>
      <c r="H375" t="s">
        <v>17</v>
      </c>
      <c r="I375" t="s">
        <v>451</v>
      </c>
      <c r="J375" t="s">
        <v>35</v>
      </c>
      <c r="K375" t="s">
        <v>460</v>
      </c>
      <c r="L375">
        <v>25</v>
      </c>
      <c r="M375" t="s">
        <v>15</v>
      </c>
      <c r="N375" t="s">
        <v>15</v>
      </c>
      <c r="O375" t="s">
        <v>31</v>
      </c>
      <c r="P375" t="s">
        <v>451</v>
      </c>
      <c r="Q375" t="s">
        <v>451</v>
      </c>
      <c r="S375" t="s">
        <v>451</v>
      </c>
      <c r="T375" t="s">
        <v>26</v>
      </c>
      <c r="V375" t="s">
        <v>451</v>
      </c>
      <c r="W375" t="s">
        <v>19</v>
      </c>
      <c r="X375" t="s">
        <v>87</v>
      </c>
      <c r="Y375">
        <v>6</v>
      </c>
      <c r="Z375">
        <v>5.1999998092651296</v>
      </c>
      <c r="AA375">
        <v>1.3999999761581401</v>
      </c>
      <c r="AB375">
        <v>1</v>
      </c>
      <c r="AC375">
        <v>314.01773071289</v>
      </c>
      <c r="AD375">
        <v>183</v>
      </c>
      <c r="AE375">
        <v>2.6199998855590798</v>
      </c>
      <c r="AF375">
        <v>49</v>
      </c>
      <c r="AG375">
        <v>92</v>
      </c>
      <c r="AN375" t="s">
        <v>644</v>
      </c>
      <c r="AO375">
        <v>62</v>
      </c>
      <c r="AP375">
        <v>20.957274202271499</v>
      </c>
      <c r="AR375" s="1">
        <v>40338</v>
      </c>
      <c r="AS375" s="1">
        <v>39863.80074953704</v>
      </c>
      <c r="AT375" s="1">
        <v>40780.356253206017</v>
      </c>
      <c r="AU375" s="1">
        <v>39863.801675150462</v>
      </c>
      <c r="AV375" s="1">
        <v>39863.801774074083</v>
      </c>
      <c r="AW375" s="1">
        <v>39863.801914583331</v>
      </c>
      <c r="AX375" s="1"/>
      <c r="AZ375">
        <v>95</v>
      </c>
      <c r="BA375">
        <v>45</v>
      </c>
      <c r="BB375" s="5">
        <v>0</v>
      </c>
      <c r="BC375">
        <f t="shared" si="20"/>
        <v>9.7337693129442346</v>
      </c>
      <c r="BD375">
        <v>135</v>
      </c>
      <c r="BE375">
        <v>4</v>
      </c>
      <c r="BF375">
        <v>2.2000000000000002</v>
      </c>
      <c r="BG375">
        <v>11</v>
      </c>
      <c r="BH375">
        <v>319</v>
      </c>
      <c r="BI375">
        <v>5.6799999999999899</v>
      </c>
      <c r="BJ375">
        <v>8.0999999999999908</v>
      </c>
      <c r="BK375">
        <v>5</v>
      </c>
      <c r="BL375">
        <v>7.9</v>
      </c>
      <c r="BM375">
        <v>280.16000000000003</v>
      </c>
      <c r="BN375">
        <v>5.9</v>
      </c>
    </row>
    <row r="376" spans="1:66" x14ac:dyDescent="0.3">
      <c r="A376">
        <v>375</v>
      </c>
      <c r="B376" s="2" t="s">
        <v>430</v>
      </c>
      <c r="C376" s="2" t="s">
        <v>448</v>
      </c>
      <c r="D376">
        <v>59.140902872776898</v>
      </c>
      <c r="E376" s="3">
        <v>42803.111805555563</v>
      </c>
      <c r="F376" s="1">
        <v>41798</v>
      </c>
      <c r="G376" s="1">
        <v>41470.50377314815</v>
      </c>
      <c r="H376" t="s">
        <v>15</v>
      </c>
      <c r="I376" t="s">
        <v>78</v>
      </c>
      <c r="J376" t="s">
        <v>28</v>
      </c>
      <c r="L376">
        <v>35</v>
      </c>
      <c r="M376" t="s">
        <v>15</v>
      </c>
      <c r="N376" t="s">
        <v>14</v>
      </c>
      <c r="O376" t="s">
        <v>25</v>
      </c>
      <c r="P376" t="s">
        <v>479</v>
      </c>
      <c r="S376" t="s">
        <v>92</v>
      </c>
      <c r="T376" t="s">
        <v>23</v>
      </c>
      <c r="V376" t="s">
        <v>15</v>
      </c>
      <c r="W376" t="s">
        <v>18</v>
      </c>
      <c r="Y376">
        <v>4.3200001716613698</v>
      </c>
      <c r="Z376">
        <v>3.6199998855590798</v>
      </c>
      <c r="AA376">
        <v>1.3400000333786</v>
      </c>
      <c r="AB376">
        <v>1.0900000333786</v>
      </c>
      <c r="AC376">
        <v>189.40185546875</v>
      </c>
      <c r="AD376">
        <v>100</v>
      </c>
      <c r="AE376">
        <v>2</v>
      </c>
      <c r="AG376">
        <v>92.300003051757798</v>
      </c>
      <c r="AH376">
        <v>5.1500000953674299</v>
      </c>
      <c r="AI376">
        <v>4.2899999618530202</v>
      </c>
      <c r="AJ376">
        <v>21.520000457763601</v>
      </c>
      <c r="AK376">
        <v>6.4699997901916504</v>
      </c>
      <c r="AL376">
        <v>5.8499999046325604</v>
      </c>
      <c r="AM376">
        <v>15.779999732971101</v>
      </c>
      <c r="AN376" t="s">
        <v>645</v>
      </c>
      <c r="AO376">
        <v>61</v>
      </c>
      <c r="AP376">
        <v>18.827160493827162</v>
      </c>
      <c r="AQ376" s="1">
        <v>40514</v>
      </c>
      <c r="AS376" s="1">
        <v>40514.500831134261</v>
      </c>
      <c r="AT376" s="1"/>
      <c r="AU376" s="1">
        <v>40514.500831134261</v>
      </c>
      <c r="AV376" s="1"/>
      <c r="AW376" s="1"/>
      <c r="AX376" s="1"/>
      <c r="AZ376">
        <v>158</v>
      </c>
      <c r="BA376">
        <v>65</v>
      </c>
      <c r="BB376" s="2">
        <v>4</v>
      </c>
      <c r="BC376">
        <f t="shared" si="20"/>
        <v>4.9534073720179652</v>
      </c>
      <c r="BD376">
        <v>141</v>
      </c>
      <c r="BE376">
        <v>3.8999999999999901</v>
      </c>
      <c r="BF376">
        <v>2.7999999999999901</v>
      </c>
      <c r="BG376">
        <v>13.8</v>
      </c>
      <c r="BH376">
        <v>381</v>
      </c>
      <c r="BI376">
        <v>13.83</v>
      </c>
      <c r="BJ376">
        <v>5.5999999999999899</v>
      </c>
      <c r="BK376">
        <v>7.7999999999999901</v>
      </c>
      <c r="BL376">
        <v>9</v>
      </c>
      <c r="BM376">
        <v>115.08</v>
      </c>
      <c r="BN376">
        <v>5.9</v>
      </c>
    </row>
    <row r="377" spans="1:66" x14ac:dyDescent="0.3">
      <c r="A377">
        <v>376</v>
      </c>
      <c r="B377" s="2" t="s">
        <v>434</v>
      </c>
      <c r="C377" s="2" t="s">
        <v>448</v>
      </c>
      <c r="D377">
        <v>75.409028727769893</v>
      </c>
      <c r="E377" s="3">
        <v>45579.508333333331</v>
      </c>
      <c r="F377" s="1">
        <v>44825</v>
      </c>
      <c r="G377" s="1">
        <v>44592.423437500001</v>
      </c>
      <c r="H377" t="s">
        <v>25</v>
      </c>
      <c r="I377" t="s">
        <v>133</v>
      </c>
      <c r="J377" t="s">
        <v>35</v>
      </c>
      <c r="K377" t="s">
        <v>465</v>
      </c>
      <c r="L377">
        <v>25</v>
      </c>
      <c r="M377" t="s">
        <v>17</v>
      </c>
      <c r="N377" t="s">
        <v>14</v>
      </c>
      <c r="O377" t="s">
        <v>31</v>
      </c>
      <c r="P377" t="s">
        <v>75</v>
      </c>
      <c r="Q377" t="s">
        <v>18</v>
      </c>
      <c r="S377" t="s">
        <v>451</v>
      </c>
      <c r="T377" t="s">
        <v>29</v>
      </c>
      <c r="V377" t="s">
        <v>451</v>
      </c>
      <c r="W377" t="s">
        <v>29</v>
      </c>
      <c r="X377" t="s">
        <v>90</v>
      </c>
      <c r="Y377">
        <v>6.5</v>
      </c>
      <c r="Z377">
        <v>5.5999999046325604</v>
      </c>
      <c r="AA377">
        <v>1.20000004768371</v>
      </c>
      <c r="AB377">
        <v>1</v>
      </c>
      <c r="AC377">
        <v>319.98651123046801</v>
      </c>
      <c r="AD377">
        <v>152</v>
      </c>
      <c r="AE377">
        <v>2</v>
      </c>
      <c r="AF377">
        <v>62</v>
      </c>
      <c r="AG377">
        <v>99.5</v>
      </c>
      <c r="AI377">
        <v>5.13000011444091</v>
      </c>
      <c r="AJ377">
        <v>19.399999618530199</v>
      </c>
      <c r="AK377">
        <v>5.8000001907348597</v>
      </c>
      <c r="AL377">
        <v>9.4799995422363192</v>
      </c>
      <c r="AM377">
        <v>10.5</v>
      </c>
      <c r="AN377" t="s">
        <v>646</v>
      </c>
      <c r="AO377">
        <v>88.4</v>
      </c>
      <c r="AP377">
        <v>29.536569882054195</v>
      </c>
      <c r="AQ377" s="1">
        <v>37987</v>
      </c>
      <c r="AR377" s="1">
        <v>37987</v>
      </c>
      <c r="AS377" s="1">
        <v>40216.519803668984</v>
      </c>
      <c r="AT377" s="1"/>
      <c r="AU377" s="1"/>
      <c r="AV377" s="1">
        <v>40216.519952465278</v>
      </c>
      <c r="AW377" s="1"/>
      <c r="AX377" s="1"/>
      <c r="BB377" s="5">
        <v>0</v>
      </c>
      <c r="BC377">
        <f t="shared" si="20"/>
        <v>22.853993998019298</v>
      </c>
      <c r="BD377">
        <v>142</v>
      </c>
      <c r="BE377">
        <v>4.5999999999999899</v>
      </c>
      <c r="BF377">
        <v>3.1</v>
      </c>
      <c r="BG377">
        <v>13.3</v>
      </c>
      <c r="BH377">
        <v>215</v>
      </c>
      <c r="BI377">
        <v>3.47</v>
      </c>
      <c r="BJ377">
        <v>9.4</v>
      </c>
      <c r="BK377">
        <v>5</v>
      </c>
      <c r="BL377">
        <v>13.5</v>
      </c>
      <c r="BM377">
        <v>16.68</v>
      </c>
      <c r="BN377">
        <v>6.7999999999999901</v>
      </c>
    </row>
    <row r="378" spans="1:66" x14ac:dyDescent="0.3">
      <c r="A378">
        <v>377</v>
      </c>
      <c r="B378" s="2" t="s">
        <v>430</v>
      </c>
      <c r="C378" s="2" t="s">
        <v>448</v>
      </c>
      <c r="D378">
        <v>55.233926128589999</v>
      </c>
      <c r="E378" s="3">
        <v>45033</v>
      </c>
      <c r="F378" s="1">
        <v>45015</v>
      </c>
      <c r="G378" s="1">
        <v>44675.445532407408</v>
      </c>
      <c r="H378" t="s">
        <v>17</v>
      </c>
      <c r="I378" t="s">
        <v>87</v>
      </c>
      <c r="J378" t="s">
        <v>22</v>
      </c>
      <c r="L378">
        <v>40</v>
      </c>
      <c r="M378" t="s">
        <v>451</v>
      </c>
      <c r="N378" t="s">
        <v>451</v>
      </c>
      <c r="O378" t="s">
        <v>17</v>
      </c>
      <c r="P378" t="s">
        <v>75</v>
      </c>
      <c r="Q378" t="s">
        <v>451</v>
      </c>
      <c r="S378" t="s">
        <v>451</v>
      </c>
      <c r="T378" t="s">
        <v>18</v>
      </c>
      <c r="V378" t="s">
        <v>451</v>
      </c>
      <c r="W378" t="s">
        <v>19</v>
      </c>
      <c r="X378" t="s">
        <v>78</v>
      </c>
      <c r="Y378">
        <v>5.6399998664855904</v>
      </c>
      <c r="Z378">
        <v>4.1199998855590803</v>
      </c>
      <c r="AA378">
        <v>1.54999995231628</v>
      </c>
      <c r="AB378">
        <v>1.1799999475479099</v>
      </c>
      <c r="AC378">
        <v>339.199127197265</v>
      </c>
      <c r="AD378">
        <v>119</v>
      </c>
      <c r="AE378">
        <v>1.91999995708465</v>
      </c>
      <c r="AF378">
        <v>42</v>
      </c>
      <c r="AG378">
        <v>104</v>
      </c>
      <c r="AI378">
        <v>2.5</v>
      </c>
      <c r="AJ378">
        <v>41.599998474121001</v>
      </c>
      <c r="AK378">
        <v>4</v>
      </c>
      <c r="AL378">
        <v>5.0500001907348597</v>
      </c>
      <c r="AM378">
        <v>20.590000152587798</v>
      </c>
      <c r="AN378" t="s">
        <v>647</v>
      </c>
      <c r="AQ378" s="1">
        <v>44712</v>
      </c>
      <c r="AS378" s="1">
        <v>44674.156014930559</v>
      </c>
      <c r="AT378" s="1">
        <v>40116.502569444441</v>
      </c>
      <c r="AU378" s="1">
        <v>40116.502928587957</v>
      </c>
      <c r="AV378" s="1">
        <v>40116.502850266203</v>
      </c>
      <c r="AW378" s="1">
        <v>40116.506094444441</v>
      </c>
      <c r="AX378" s="1"/>
      <c r="AZ378">
        <v>115</v>
      </c>
      <c r="BA378">
        <v>75</v>
      </c>
      <c r="BB378" s="5">
        <v>0</v>
      </c>
      <c r="BC378">
        <v>8.1</v>
      </c>
      <c r="BD378">
        <v>133</v>
      </c>
      <c r="BE378">
        <v>5.0999999999999899</v>
      </c>
      <c r="BF378">
        <v>2.8999999999999901</v>
      </c>
      <c r="BG378">
        <v>9.4</v>
      </c>
      <c r="BH378">
        <v>365</v>
      </c>
      <c r="BI378">
        <v>6.6799999999999899</v>
      </c>
      <c r="BJ378">
        <v>6.9</v>
      </c>
      <c r="BK378">
        <v>9.4</v>
      </c>
      <c r="BL378">
        <v>13.5</v>
      </c>
      <c r="BM378">
        <v>132.12</v>
      </c>
      <c r="BN378">
        <v>5.7</v>
      </c>
    </row>
    <row r="379" spans="1:66" x14ac:dyDescent="0.3">
      <c r="A379">
        <v>378</v>
      </c>
      <c r="B379" s="2" t="s">
        <v>430</v>
      </c>
      <c r="C379" s="2" t="s">
        <v>449</v>
      </c>
      <c r="D379">
        <v>74.829001367988994</v>
      </c>
      <c r="E379" s="3">
        <v>45126</v>
      </c>
      <c r="F379" s="1">
        <v>43422</v>
      </c>
      <c r="G379" s="1">
        <v>43159.484652777777</v>
      </c>
      <c r="H379" t="s">
        <v>451</v>
      </c>
      <c r="I379" t="s">
        <v>451</v>
      </c>
      <c r="J379" t="s">
        <v>451</v>
      </c>
      <c r="K379" t="s">
        <v>74</v>
      </c>
      <c r="L379">
        <v>60</v>
      </c>
      <c r="M379" t="s">
        <v>451</v>
      </c>
      <c r="N379" t="s">
        <v>451</v>
      </c>
      <c r="O379" t="s">
        <v>17</v>
      </c>
      <c r="P379" t="s">
        <v>75</v>
      </c>
      <c r="Q379" t="s">
        <v>451</v>
      </c>
      <c r="R379" t="s">
        <v>98</v>
      </c>
      <c r="S379" t="s">
        <v>92</v>
      </c>
      <c r="T379" t="s">
        <v>26</v>
      </c>
      <c r="U379" t="s">
        <v>516</v>
      </c>
      <c r="V379" t="s">
        <v>451</v>
      </c>
      <c r="W379" t="s">
        <v>18</v>
      </c>
      <c r="X379" t="s">
        <v>87</v>
      </c>
      <c r="Y379">
        <v>4.9899997711181596</v>
      </c>
      <c r="Z379">
        <v>3.0699999332427899</v>
      </c>
      <c r="AA379">
        <v>1.12999999523162</v>
      </c>
      <c r="AB379">
        <v>1</v>
      </c>
      <c r="AC379">
        <v>197.52827453613199</v>
      </c>
      <c r="AD379">
        <v>107</v>
      </c>
      <c r="AE379">
        <v>1</v>
      </c>
      <c r="AF379">
        <v>54</v>
      </c>
      <c r="AG379">
        <v>154</v>
      </c>
      <c r="AH379">
        <v>6.7800002098083398</v>
      </c>
      <c r="AI379">
        <v>6.3899998664855904</v>
      </c>
      <c r="AJ379">
        <v>24.100000381469702</v>
      </c>
      <c r="AK379">
        <v>6.8600001335143999</v>
      </c>
      <c r="AL379">
        <v>9.5100002288818306</v>
      </c>
      <c r="AM379">
        <v>16.190000534057599</v>
      </c>
      <c r="AN379" t="s">
        <v>648</v>
      </c>
      <c r="AO379">
        <v>73</v>
      </c>
      <c r="AP379">
        <v>32.444444444444443</v>
      </c>
      <c r="AQ379" s="1">
        <v>45033</v>
      </c>
      <c r="AS379" s="1"/>
      <c r="AT379" s="1">
        <v>43413.527736377313</v>
      </c>
      <c r="AU379" s="1"/>
      <c r="AV379" s="1">
        <v>43159.188616516207</v>
      </c>
      <c r="AW379" s="1"/>
      <c r="AX379" s="1"/>
      <c r="AZ379">
        <v>138</v>
      </c>
      <c r="BA379">
        <v>67</v>
      </c>
      <c r="BB379" s="2">
        <v>3</v>
      </c>
      <c r="BC379">
        <f>(140-D379)*AO379/(72*BI379)</f>
        <v>8.0777691186783631</v>
      </c>
      <c r="BD379">
        <v>139</v>
      </c>
      <c r="BE379">
        <v>5.2999999999999901</v>
      </c>
      <c r="BF379">
        <v>3.2999999999999901</v>
      </c>
      <c r="BG379">
        <v>10.6999999999999</v>
      </c>
      <c r="BH379">
        <v>210</v>
      </c>
      <c r="BI379">
        <v>8.1799999999999908</v>
      </c>
      <c r="BJ379">
        <v>8.1999999999999904</v>
      </c>
      <c r="BK379">
        <v>5.7</v>
      </c>
      <c r="BL379">
        <v>9.1999999999999904</v>
      </c>
      <c r="BM379">
        <v>9.7100000000000009</v>
      </c>
      <c r="BN379">
        <v>5.7</v>
      </c>
    </row>
    <row r="380" spans="1:66" x14ac:dyDescent="0.3">
      <c r="A380">
        <v>379</v>
      </c>
      <c r="B380" s="2" t="s">
        <v>430</v>
      </c>
      <c r="C380" s="2" t="s">
        <v>448</v>
      </c>
      <c r="D380">
        <v>74.972573719409894</v>
      </c>
      <c r="E380" s="3">
        <v>43763.4375</v>
      </c>
      <c r="F380" s="1">
        <v>43711.475694444453</v>
      </c>
      <c r="G380" s="1">
        <v>43643.696493055562</v>
      </c>
      <c r="H380" t="s">
        <v>17</v>
      </c>
      <c r="I380" t="s">
        <v>15</v>
      </c>
      <c r="J380" t="s">
        <v>35</v>
      </c>
      <c r="L380">
        <v>10</v>
      </c>
      <c r="M380" t="s">
        <v>17</v>
      </c>
      <c r="N380" t="s">
        <v>28</v>
      </c>
      <c r="O380" t="s">
        <v>31</v>
      </c>
      <c r="P380" t="s">
        <v>75</v>
      </c>
      <c r="Q380" t="s">
        <v>19</v>
      </c>
      <c r="S380" t="s">
        <v>451</v>
      </c>
      <c r="T380" t="s">
        <v>26</v>
      </c>
      <c r="V380" t="s">
        <v>451</v>
      </c>
      <c r="W380" t="s">
        <v>29</v>
      </c>
      <c r="X380" t="s">
        <v>90</v>
      </c>
      <c r="Y380">
        <v>6.1999998092651296</v>
      </c>
      <c r="Z380">
        <v>5.8600001335143999</v>
      </c>
      <c r="AA380">
        <v>1</v>
      </c>
      <c r="AB380">
        <v>0.91000002622604304</v>
      </c>
      <c r="AC380">
        <v>246.10966491699199</v>
      </c>
      <c r="AD380">
        <v>124</v>
      </c>
      <c r="AE380">
        <v>2.6199998855590798</v>
      </c>
      <c r="AF380">
        <v>60</v>
      </c>
      <c r="AG380">
        <v>123</v>
      </c>
      <c r="AH380">
        <v>3.8099999427795401</v>
      </c>
      <c r="AI380">
        <v>5.5500001907348597</v>
      </c>
      <c r="AJ380">
        <v>22.159999847412099</v>
      </c>
      <c r="AK380">
        <v>5.2199997901916504</v>
      </c>
      <c r="AL380">
        <v>5.7699999809265101</v>
      </c>
      <c r="AM380">
        <v>21.319999694824201</v>
      </c>
      <c r="AN380" t="s">
        <v>649</v>
      </c>
      <c r="AS380" s="1"/>
      <c r="AT380" s="1">
        <v>43186.172022800929</v>
      </c>
      <c r="AU380" s="1">
        <v>43186.172022800929</v>
      </c>
      <c r="AV380" s="1">
        <v>43186.172022800929</v>
      </c>
      <c r="AW380" s="1">
        <v>43186.172022800929</v>
      </c>
      <c r="AX380" s="1"/>
      <c r="BB380" s="5">
        <v>0</v>
      </c>
      <c r="BC380">
        <v>35.200000000000003</v>
      </c>
      <c r="BD380">
        <v>136</v>
      </c>
      <c r="BE380">
        <v>3.7</v>
      </c>
      <c r="BF380">
        <v>2.5</v>
      </c>
      <c r="BG380">
        <v>13.1</v>
      </c>
      <c r="BH380">
        <v>263</v>
      </c>
      <c r="BI380">
        <v>1.8799999999999899</v>
      </c>
      <c r="BJ380">
        <v>8.0999999999999908</v>
      </c>
      <c r="BK380">
        <v>4</v>
      </c>
      <c r="BL380">
        <v>10.4</v>
      </c>
      <c r="BM380">
        <v>88.98</v>
      </c>
      <c r="BN380">
        <v>6.2999999999999901</v>
      </c>
    </row>
    <row r="381" spans="1:66" x14ac:dyDescent="0.3">
      <c r="A381">
        <v>380</v>
      </c>
      <c r="B381" s="2" t="s">
        <v>430</v>
      </c>
      <c r="C381" s="2" t="s">
        <v>448</v>
      </c>
      <c r="D381">
        <v>67.522974616203001</v>
      </c>
      <c r="E381" s="3">
        <v>45720</v>
      </c>
      <c r="F381" s="1">
        <v>44769.647222222222</v>
      </c>
      <c r="G381" s="1">
        <v>44497.751597222217</v>
      </c>
      <c r="H381" t="s">
        <v>17</v>
      </c>
      <c r="I381" t="s">
        <v>15</v>
      </c>
      <c r="J381" t="s">
        <v>28</v>
      </c>
      <c r="L381">
        <v>32</v>
      </c>
      <c r="M381" t="s">
        <v>451</v>
      </c>
      <c r="N381" t="s">
        <v>15</v>
      </c>
      <c r="O381" t="s">
        <v>25</v>
      </c>
      <c r="P381" t="s">
        <v>451</v>
      </c>
      <c r="S381" t="s">
        <v>451</v>
      </c>
      <c r="T381" t="s">
        <v>26</v>
      </c>
      <c r="V381" t="s">
        <v>451</v>
      </c>
      <c r="W381" t="s">
        <v>19</v>
      </c>
      <c r="X381" t="s">
        <v>87</v>
      </c>
      <c r="Y381">
        <v>6.17000007629394</v>
      </c>
      <c r="Z381">
        <v>4.1500000953674299</v>
      </c>
      <c r="AA381">
        <v>1.12999999523162</v>
      </c>
      <c r="AB381">
        <v>0.77999997138976995</v>
      </c>
      <c r="AC381">
        <v>244.06732177734301</v>
      </c>
      <c r="AD381">
        <v>143</v>
      </c>
      <c r="AE381">
        <v>2.0599999427795401</v>
      </c>
      <c r="AF381">
        <v>48</v>
      </c>
      <c r="AN381" t="s">
        <v>650</v>
      </c>
      <c r="AO381">
        <v>62</v>
      </c>
      <c r="AP381">
        <v>21.967120181405896</v>
      </c>
      <c r="AS381" s="1">
        <v>43537.404931979167</v>
      </c>
      <c r="AT381" s="1"/>
      <c r="AU381" s="1">
        <v>43484.5856909375</v>
      </c>
      <c r="AV381" s="1">
        <v>40703.50940787037</v>
      </c>
      <c r="AW381" s="1"/>
      <c r="AX381" s="1"/>
      <c r="BA381">
        <v>91</v>
      </c>
      <c r="BB381" s="2">
        <v>1</v>
      </c>
      <c r="BC381">
        <f t="shared" ref="BC381:BC387" si="21">(140-D381)*AO381/(72*BI381)</f>
        <v>8.9158245511813767</v>
      </c>
      <c r="BD381">
        <v>135</v>
      </c>
      <c r="BE381">
        <v>4.2</v>
      </c>
      <c r="BF381">
        <v>2.7</v>
      </c>
      <c r="BG381">
        <v>10.9</v>
      </c>
      <c r="BH381">
        <v>267</v>
      </c>
      <c r="BI381">
        <v>7</v>
      </c>
      <c r="BJ381">
        <v>7</v>
      </c>
      <c r="BK381">
        <v>5.0999999999999899</v>
      </c>
      <c r="BL381">
        <v>8.1999999999999904</v>
      </c>
      <c r="BM381">
        <v>11.07</v>
      </c>
      <c r="BN381">
        <v>6.0999999999999899</v>
      </c>
    </row>
    <row r="382" spans="1:66" x14ac:dyDescent="0.3">
      <c r="A382">
        <v>381</v>
      </c>
      <c r="B382" s="2" t="s">
        <v>430</v>
      </c>
      <c r="C382" s="2" t="s">
        <v>448</v>
      </c>
      <c r="D382">
        <v>62.662106703146002</v>
      </c>
      <c r="E382" s="3">
        <v>45030</v>
      </c>
      <c r="F382" s="1">
        <v>44089</v>
      </c>
      <c r="G382" s="1">
        <v>43804.745671296303</v>
      </c>
      <c r="H382" t="s">
        <v>25</v>
      </c>
      <c r="I382" t="s">
        <v>78</v>
      </c>
      <c r="J382" t="s">
        <v>35</v>
      </c>
      <c r="L382">
        <v>25</v>
      </c>
      <c r="M382" t="s">
        <v>451</v>
      </c>
      <c r="N382" t="s">
        <v>14</v>
      </c>
      <c r="O382" t="s">
        <v>31</v>
      </c>
      <c r="P382" t="s">
        <v>451</v>
      </c>
      <c r="Q382" t="s">
        <v>451</v>
      </c>
      <c r="R382" t="s">
        <v>153</v>
      </c>
      <c r="S382" t="s">
        <v>92</v>
      </c>
      <c r="T382" t="s">
        <v>19</v>
      </c>
      <c r="V382" t="s">
        <v>451</v>
      </c>
      <c r="W382" t="s">
        <v>23</v>
      </c>
      <c r="X382" t="s">
        <v>90</v>
      </c>
      <c r="Y382">
        <v>6.0999999046325604</v>
      </c>
      <c r="Z382">
        <v>5.5</v>
      </c>
      <c r="AA382">
        <v>1.29999995231628</v>
      </c>
      <c r="AB382">
        <v>1</v>
      </c>
      <c r="AC382">
        <v>304.88153076171801</v>
      </c>
      <c r="AD382">
        <v>153</v>
      </c>
      <c r="AE382">
        <v>2</v>
      </c>
      <c r="AF382">
        <v>61</v>
      </c>
      <c r="AG382">
        <v>89.199996948242102</v>
      </c>
      <c r="AH382">
        <v>4.6199998855590803</v>
      </c>
      <c r="AI382">
        <v>4.8699998855590803</v>
      </c>
      <c r="AJ382">
        <v>18.319999694824201</v>
      </c>
      <c r="AK382">
        <v>3.8699998855590798</v>
      </c>
      <c r="AL382">
        <v>6.1199998855590803</v>
      </c>
      <c r="AM382">
        <v>14.579999923706</v>
      </c>
      <c r="AN382" t="s">
        <v>651</v>
      </c>
      <c r="AO382">
        <v>74</v>
      </c>
      <c r="AP382">
        <v>22.587833094227893</v>
      </c>
      <c r="AS382" s="1"/>
      <c r="AT382" s="1"/>
      <c r="AU382" s="1">
        <v>44083.29576828704</v>
      </c>
      <c r="AV382" s="1">
        <v>41477.729457951391</v>
      </c>
      <c r="AW382" s="1"/>
      <c r="AX382" s="1"/>
      <c r="AZ382">
        <v>151</v>
      </c>
      <c r="BA382">
        <v>55</v>
      </c>
      <c r="BB382" s="5">
        <v>0</v>
      </c>
      <c r="BC382">
        <f t="shared" si="21"/>
        <v>19.674794086795913</v>
      </c>
      <c r="BD382">
        <v>147</v>
      </c>
      <c r="BE382">
        <v>4.7</v>
      </c>
      <c r="BF382">
        <v>3.2999999999999901</v>
      </c>
      <c r="BG382">
        <v>7.5</v>
      </c>
      <c r="BH382">
        <v>184</v>
      </c>
      <c r="BI382">
        <v>4.04</v>
      </c>
      <c r="BJ382">
        <v>7.2999999999999901</v>
      </c>
      <c r="BK382">
        <v>3.3999999999999901</v>
      </c>
      <c r="BL382">
        <v>6.7999999999999901</v>
      </c>
      <c r="BM382">
        <v>11.73</v>
      </c>
      <c r="BN382">
        <v>6.5999999999999899</v>
      </c>
    </row>
    <row r="383" spans="1:66" x14ac:dyDescent="0.3">
      <c r="A383">
        <v>382</v>
      </c>
      <c r="B383" s="2" t="s">
        <v>430</v>
      </c>
      <c r="C383" s="2" t="s">
        <v>448</v>
      </c>
      <c r="D383">
        <v>67.928864569083004</v>
      </c>
      <c r="E383" s="3"/>
      <c r="F383" s="1">
        <v>45074</v>
      </c>
      <c r="G383" s="1">
        <v>45070.561712962961</v>
      </c>
      <c r="H383" t="s">
        <v>451</v>
      </c>
      <c r="I383" t="s">
        <v>451</v>
      </c>
      <c r="J383" t="s">
        <v>451</v>
      </c>
      <c r="K383" t="s">
        <v>74</v>
      </c>
      <c r="L383">
        <v>65</v>
      </c>
      <c r="M383" t="s">
        <v>451</v>
      </c>
      <c r="N383" t="s">
        <v>451</v>
      </c>
      <c r="O383" t="s">
        <v>451</v>
      </c>
      <c r="P383" t="s">
        <v>75</v>
      </c>
      <c r="Q383" t="s">
        <v>18</v>
      </c>
      <c r="R383" t="s">
        <v>102</v>
      </c>
      <c r="S383" t="s">
        <v>451</v>
      </c>
      <c r="T383" t="s">
        <v>451</v>
      </c>
      <c r="U383" t="s">
        <v>241</v>
      </c>
      <c r="V383" t="s">
        <v>451</v>
      </c>
      <c r="W383" t="s">
        <v>451</v>
      </c>
      <c r="Y383">
        <v>4.25</v>
      </c>
      <c r="Z383">
        <v>2.8499999046325599</v>
      </c>
      <c r="AA383">
        <v>0.97000002861022905</v>
      </c>
      <c r="AB383">
        <v>1.12999999523162</v>
      </c>
      <c r="AC383">
        <v>149.76283264160099</v>
      </c>
      <c r="AD383">
        <v>76</v>
      </c>
      <c r="AE383">
        <v>1</v>
      </c>
      <c r="AG383">
        <v>125</v>
      </c>
      <c r="AI383">
        <v>5</v>
      </c>
      <c r="AJ383">
        <v>25</v>
      </c>
      <c r="AL383">
        <v>7</v>
      </c>
      <c r="AM383">
        <v>17.860000610351499</v>
      </c>
      <c r="AN383" t="s">
        <v>652</v>
      </c>
      <c r="AO383">
        <v>83.799999999999898</v>
      </c>
      <c r="AP383">
        <v>28.996539792387509</v>
      </c>
      <c r="AS383" s="1"/>
      <c r="AT383" s="1"/>
      <c r="AU383" s="1">
        <v>43821.502022337962</v>
      </c>
      <c r="AV383" s="1">
        <v>43821.501904976853</v>
      </c>
      <c r="AW383" s="1">
        <v>45065.679652777777</v>
      </c>
      <c r="AX383" s="1"/>
      <c r="AZ383">
        <v>156</v>
      </c>
      <c r="BA383">
        <v>58</v>
      </c>
      <c r="BB383" s="2">
        <v>1</v>
      </c>
      <c r="BC383">
        <f t="shared" si="21"/>
        <v>21.619276736507921</v>
      </c>
      <c r="BD383">
        <v>136</v>
      </c>
      <c r="BE383">
        <v>3.7</v>
      </c>
      <c r="BF383">
        <v>2.5</v>
      </c>
      <c r="BG383">
        <v>7.7</v>
      </c>
      <c r="BH383">
        <v>207</v>
      </c>
      <c r="BI383">
        <v>3.8799999999999901</v>
      </c>
      <c r="BJ383">
        <v>8.5999999999999908</v>
      </c>
      <c r="BK383">
        <v>6.4</v>
      </c>
      <c r="BL383">
        <v>7.5999999999999899</v>
      </c>
      <c r="BM383">
        <v>41.88</v>
      </c>
      <c r="BN383">
        <v>5.7999999999999901</v>
      </c>
    </row>
    <row r="384" spans="1:66" x14ac:dyDescent="0.3">
      <c r="A384">
        <v>383</v>
      </c>
      <c r="B384" s="2" t="s">
        <v>434</v>
      </c>
      <c r="C384" s="2" t="s">
        <v>448</v>
      </c>
      <c r="D384">
        <v>71.545827633377897</v>
      </c>
      <c r="E384" s="3">
        <v>44546</v>
      </c>
      <c r="F384" s="1">
        <v>44512</v>
      </c>
      <c r="G384" s="1">
        <v>44178.712743055563</v>
      </c>
      <c r="H384" t="s">
        <v>15</v>
      </c>
      <c r="I384" t="s">
        <v>78</v>
      </c>
      <c r="J384" t="s">
        <v>453</v>
      </c>
      <c r="K384" t="s">
        <v>466</v>
      </c>
      <c r="L384">
        <v>50</v>
      </c>
      <c r="M384" t="s">
        <v>451</v>
      </c>
      <c r="N384" t="s">
        <v>451</v>
      </c>
      <c r="O384" t="s">
        <v>451</v>
      </c>
      <c r="P384" t="s">
        <v>451</v>
      </c>
      <c r="Q384" t="s">
        <v>451</v>
      </c>
      <c r="S384" t="s">
        <v>451</v>
      </c>
      <c r="T384" t="s">
        <v>19</v>
      </c>
      <c r="V384" t="s">
        <v>451</v>
      </c>
      <c r="W384" t="s">
        <v>18</v>
      </c>
      <c r="X384" t="s">
        <v>15</v>
      </c>
      <c r="Y384">
        <v>4.42000007629394</v>
      </c>
      <c r="Z384">
        <v>3.38000011444091</v>
      </c>
      <c r="AA384">
        <v>1.3600000143051101</v>
      </c>
      <c r="AB384">
        <v>1.1100000143051101</v>
      </c>
      <c r="AC384">
        <v>200.88893127441401</v>
      </c>
      <c r="AD384">
        <v>104</v>
      </c>
      <c r="AE384">
        <v>2.1199998855590798</v>
      </c>
      <c r="AF384">
        <v>30</v>
      </c>
      <c r="AG384">
        <v>48.139999389648402</v>
      </c>
      <c r="AH384">
        <v>4</v>
      </c>
      <c r="AI384">
        <v>5</v>
      </c>
      <c r="AJ384">
        <v>9.6300001144409109</v>
      </c>
      <c r="AK384">
        <v>9</v>
      </c>
      <c r="AL384">
        <v>4</v>
      </c>
      <c r="AM384">
        <v>12.039999961853001</v>
      </c>
      <c r="AN384" t="s">
        <v>653</v>
      </c>
      <c r="AO384">
        <v>84.849999999999895</v>
      </c>
      <c r="AQ384" s="1">
        <v>44510</v>
      </c>
      <c r="AR384" s="1">
        <v>38718</v>
      </c>
      <c r="AS384" s="1">
        <v>40792.899902199068</v>
      </c>
      <c r="AT384" s="1"/>
      <c r="AU384" s="1">
        <v>40792.960390428241</v>
      </c>
      <c r="AV384" s="1">
        <v>40882.536407789346</v>
      </c>
      <c r="AW384" s="1">
        <v>40792.960390428241</v>
      </c>
      <c r="AX384" s="1"/>
      <c r="BB384" s="5">
        <v>0</v>
      </c>
      <c r="BC384">
        <f t="shared" si="21"/>
        <v>12.54608718962305</v>
      </c>
      <c r="BD384">
        <v>141</v>
      </c>
      <c r="BE384">
        <v>4.7</v>
      </c>
      <c r="BF384">
        <v>3.5</v>
      </c>
      <c r="BG384">
        <v>10.6999999999999</v>
      </c>
      <c r="BH384">
        <v>162</v>
      </c>
      <c r="BI384">
        <v>6.4299999999999899</v>
      </c>
      <c r="BJ384">
        <v>9.1999999999999904</v>
      </c>
      <c r="BK384">
        <v>6</v>
      </c>
      <c r="BL384">
        <v>8.6999999999999904</v>
      </c>
      <c r="BM384">
        <v>50.64</v>
      </c>
      <c r="BN384">
        <v>6.4</v>
      </c>
    </row>
    <row r="385" spans="1:66" x14ac:dyDescent="0.3">
      <c r="A385">
        <v>384</v>
      </c>
      <c r="B385" s="2" t="s">
        <v>434</v>
      </c>
      <c r="C385" s="2" t="s">
        <v>449</v>
      </c>
      <c r="D385">
        <v>63.493270253836897</v>
      </c>
      <c r="E385" s="3">
        <v>41575</v>
      </c>
      <c r="F385" s="1">
        <v>41548.790277777778</v>
      </c>
      <c r="G385" s="1">
        <v>41204.497476851851</v>
      </c>
      <c r="H385" t="s">
        <v>15</v>
      </c>
      <c r="I385" t="s">
        <v>15</v>
      </c>
      <c r="J385" t="s">
        <v>35</v>
      </c>
      <c r="L385">
        <v>25</v>
      </c>
      <c r="M385" t="s">
        <v>79</v>
      </c>
      <c r="N385" t="s">
        <v>28</v>
      </c>
      <c r="O385" t="s">
        <v>451</v>
      </c>
      <c r="P385" t="s">
        <v>451</v>
      </c>
      <c r="Q385" t="s">
        <v>451</v>
      </c>
      <c r="S385" t="s">
        <v>451</v>
      </c>
      <c r="T385" t="s">
        <v>19</v>
      </c>
      <c r="V385" t="s">
        <v>451</v>
      </c>
      <c r="W385" t="s">
        <v>29</v>
      </c>
      <c r="X385" t="s">
        <v>87</v>
      </c>
      <c r="Y385">
        <v>5.1900000572204501</v>
      </c>
      <c r="Z385">
        <v>4.6500000953674299</v>
      </c>
      <c r="AA385">
        <v>0.87999999523162797</v>
      </c>
      <c r="AB385">
        <v>0.79000002145767201</v>
      </c>
      <c r="AC385">
        <v>152.88137817382801</v>
      </c>
      <c r="AD385">
        <v>96</v>
      </c>
      <c r="AE385">
        <v>1</v>
      </c>
      <c r="AF385">
        <v>46</v>
      </c>
      <c r="AG385">
        <v>104</v>
      </c>
      <c r="AH385">
        <v>5</v>
      </c>
      <c r="AI385">
        <v>6</v>
      </c>
      <c r="AJ385">
        <v>17.329999923706001</v>
      </c>
      <c r="AK385">
        <v>8</v>
      </c>
      <c r="AL385">
        <v>13</v>
      </c>
      <c r="AM385">
        <v>8</v>
      </c>
      <c r="AN385" t="s">
        <v>654</v>
      </c>
      <c r="AO385">
        <v>60.899999999999899</v>
      </c>
      <c r="AR385" s="1">
        <v>41094</v>
      </c>
      <c r="AS385" s="1">
        <v>40415.437825775472</v>
      </c>
      <c r="AT385" s="1"/>
      <c r="AU385" s="1"/>
      <c r="AV385" s="1"/>
      <c r="AW385" s="1"/>
      <c r="AX385" s="1"/>
      <c r="AZ385">
        <v>88</v>
      </c>
      <c r="BA385">
        <v>60</v>
      </c>
      <c r="BB385" s="5">
        <v>0</v>
      </c>
      <c r="BC385">
        <f t="shared" si="21"/>
        <v>26.093525098237706</v>
      </c>
      <c r="BD385">
        <v>132</v>
      </c>
      <c r="BE385">
        <v>4.0999999999999899</v>
      </c>
      <c r="BF385">
        <v>3.3999999999999901</v>
      </c>
      <c r="BG385">
        <v>10.3</v>
      </c>
      <c r="BH385">
        <v>128</v>
      </c>
      <c r="BI385">
        <v>2.48</v>
      </c>
      <c r="BJ385">
        <v>8.4</v>
      </c>
      <c r="BK385">
        <v>4.0999999999999899</v>
      </c>
      <c r="BL385">
        <v>14.6</v>
      </c>
      <c r="BM385">
        <v>17.670000000000002</v>
      </c>
      <c r="BN385">
        <v>5.5</v>
      </c>
    </row>
    <row r="386" spans="1:66" x14ac:dyDescent="0.3">
      <c r="A386">
        <v>385</v>
      </c>
      <c r="B386" s="2" t="s">
        <v>430</v>
      </c>
      <c r="C386" s="2" t="s">
        <v>449</v>
      </c>
      <c r="D386">
        <v>73.447332421339894</v>
      </c>
      <c r="E386" s="3">
        <v>41536</v>
      </c>
      <c r="F386" s="1">
        <v>41456</v>
      </c>
      <c r="G386" s="1">
        <v>41456.524699074071</v>
      </c>
      <c r="H386" t="s">
        <v>15</v>
      </c>
      <c r="I386" t="s">
        <v>451</v>
      </c>
      <c r="J386" t="s">
        <v>453</v>
      </c>
      <c r="L386">
        <v>50</v>
      </c>
      <c r="M386" t="s">
        <v>15</v>
      </c>
      <c r="N386" t="s">
        <v>15</v>
      </c>
      <c r="O386" t="s">
        <v>17</v>
      </c>
      <c r="P386" t="s">
        <v>451</v>
      </c>
      <c r="Q386" t="s">
        <v>451</v>
      </c>
      <c r="S386" t="s">
        <v>451</v>
      </c>
      <c r="T386" t="s">
        <v>18</v>
      </c>
      <c r="V386" t="s">
        <v>451</v>
      </c>
      <c r="W386" t="s">
        <v>23</v>
      </c>
      <c r="X386" t="s">
        <v>90</v>
      </c>
      <c r="Y386">
        <v>4.0100002288818297</v>
      </c>
      <c r="Z386">
        <v>2.3199999332427899</v>
      </c>
      <c r="AA386">
        <v>1.03999996185302</v>
      </c>
      <c r="AB386">
        <v>1</v>
      </c>
      <c r="AC386">
        <v>131.19398498535099</v>
      </c>
      <c r="AE386">
        <v>1.25</v>
      </c>
      <c r="AF386">
        <v>62</v>
      </c>
      <c r="AG386">
        <v>102</v>
      </c>
      <c r="AH386">
        <v>6</v>
      </c>
      <c r="AI386">
        <v>5</v>
      </c>
      <c r="AJ386">
        <v>20.399999618530199</v>
      </c>
      <c r="AK386">
        <v>6</v>
      </c>
      <c r="AL386">
        <v>6</v>
      </c>
      <c r="AM386">
        <v>17</v>
      </c>
      <c r="AN386" t="s">
        <v>655</v>
      </c>
      <c r="AO386">
        <v>76</v>
      </c>
      <c r="AP386">
        <v>29.6875</v>
      </c>
      <c r="AR386" s="1"/>
      <c r="AS386" s="1"/>
      <c r="AT386" s="1"/>
      <c r="AU386" s="1"/>
      <c r="AV386" s="1"/>
      <c r="AW386" s="1"/>
      <c r="AX386" s="1"/>
      <c r="AZ386">
        <v>175</v>
      </c>
      <c r="BA386">
        <v>95</v>
      </c>
      <c r="BB386" s="5">
        <v>0</v>
      </c>
      <c r="BC386">
        <f t="shared" si="21"/>
        <v>11.846549409729661</v>
      </c>
      <c r="BD386">
        <v>123</v>
      </c>
      <c r="BE386">
        <v>5.2999999999999901</v>
      </c>
      <c r="BF386">
        <v>2.6</v>
      </c>
      <c r="BG386">
        <v>8.4</v>
      </c>
      <c r="BH386">
        <v>126</v>
      </c>
      <c r="BI386">
        <v>5.9299999999999899</v>
      </c>
      <c r="BJ386">
        <v>8.1999999999999904</v>
      </c>
      <c r="BK386">
        <v>4.2999999999999901</v>
      </c>
      <c r="BL386">
        <v>8</v>
      </c>
      <c r="BM386">
        <v>52.89</v>
      </c>
    </row>
    <row r="387" spans="1:66" x14ac:dyDescent="0.3">
      <c r="A387">
        <v>386</v>
      </c>
      <c r="B387" s="2" t="s">
        <v>430</v>
      </c>
      <c r="C387" s="2" t="s">
        <v>449</v>
      </c>
      <c r="D387">
        <v>80.410396716826</v>
      </c>
      <c r="E387" s="3"/>
      <c r="F387" s="1">
        <v>45771</v>
      </c>
      <c r="G387" s="1">
        <v>45708.468888888892</v>
      </c>
      <c r="H387" t="s">
        <v>15</v>
      </c>
      <c r="I387" t="s">
        <v>15</v>
      </c>
      <c r="J387" t="s">
        <v>453</v>
      </c>
      <c r="K387" t="s">
        <v>467</v>
      </c>
      <c r="L387">
        <v>50</v>
      </c>
      <c r="M387" t="s">
        <v>451</v>
      </c>
      <c r="N387" t="s">
        <v>451</v>
      </c>
      <c r="O387" t="s">
        <v>15</v>
      </c>
      <c r="P387" t="s">
        <v>124</v>
      </c>
      <c r="Q387" t="s">
        <v>451</v>
      </c>
      <c r="S387" t="s">
        <v>451</v>
      </c>
      <c r="T387" t="s">
        <v>19</v>
      </c>
      <c r="U387" t="s">
        <v>111</v>
      </c>
      <c r="V387" t="s">
        <v>451</v>
      </c>
      <c r="W387" t="s">
        <v>23</v>
      </c>
      <c r="X387" t="s">
        <v>15</v>
      </c>
      <c r="Y387">
        <v>3.71000003814697</v>
      </c>
      <c r="Z387">
        <v>2.75</v>
      </c>
      <c r="AA387">
        <v>1.04999995231628</v>
      </c>
      <c r="AB387">
        <v>0.95999997854232699</v>
      </c>
      <c r="AC387">
        <v>113.82225036621</v>
      </c>
      <c r="AD387">
        <v>73</v>
      </c>
      <c r="AE387">
        <v>1.0599999427795399</v>
      </c>
      <c r="AF387">
        <v>27</v>
      </c>
      <c r="AG387">
        <v>72.699996948242102</v>
      </c>
      <c r="AI387">
        <v>3.0499999523162802</v>
      </c>
      <c r="AJ387">
        <v>23.840000152587798</v>
      </c>
      <c r="AK387">
        <v>7.8299999237060502</v>
      </c>
      <c r="AL387">
        <v>3.0499999523162802</v>
      </c>
      <c r="AM387">
        <v>23.840000152587798</v>
      </c>
      <c r="AN387" t="s">
        <v>656</v>
      </c>
      <c r="AO387">
        <v>50</v>
      </c>
      <c r="AP387">
        <v>22.222222222222221</v>
      </c>
      <c r="AS387" s="1">
        <v>40189.02790671296</v>
      </c>
      <c r="AT387" s="1"/>
      <c r="AU387" s="1">
        <v>40189.028215937498</v>
      </c>
      <c r="AV387" s="1">
        <v>40189.029703900473</v>
      </c>
      <c r="AW387" s="1"/>
      <c r="AX387" s="1">
        <v>40189.028788923613</v>
      </c>
      <c r="AY387" t="s">
        <v>21</v>
      </c>
      <c r="BA387">
        <v>70</v>
      </c>
      <c r="BB387" s="5">
        <v>0</v>
      </c>
      <c r="BC387">
        <f t="shared" si="21"/>
        <v>9.1552364926213947</v>
      </c>
      <c r="BD387">
        <v>136</v>
      </c>
      <c r="BE387">
        <v>4.2999999999999901</v>
      </c>
      <c r="BF387">
        <v>3.5</v>
      </c>
      <c r="BG387">
        <v>4.5</v>
      </c>
      <c r="BH387">
        <v>198</v>
      </c>
      <c r="BI387">
        <v>4.5199999999999898</v>
      </c>
      <c r="BJ387">
        <v>7.7999999999999901</v>
      </c>
      <c r="BK387">
        <v>5.9</v>
      </c>
      <c r="BL387">
        <v>6</v>
      </c>
      <c r="BM387">
        <v>20.92</v>
      </c>
      <c r="BN387">
        <v>4.9000000000000004</v>
      </c>
    </row>
    <row r="388" spans="1:66" x14ac:dyDescent="0.3">
      <c r="A388">
        <v>387</v>
      </c>
      <c r="B388" s="2" t="s">
        <v>430</v>
      </c>
      <c r="C388" s="2" t="s">
        <v>449</v>
      </c>
      <c r="D388">
        <v>83.718194254444896</v>
      </c>
      <c r="E388" s="3"/>
      <c r="F388" s="1">
        <v>45771</v>
      </c>
      <c r="G388" s="1">
        <v>45756.443020833343</v>
      </c>
      <c r="H388" t="s">
        <v>15</v>
      </c>
      <c r="I388" t="s">
        <v>451</v>
      </c>
      <c r="J388" t="s">
        <v>15</v>
      </c>
      <c r="L388">
        <v>60</v>
      </c>
      <c r="M388" t="s">
        <v>15</v>
      </c>
      <c r="N388" t="s">
        <v>15</v>
      </c>
      <c r="O388" t="s">
        <v>15</v>
      </c>
      <c r="P388" t="s">
        <v>75</v>
      </c>
      <c r="Q388" t="s">
        <v>19</v>
      </c>
      <c r="S388" t="s">
        <v>451</v>
      </c>
      <c r="T388" t="s">
        <v>23</v>
      </c>
      <c r="U388" t="s">
        <v>96</v>
      </c>
      <c r="V388" t="s">
        <v>451</v>
      </c>
      <c r="W388" t="s">
        <v>19</v>
      </c>
      <c r="X388" t="s">
        <v>78</v>
      </c>
      <c r="Y388">
        <v>4.4000000953674299</v>
      </c>
      <c r="Z388">
        <v>2.7999999523162802</v>
      </c>
      <c r="AA388">
        <v>0.89999997615814198</v>
      </c>
      <c r="AB388">
        <v>0.89999997615814198</v>
      </c>
      <c r="AC388">
        <v>128.01580810546801</v>
      </c>
      <c r="AE388">
        <v>1</v>
      </c>
      <c r="AF388">
        <v>38</v>
      </c>
      <c r="AG388">
        <v>129</v>
      </c>
      <c r="AI388">
        <v>4.71000003814697</v>
      </c>
      <c r="AJ388">
        <v>27.389999389648398</v>
      </c>
      <c r="AL388">
        <v>4.6100001335143999</v>
      </c>
      <c r="AM388">
        <v>27.9799995422363</v>
      </c>
      <c r="AN388" t="s">
        <v>657</v>
      </c>
      <c r="AR388" s="1">
        <v>45744</v>
      </c>
      <c r="AS388" s="1">
        <v>45744.965653900457</v>
      </c>
      <c r="AT388" s="1">
        <v>45744.965653900457</v>
      </c>
      <c r="AU388" s="1">
        <v>45744.965653900457</v>
      </c>
      <c r="AV388" s="1">
        <v>45744.965653900457</v>
      </c>
      <c r="AW388" s="1">
        <v>45744.965653900457</v>
      </c>
      <c r="AX388" s="1"/>
      <c r="BA388">
        <v>63</v>
      </c>
      <c r="BB388" s="5">
        <v>0</v>
      </c>
      <c r="BC388">
        <v>10.1</v>
      </c>
      <c r="BD388">
        <v>142</v>
      </c>
      <c r="BE388">
        <v>4.7999999999999901</v>
      </c>
      <c r="BF388">
        <v>3.2</v>
      </c>
      <c r="BG388">
        <v>9.3000000000000007</v>
      </c>
      <c r="BH388">
        <v>363</v>
      </c>
      <c r="BI388">
        <v>5.0599999999999898</v>
      </c>
      <c r="BJ388">
        <v>9.6999999999999904</v>
      </c>
      <c r="BK388">
        <v>5.2999999999999901</v>
      </c>
      <c r="BL388">
        <v>10.1</v>
      </c>
      <c r="BM388">
        <v>21.649999999999899</v>
      </c>
      <c r="BN388">
        <v>6.0999999999999899</v>
      </c>
    </row>
    <row r="389" spans="1:66" x14ac:dyDescent="0.3">
      <c r="A389">
        <v>388</v>
      </c>
      <c r="B389" s="2" t="s">
        <v>430</v>
      </c>
      <c r="C389" s="2" t="s">
        <v>448</v>
      </c>
      <c r="D389">
        <v>57.9890560875509</v>
      </c>
      <c r="E389" s="3">
        <v>45466.38958333333</v>
      </c>
      <c r="F389" s="1">
        <v>42796</v>
      </c>
      <c r="G389" s="1">
        <v>42457.713125000002</v>
      </c>
      <c r="H389" t="s">
        <v>15</v>
      </c>
      <c r="I389" t="s">
        <v>78</v>
      </c>
      <c r="J389" t="s">
        <v>453</v>
      </c>
      <c r="L389">
        <v>50</v>
      </c>
      <c r="M389" t="s">
        <v>451</v>
      </c>
      <c r="N389" t="s">
        <v>451</v>
      </c>
      <c r="O389" t="s">
        <v>25</v>
      </c>
      <c r="P389" t="s">
        <v>451</v>
      </c>
      <c r="Q389" t="s">
        <v>451</v>
      </c>
      <c r="S389" t="s">
        <v>451</v>
      </c>
      <c r="T389" t="s">
        <v>23</v>
      </c>
      <c r="V389" t="s">
        <v>451</v>
      </c>
      <c r="W389" t="s">
        <v>19</v>
      </c>
      <c r="X389" t="s">
        <v>78</v>
      </c>
      <c r="Y389">
        <v>5.4000000953674299</v>
      </c>
      <c r="Z389">
        <v>3.4000000953674299</v>
      </c>
      <c r="AA389">
        <v>1.3999999761581401</v>
      </c>
      <c r="AB389">
        <v>1.29999995231628</v>
      </c>
      <c r="AC389">
        <v>311.74887084960898</v>
      </c>
      <c r="AD389">
        <v>177</v>
      </c>
      <c r="AE389">
        <v>1</v>
      </c>
      <c r="AF389">
        <v>38</v>
      </c>
      <c r="AG389">
        <v>69</v>
      </c>
      <c r="AH389">
        <v>5</v>
      </c>
      <c r="AI389">
        <v>5</v>
      </c>
      <c r="AJ389">
        <v>13.800000190734799</v>
      </c>
      <c r="AK389">
        <v>7</v>
      </c>
      <c r="AL389">
        <v>6</v>
      </c>
      <c r="AM389">
        <v>11.5</v>
      </c>
      <c r="AN389" t="s">
        <v>658</v>
      </c>
      <c r="AO389">
        <v>82.549999999999898</v>
      </c>
      <c r="AP389">
        <v>30.692296252230779</v>
      </c>
      <c r="AS389" s="1">
        <v>42348.57363903935</v>
      </c>
      <c r="AT389" s="1"/>
      <c r="AU389" s="1">
        <v>41987.467336886577</v>
      </c>
      <c r="AV389" s="1">
        <v>41974.067139930557</v>
      </c>
      <c r="AW389" s="1"/>
      <c r="AX389" s="1"/>
      <c r="AZ389">
        <v>146</v>
      </c>
      <c r="BA389">
        <v>71</v>
      </c>
      <c r="BB389" s="2">
        <v>2</v>
      </c>
      <c r="BC389">
        <f>(140-D389)*AO389/(72*BI389)</f>
        <v>20.988353856562078</v>
      </c>
      <c r="BD389">
        <v>141</v>
      </c>
      <c r="BE389">
        <v>4.7999999999999901</v>
      </c>
      <c r="BF389">
        <v>2.6</v>
      </c>
      <c r="BG389">
        <v>8.9</v>
      </c>
      <c r="BH389">
        <v>118</v>
      </c>
      <c r="BI389">
        <v>4.4800000000000004</v>
      </c>
      <c r="BJ389">
        <v>7.5</v>
      </c>
      <c r="BK389">
        <v>5.0999999999999899</v>
      </c>
      <c r="BL389">
        <v>7.4</v>
      </c>
      <c r="BN389">
        <v>5.7</v>
      </c>
    </row>
    <row r="390" spans="1:66" x14ac:dyDescent="0.3">
      <c r="A390">
        <v>389</v>
      </c>
      <c r="B390" s="2" t="s">
        <v>434</v>
      </c>
      <c r="C390" s="2" t="s">
        <v>448</v>
      </c>
      <c r="D390">
        <v>80.837209302324894</v>
      </c>
      <c r="E390" s="3">
        <v>44985.038194444453</v>
      </c>
      <c r="F390" s="1">
        <v>43692</v>
      </c>
      <c r="G390" s="1">
        <v>43396.512812499997</v>
      </c>
      <c r="H390" t="s">
        <v>451</v>
      </c>
      <c r="I390" t="s">
        <v>451</v>
      </c>
      <c r="J390" t="s">
        <v>451</v>
      </c>
      <c r="K390" t="s">
        <v>74</v>
      </c>
      <c r="L390">
        <v>62</v>
      </c>
      <c r="M390" t="s">
        <v>451</v>
      </c>
      <c r="N390" t="s">
        <v>451</v>
      </c>
      <c r="O390" t="s">
        <v>17</v>
      </c>
      <c r="P390" t="s">
        <v>75</v>
      </c>
      <c r="Q390" t="s">
        <v>19</v>
      </c>
      <c r="R390" t="s">
        <v>127</v>
      </c>
      <c r="S390" t="s">
        <v>451</v>
      </c>
      <c r="T390" t="s">
        <v>23</v>
      </c>
      <c r="V390" t="s">
        <v>451</v>
      </c>
      <c r="W390" t="s">
        <v>18</v>
      </c>
      <c r="X390" t="s">
        <v>87</v>
      </c>
      <c r="Y390">
        <v>5.4000000953674299</v>
      </c>
      <c r="Z390">
        <v>3.3299999237060498</v>
      </c>
      <c r="AA390">
        <v>0.980000019073486</v>
      </c>
      <c r="AB390">
        <v>1.21000003814697</v>
      </c>
      <c r="AC390">
        <v>233.37818908691401</v>
      </c>
      <c r="AD390">
        <v>108</v>
      </c>
      <c r="AE390">
        <v>1</v>
      </c>
      <c r="AF390">
        <v>49</v>
      </c>
      <c r="AG390">
        <v>83.900001525878906</v>
      </c>
      <c r="AH390">
        <v>7.4099998474120996</v>
      </c>
      <c r="AI390">
        <v>5.6500000953674299</v>
      </c>
      <c r="AJ390">
        <v>14.8500003814697</v>
      </c>
      <c r="AK390">
        <v>9.4600000381469709</v>
      </c>
      <c r="AL390">
        <v>7.4099998474120996</v>
      </c>
      <c r="AM390">
        <v>11.319999694824199</v>
      </c>
      <c r="AN390" t="s">
        <v>659</v>
      </c>
      <c r="AO390">
        <v>92.849999999999895</v>
      </c>
      <c r="AP390">
        <v>30.667855727308726</v>
      </c>
      <c r="AR390" s="1">
        <v>40337</v>
      </c>
      <c r="AS390" s="1">
        <v>42302.879612581019</v>
      </c>
      <c r="AT390" s="1">
        <v>42304.63989259259</v>
      </c>
      <c r="AU390" s="1">
        <v>40337.398633368059</v>
      </c>
      <c r="AV390" s="1">
        <v>40337.398709293979</v>
      </c>
      <c r="AW390" s="1">
        <v>40337.398828206024</v>
      </c>
      <c r="AX390" s="1"/>
      <c r="AY390" t="s">
        <v>21</v>
      </c>
      <c r="BB390" s="2">
        <v>6</v>
      </c>
      <c r="BC390">
        <f>(140-D390)*AO390/(72*BI390)</f>
        <v>16.916928788738417</v>
      </c>
      <c r="BD390">
        <v>137</v>
      </c>
      <c r="BE390">
        <v>4.5999999999999899</v>
      </c>
      <c r="BF390">
        <v>3.6</v>
      </c>
      <c r="BG390">
        <v>9.9</v>
      </c>
      <c r="BH390">
        <v>207</v>
      </c>
      <c r="BI390">
        <v>4.50999999999999</v>
      </c>
      <c r="BJ390">
        <v>8.8000000000000007</v>
      </c>
      <c r="BK390">
        <v>5.5</v>
      </c>
      <c r="BL390">
        <v>9.3000000000000007</v>
      </c>
      <c r="BM390">
        <v>24.1</v>
      </c>
      <c r="BN390">
        <v>9.9</v>
      </c>
    </row>
    <row r="391" spans="1:66" x14ac:dyDescent="0.3">
      <c r="A391">
        <v>390</v>
      </c>
      <c r="B391" s="2" t="s">
        <v>430</v>
      </c>
      <c r="C391" s="2" t="s">
        <v>449</v>
      </c>
      <c r="D391">
        <v>87.031463748289994</v>
      </c>
      <c r="E391" s="3">
        <v>43363.4375</v>
      </c>
      <c r="F391" s="1">
        <v>43347</v>
      </c>
      <c r="G391" s="1">
        <v>43221.448101851849</v>
      </c>
      <c r="H391" t="s">
        <v>15</v>
      </c>
      <c r="I391" t="s">
        <v>15</v>
      </c>
      <c r="J391" t="s">
        <v>15</v>
      </c>
      <c r="L391">
        <v>60</v>
      </c>
      <c r="M391" t="s">
        <v>451</v>
      </c>
      <c r="N391" t="s">
        <v>451</v>
      </c>
      <c r="O391" t="s">
        <v>17</v>
      </c>
      <c r="P391" t="s">
        <v>112</v>
      </c>
      <c r="Q391" t="s">
        <v>18</v>
      </c>
      <c r="S391" t="s">
        <v>451</v>
      </c>
      <c r="T391" t="s">
        <v>19</v>
      </c>
      <c r="U391" t="s">
        <v>266</v>
      </c>
      <c r="V391" t="s">
        <v>451</v>
      </c>
      <c r="W391" t="s">
        <v>19</v>
      </c>
      <c r="X391" t="s">
        <v>90</v>
      </c>
      <c r="Y391">
        <v>5.0999999046325604</v>
      </c>
      <c r="Z391">
        <v>3</v>
      </c>
      <c r="AA391">
        <v>1</v>
      </c>
      <c r="AB391">
        <v>0.89999997615814198</v>
      </c>
      <c r="AC391">
        <v>175.61036682128901</v>
      </c>
      <c r="AD391">
        <v>99</v>
      </c>
      <c r="AE391">
        <v>1</v>
      </c>
      <c r="AF391">
        <v>70</v>
      </c>
      <c r="AN391" t="s">
        <v>660</v>
      </c>
      <c r="AS391" s="1">
        <v>41393.668547106477</v>
      </c>
      <c r="AT391" s="1">
        <v>41945.661812118058</v>
      </c>
      <c r="AU391" s="1">
        <v>41393.602820335647</v>
      </c>
      <c r="AV391" s="1"/>
      <c r="AW391" s="1">
        <v>41393.602820335647</v>
      </c>
      <c r="AX391" s="1">
        <v>41756.58780883102</v>
      </c>
      <c r="BB391" s="5">
        <v>0</v>
      </c>
      <c r="BC391">
        <v>9.6999999999999993</v>
      </c>
      <c r="BD391">
        <v>130</v>
      </c>
      <c r="BE391">
        <v>5.4</v>
      </c>
      <c r="BF391">
        <v>3.2</v>
      </c>
      <c r="BG391">
        <v>10.6999999999999</v>
      </c>
      <c r="BH391">
        <v>238</v>
      </c>
      <c r="BI391">
        <v>4.3099999999999898</v>
      </c>
      <c r="BJ391">
        <v>9.1999999999999904</v>
      </c>
      <c r="BK391">
        <v>5.4</v>
      </c>
      <c r="BL391">
        <v>1.8999999999999899</v>
      </c>
      <c r="BM391">
        <v>62.509999999999899</v>
      </c>
      <c r="BN391">
        <v>6.4</v>
      </c>
    </row>
    <row r="392" spans="1:66" x14ac:dyDescent="0.3">
      <c r="A392">
        <v>391</v>
      </c>
      <c r="B392" s="2" t="s">
        <v>430</v>
      </c>
      <c r="C392" s="2" t="s">
        <v>449</v>
      </c>
      <c r="D392">
        <v>68.774281805745005</v>
      </c>
      <c r="E392" s="3">
        <v>45326.618055555547</v>
      </c>
      <c r="F392" s="1">
        <v>45309</v>
      </c>
      <c r="G392" s="1">
        <v>45172.353807870371</v>
      </c>
      <c r="H392" t="s">
        <v>15</v>
      </c>
      <c r="I392" t="s">
        <v>78</v>
      </c>
      <c r="J392" t="s">
        <v>15</v>
      </c>
      <c r="L392">
        <v>60</v>
      </c>
      <c r="M392" t="s">
        <v>451</v>
      </c>
      <c r="N392" t="s">
        <v>451</v>
      </c>
      <c r="O392" t="s">
        <v>15</v>
      </c>
      <c r="P392" t="s">
        <v>75</v>
      </c>
      <c r="Q392" t="s">
        <v>451</v>
      </c>
      <c r="S392" t="s">
        <v>451</v>
      </c>
      <c r="T392" t="s">
        <v>26</v>
      </c>
      <c r="V392" t="s">
        <v>451</v>
      </c>
      <c r="W392" t="s">
        <v>23</v>
      </c>
      <c r="X392" t="s">
        <v>78</v>
      </c>
      <c r="Y392">
        <v>4.5700001716613698</v>
      </c>
      <c r="Z392">
        <v>3.7999999523162802</v>
      </c>
      <c r="AA392">
        <v>1.15999996662139</v>
      </c>
      <c r="AB392">
        <v>1</v>
      </c>
      <c r="AC392">
        <v>174.80184936523401</v>
      </c>
      <c r="AD392">
        <v>81</v>
      </c>
      <c r="AE392">
        <v>1</v>
      </c>
      <c r="AF392">
        <v>37</v>
      </c>
      <c r="AG392">
        <v>117</v>
      </c>
      <c r="AI392">
        <v>2.71000003814697</v>
      </c>
      <c r="AJ392">
        <v>43.169998168945298</v>
      </c>
      <c r="AK392">
        <v>7.5399999618530202</v>
      </c>
      <c r="AL392">
        <v>9.5699996948242099</v>
      </c>
      <c r="AM392">
        <v>12.2299995422363</v>
      </c>
      <c r="AN392" t="s">
        <v>661</v>
      </c>
      <c r="AO392">
        <v>95</v>
      </c>
      <c r="AP392">
        <v>32.871972318339104</v>
      </c>
      <c r="AQ392" s="1">
        <v>45170</v>
      </c>
      <c r="AS392" s="1">
        <v>40822.977858761573</v>
      </c>
      <c r="AT392" s="1"/>
      <c r="AU392" s="1">
        <v>40822.977858761573</v>
      </c>
      <c r="AV392" s="1">
        <v>40822.977858761573</v>
      </c>
      <c r="AW392" s="1">
        <v>45187.70094490741</v>
      </c>
      <c r="AX392" s="1"/>
      <c r="AZ392">
        <v>133</v>
      </c>
      <c r="BA392">
        <v>73</v>
      </c>
      <c r="BB392" s="5">
        <v>0</v>
      </c>
      <c r="BC392">
        <f>(140-D392)*AO392/(72*BI392)</f>
        <v>19.297408249070912</v>
      </c>
      <c r="BD392">
        <v>134</v>
      </c>
      <c r="BE392">
        <v>4.2999999999999901</v>
      </c>
      <c r="BF392">
        <v>2.3999999999999901</v>
      </c>
      <c r="BG392">
        <v>8.4</v>
      </c>
      <c r="BH392">
        <v>199</v>
      </c>
      <c r="BI392">
        <v>4.87</v>
      </c>
      <c r="BJ392">
        <v>7.5999999999999899</v>
      </c>
      <c r="BK392">
        <v>8.8000000000000007</v>
      </c>
      <c r="BL392">
        <v>11.4</v>
      </c>
      <c r="BM392">
        <v>48.1099999999999</v>
      </c>
      <c r="BN392">
        <v>10.8</v>
      </c>
    </row>
    <row r="393" spans="1:66" x14ac:dyDescent="0.3">
      <c r="A393">
        <v>392</v>
      </c>
      <c r="B393" s="2" t="s">
        <v>430</v>
      </c>
      <c r="C393" s="2" t="s">
        <v>448</v>
      </c>
      <c r="D393">
        <v>72.952120383036004</v>
      </c>
      <c r="E393" s="3">
        <v>43498</v>
      </c>
      <c r="F393" s="1">
        <v>43236</v>
      </c>
      <c r="G393" s="1">
        <v>42908.38082175926</v>
      </c>
      <c r="H393" t="s">
        <v>17</v>
      </c>
      <c r="I393" t="s">
        <v>78</v>
      </c>
      <c r="J393" t="s">
        <v>15</v>
      </c>
      <c r="L393">
        <v>60</v>
      </c>
      <c r="M393" t="s">
        <v>451</v>
      </c>
      <c r="N393" t="s">
        <v>451</v>
      </c>
      <c r="O393" t="s">
        <v>25</v>
      </c>
      <c r="P393" t="s">
        <v>451</v>
      </c>
      <c r="Q393" t="s">
        <v>19</v>
      </c>
      <c r="S393" t="s">
        <v>451</v>
      </c>
      <c r="T393" t="s">
        <v>18</v>
      </c>
      <c r="V393" t="s">
        <v>451</v>
      </c>
      <c r="W393" t="s">
        <v>19</v>
      </c>
      <c r="X393" t="s">
        <v>78</v>
      </c>
      <c r="Y393">
        <v>5.5999999046325604</v>
      </c>
      <c r="Z393">
        <v>3.7999999523162802</v>
      </c>
      <c r="AA393">
        <v>1.20000004768371</v>
      </c>
      <c r="AB393">
        <v>1.3999999761581401</v>
      </c>
      <c r="AC393">
        <v>313.22567749023398</v>
      </c>
      <c r="AD393">
        <v>163</v>
      </c>
      <c r="AE393">
        <v>1</v>
      </c>
      <c r="AF393">
        <v>40</v>
      </c>
      <c r="AG393">
        <v>84</v>
      </c>
      <c r="AH393">
        <v>7</v>
      </c>
      <c r="AI393">
        <v>4</v>
      </c>
      <c r="AJ393">
        <v>21</v>
      </c>
      <c r="AK393">
        <v>6</v>
      </c>
      <c r="AL393">
        <v>7</v>
      </c>
      <c r="AM393">
        <v>12</v>
      </c>
      <c r="AN393" t="s">
        <v>662</v>
      </c>
      <c r="AS393" s="1">
        <v>43058.939889085646</v>
      </c>
      <c r="AT393" s="1"/>
      <c r="AU393" s="1">
        <v>42904.79946628472</v>
      </c>
      <c r="AV393" s="1"/>
      <c r="AW393" s="1"/>
      <c r="AX393" s="1"/>
      <c r="AZ393">
        <v>144</v>
      </c>
      <c r="BA393">
        <v>72</v>
      </c>
      <c r="BB393" s="5">
        <v>0</v>
      </c>
      <c r="BC393">
        <v>13.9</v>
      </c>
      <c r="BD393">
        <v>144</v>
      </c>
      <c r="BE393">
        <v>4.5999999999999899</v>
      </c>
      <c r="BF393">
        <v>2.2000000000000002</v>
      </c>
      <c r="BG393">
        <v>9.0999999999999908</v>
      </c>
      <c r="BH393">
        <v>280</v>
      </c>
      <c r="BI393">
        <v>4.24</v>
      </c>
      <c r="BJ393">
        <v>7.4</v>
      </c>
      <c r="BK393">
        <v>5.8099999999999898</v>
      </c>
      <c r="BL393">
        <v>8.6999999999999904</v>
      </c>
      <c r="BM393">
        <v>78.189999999999898</v>
      </c>
      <c r="BN393">
        <v>5.7999999999999901</v>
      </c>
    </row>
    <row r="394" spans="1:66" x14ac:dyDescent="0.3">
      <c r="A394">
        <v>393</v>
      </c>
      <c r="B394" s="2" t="s">
        <v>430</v>
      </c>
      <c r="C394" s="2" t="s">
        <v>449</v>
      </c>
      <c r="D394">
        <v>67.119015047879003</v>
      </c>
      <c r="E394" s="3">
        <v>42468.800694444442</v>
      </c>
      <c r="F394" s="1">
        <v>42418</v>
      </c>
      <c r="G394" s="1">
        <v>42151.622245370367</v>
      </c>
      <c r="H394" t="s">
        <v>17</v>
      </c>
      <c r="I394" t="s">
        <v>451</v>
      </c>
      <c r="J394" t="s">
        <v>28</v>
      </c>
      <c r="L394">
        <v>35</v>
      </c>
      <c r="M394" t="s">
        <v>79</v>
      </c>
      <c r="N394" t="s">
        <v>15</v>
      </c>
      <c r="O394" t="s">
        <v>31</v>
      </c>
      <c r="P394" t="s">
        <v>75</v>
      </c>
      <c r="Q394" t="s">
        <v>19</v>
      </c>
      <c r="S394" t="s">
        <v>126</v>
      </c>
      <c r="T394" t="s">
        <v>19</v>
      </c>
      <c r="V394" t="s">
        <v>451</v>
      </c>
      <c r="W394" t="s">
        <v>34</v>
      </c>
      <c r="X394" t="s">
        <v>78</v>
      </c>
      <c r="Y394">
        <v>5.7800002098083398</v>
      </c>
      <c r="Z394">
        <v>4.8299999237060502</v>
      </c>
      <c r="AA394">
        <v>0.94999998807907104</v>
      </c>
      <c r="AB394">
        <v>1.15999996662139</v>
      </c>
      <c r="AC394">
        <v>248.593002319335</v>
      </c>
      <c r="AE394">
        <v>2.1199998855590798</v>
      </c>
      <c r="AF394">
        <v>42</v>
      </c>
      <c r="AH394">
        <v>4.6799998283386204</v>
      </c>
      <c r="AI394">
        <v>4.5799999237060502</v>
      </c>
      <c r="AK394">
        <v>7.1199998855590803</v>
      </c>
      <c r="AL394">
        <v>7.6999998092651296</v>
      </c>
      <c r="AN394" t="s">
        <v>663</v>
      </c>
      <c r="AO394">
        <v>63</v>
      </c>
      <c r="AP394">
        <v>28.761869978086192</v>
      </c>
      <c r="AS394" s="1">
        <v>41923.207215821763</v>
      </c>
      <c r="AT394" s="1">
        <v>42153.670300844897</v>
      </c>
      <c r="AU394" s="1">
        <v>42293.838453472221</v>
      </c>
      <c r="AV394" s="1"/>
      <c r="AW394" s="1">
        <v>42293.838453472221</v>
      </c>
      <c r="AX394" s="1"/>
      <c r="AZ394">
        <v>113</v>
      </c>
      <c r="BA394">
        <v>47</v>
      </c>
      <c r="BB394" s="2">
        <v>3</v>
      </c>
      <c r="BC394">
        <f t="shared" ref="BC394:BC411" si="22">(140-D394)*AO394/(72*BI394)</f>
        <v>23.35929004875673</v>
      </c>
      <c r="BD394">
        <v>131</v>
      </c>
      <c r="BE394">
        <v>5</v>
      </c>
      <c r="BF394">
        <v>3.2</v>
      </c>
      <c r="BG394">
        <v>6.5999999999999899</v>
      </c>
      <c r="BH394">
        <v>172</v>
      </c>
      <c r="BI394">
        <v>2.73</v>
      </c>
      <c r="BJ394">
        <v>8.5999999999999908</v>
      </c>
      <c r="BK394">
        <v>4.5</v>
      </c>
      <c r="BL394">
        <v>10.3</v>
      </c>
      <c r="BM394">
        <v>40.81</v>
      </c>
      <c r="BN394">
        <v>5.0999999999999899</v>
      </c>
    </row>
    <row r="395" spans="1:66" x14ac:dyDescent="0.3">
      <c r="A395">
        <v>394</v>
      </c>
      <c r="B395" s="2" t="s">
        <v>430</v>
      </c>
      <c r="C395" s="2" t="s">
        <v>448</v>
      </c>
      <c r="D395">
        <v>59.047879616963002</v>
      </c>
      <c r="E395" s="3"/>
      <c r="F395" s="1">
        <v>45620</v>
      </c>
      <c r="G395" s="1">
        <v>45606.386608796303</v>
      </c>
      <c r="H395" t="s">
        <v>17</v>
      </c>
      <c r="I395" t="s">
        <v>15</v>
      </c>
      <c r="J395" t="s">
        <v>30</v>
      </c>
      <c r="L395">
        <v>30</v>
      </c>
      <c r="M395" t="s">
        <v>451</v>
      </c>
      <c r="N395" t="s">
        <v>451</v>
      </c>
      <c r="O395" t="s">
        <v>17</v>
      </c>
      <c r="P395" t="s">
        <v>75</v>
      </c>
      <c r="Q395" t="s">
        <v>451</v>
      </c>
      <c r="S395" t="s">
        <v>451</v>
      </c>
      <c r="T395" t="s">
        <v>19</v>
      </c>
      <c r="U395" t="s">
        <v>132</v>
      </c>
      <c r="V395" t="s">
        <v>451</v>
      </c>
      <c r="W395" t="s">
        <v>19</v>
      </c>
      <c r="X395" t="s">
        <v>87</v>
      </c>
      <c r="Y395">
        <v>5.5</v>
      </c>
      <c r="Z395">
        <v>4.4000000953674299</v>
      </c>
      <c r="AA395">
        <v>1.03999996185302</v>
      </c>
      <c r="AB395">
        <v>1.00999999046325</v>
      </c>
      <c r="AC395">
        <v>220.242904663085</v>
      </c>
      <c r="AD395">
        <v>97</v>
      </c>
      <c r="AE395">
        <v>2</v>
      </c>
      <c r="AF395">
        <v>50</v>
      </c>
      <c r="AG395">
        <v>159</v>
      </c>
      <c r="AI395">
        <v>5.3200001716613698</v>
      </c>
      <c r="AJ395">
        <v>29.889999389648398</v>
      </c>
      <c r="AK395">
        <v>5.8000001907348597</v>
      </c>
      <c r="AL395">
        <v>5.6100001335143999</v>
      </c>
      <c r="AM395">
        <v>28.340000152587798</v>
      </c>
      <c r="AN395" t="s">
        <v>664</v>
      </c>
      <c r="AO395">
        <v>98</v>
      </c>
      <c r="AP395">
        <v>28.946124763705104</v>
      </c>
      <c r="AS395" s="1"/>
      <c r="AT395" s="1">
        <v>45607.66785690972</v>
      </c>
      <c r="AU395" s="1">
        <v>45594.524882407408</v>
      </c>
      <c r="AV395" s="1">
        <v>45594.524882407408</v>
      </c>
      <c r="AW395" s="1"/>
      <c r="AX395" s="1"/>
      <c r="AZ395">
        <v>156</v>
      </c>
      <c r="BA395">
        <v>102</v>
      </c>
      <c r="BB395" s="5">
        <v>0</v>
      </c>
      <c r="BC395">
        <f t="shared" si="22"/>
        <v>16.847833413051362</v>
      </c>
      <c r="BD395">
        <v>136</v>
      </c>
      <c r="BE395">
        <v>6.4</v>
      </c>
      <c r="BF395">
        <v>3.5</v>
      </c>
      <c r="BG395">
        <v>7.9</v>
      </c>
      <c r="BH395">
        <v>206</v>
      </c>
      <c r="BI395">
        <v>6.54</v>
      </c>
      <c r="BJ395">
        <v>9.1999999999999904</v>
      </c>
      <c r="BK395">
        <v>6.5999999999999899</v>
      </c>
      <c r="BL395">
        <v>9.9</v>
      </c>
      <c r="BM395">
        <v>128.4</v>
      </c>
      <c r="BN395">
        <v>5.4</v>
      </c>
    </row>
    <row r="396" spans="1:66" x14ac:dyDescent="0.3">
      <c r="A396">
        <v>395</v>
      </c>
      <c r="B396" s="2" t="s">
        <v>430</v>
      </c>
      <c r="C396" s="2" t="s">
        <v>448</v>
      </c>
      <c r="D396">
        <v>52.114757181941897</v>
      </c>
      <c r="E396" s="3"/>
      <c r="F396" s="1">
        <v>43068.943749999999</v>
      </c>
      <c r="G396" s="1">
        <v>42824.403032407397</v>
      </c>
      <c r="H396" t="s">
        <v>17</v>
      </c>
      <c r="I396" t="s">
        <v>15</v>
      </c>
      <c r="J396" t="s">
        <v>35</v>
      </c>
      <c r="L396">
        <v>25</v>
      </c>
      <c r="M396" t="s">
        <v>451</v>
      </c>
      <c r="N396" t="s">
        <v>451</v>
      </c>
      <c r="O396" t="s">
        <v>17</v>
      </c>
      <c r="P396" t="s">
        <v>451</v>
      </c>
      <c r="Q396" t="s">
        <v>451</v>
      </c>
      <c r="S396" t="s">
        <v>137</v>
      </c>
      <c r="T396" t="s">
        <v>23</v>
      </c>
      <c r="V396" t="s">
        <v>451</v>
      </c>
      <c r="W396" t="s">
        <v>19</v>
      </c>
      <c r="X396" t="s">
        <v>78</v>
      </c>
      <c r="Y396">
        <v>6.0100002288818297</v>
      </c>
      <c r="Z396">
        <v>5.46000003814697</v>
      </c>
      <c r="AA396">
        <v>1.1900000572204501</v>
      </c>
      <c r="AB396">
        <v>0.75</v>
      </c>
      <c r="AC396">
        <v>238.03456115722599</v>
      </c>
      <c r="AD396">
        <v>133</v>
      </c>
      <c r="AE396">
        <v>1</v>
      </c>
      <c r="AF396">
        <v>48</v>
      </c>
      <c r="AG396">
        <v>135</v>
      </c>
      <c r="AH396">
        <v>4.4299998283386204</v>
      </c>
      <c r="AI396">
        <v>2.8399999141693102</v>
      </c>
      <c r="AJ396">
        <v>47.540000915527301</v>
      </c>
      <c r="AK396">
        <v>4.0900001525878897</v>
      </c>
      <c r="AL396">
        <v>4.7600002288818297</v>
      </c>
      <c r="AM396">
        <v>28.360000610351499</v>
      </c>
      <c r="AN396" t="s">
        <v>665</v>
      </c>
      <c r="AO396">
        <v>59</v>
      </c>
      <c r="AP396">
        <v>18.209876543209877</v>
      </c>
      <c r="AS396" s="1"/>
      <c r="AT396" s="1"/>
      <c r="AU396" s="1">
        <v>43064.736296296287</v>
      </c>
      <c r="AV396" s="1"/>
      <c r="AW396" s="1"/>
      <c r="AX396" s="1"/>
      <c r="AZ396">
        <v>126</v>
      </c>
      <c r="BA396">
        <v>61</v>
      </c>
      <c r="BB396" s="2">
        <v>2</v>
      </c>
      <c r="BC396">
        <f t="shared" si="22"/>
        <v>38.928148095085795</v>
      </c>
      <c r="BD396">
        <v>139</v>
      </c>
      <c r="BE396">
        <v>4.2</v>
      </c>
      <c r="BF396">
        <v>2.7</v>
      </c>
      <c r="BG396">
        <v>6.7999999999999901</v>
      </c>
      <c r="BH396">
        <v>99</v>
      </c>
      <c r="BI396">
        <v>1.85</v>
      </c>
      <c r="BJ396">
        <v>7.7999999999999901</v>
      </c>
      <c r="BK396">
        <v>3.6</v>
      </c>
      <c r="BL396">
        <v>4.7</v>
      </c>
      <c r="BM396">
        <v>60.729999999999897</v>
      </c>
      <c r="BN396">
        <v>4.5</v>
      </c>
    </row>
    <row r="397" spans="1:66" x14ac:dyDescent="0.3">
      <c r="A397">
        <v>396</v>
      </c>
      <c r="B397" s="2" t="s">
        <v>434</v>
      </c>
      <c r="C397" s="2" t="s">
        <v>448</v>
      </c>
      <c r="D397">
        <v>59.039671682626</v>
      </c>
      <c r="E397" s="3"/>
      <c r="F397" s="1">
        <v>45679</v>
      </c>
      <c r="G397" s="1">
        <v>45319.670983796299</v>
      </c>
      <c r="H397" t="s">
        <v>15</v>
      </c>
      <c r="I397" t="s">
        <v>451</v>
      </c>
      <c r="J397" t="s">
        <v>453</v>
      </c>
      <c r="L397">
        <v>50</v>
      </c>
      <c r="M397" t="s">
        <v>79</v>
      </c>
      <c r="N397" t="s">
        <v>28</v>
      </c>
      <c r="O397" t="s">
        <v>15</v>
      </c>
      <c r="P397" t="s">
        <v>75</v>
      </c>
      <c r="Q397" t="s">
        <v>451</v>
      </c>
      <c r="S397" t="s">
        <v>451</v>
      </c>
      <c r="T397" t="s">
        <v>19</v>
      </c>
      <c r="V397" t="s">
        <v>451</v>
      </c>
      <c r="W397" t="s">
        <v>34</v>
      </c>
      <c r="Y397">
        <v>4</v>
      </c>
      <c r="Z397">
        <v>3</v>
      </c>
      <c r="AA397">
        <v>0.89999997615814198</v>
      </c>
      <c r="AB397">
        <v>0.89999997615814198</v>
      </c>
      <c r="AC397">
        <v>109.685180664062</v>
      </c>
      <c r="AD397">
        <v>58</v>
      </c>
      <c r="AE397">
        <v>1</v>
      </c>
      <c r="AG397">
        <v>72.800003051757798</v>
      </c>
      <c r="AI397">
        <v>9.1400003433227504</v>
      </c>
      <c r="AJ397">
        <v>7.96000003814697</v>
      </c>
      <c r="AK397">
        <v>8.1599998474121005</v>
      </c>
      <c r="AL397">
        <v>13.1000003814697</v>
      </c>
      <c r="AM397">
        <v>5.5599999427795401</v>
      </c>
      <c r="AN397" t="s">
        <v>666</v>
      </c>
      <c r="AO397">
        <v>75</v>
      </c>
      <c r="AP397">
        <v>23.671253629592226</v>
      </c>
      <c r="AS397" s="1">
        <v>43614.235563344897</v>
      </c>
      <c r="AT397" s="1">
        <v>44497.48691230324</v>
      </c>
      <c r="AU397" s="1"/>
      <c r="AV397" s="1">
        <v>43284.407227812502</v>
      </c>
      <c r="AW397" s="1">
        <v>43284.407227812502</v>
      </c>
      <c r="AX397" s="1"/>
      <c r="AZ397">
        <v>112</v>
      </c>
      <c r="BA397">
        <v>56</v>
      </c>
      <c r="BB397" s="5">
        <v>0</v>
      </c>
      <c r="BC397">
        <f t="shared" si="22"/>
        <v>15.474068867999618</v>
      </c>
      <c r="BD397">
        <v>141</v>
      </c>
      <c r="BE397">
        <v>5.5</v>
      </c>
      <c r="BF397">
        <v>3.5</v>
      </c>
      <c r="BG397">
        <v>11</v>
      </c>
      <c r="BH397">
        <v>324</v>
      </c>
      <c r="BI397">
        <v>5.45</v>
      </c>
      <c r="BJ397">
        <v>7.7</v>
      </c>
      <c r="BK397">
        <v>9.5999999999999908</v>
      </c>
      <c r="BL397">
        <v>9.3000000000000007</v>
      </c>
      <c r="BM397">
        <v>50.17</v>
      </c>
      <c r="BN397">
        <v>4.9000000000000004</v>
      </c>
    </row>
    <row r="398" spans="1:66" x14ac:dyDescent="0.3">
      <c r="A398">
        <v>397</v>
      </c>
      <c r="B398" s="2" t="s">
        <v>430</v>
      </c>
      <c r="C398" s="2" t="s">
        <v>448</v>
      </c>
      <c r="D398">
        <v>57.496580027359002</v>
      </c>
      <c r="E398" s="3">
        <v>45177.855555555558</v>
      </c>
      <c r="F398" s="1">
        <v>45136</v>
      </c>
      <c r="G398" s="1">
        <v>45044.41814814815</v>
      </c>
      <c r="H398" t="s">
        <v>15</v>
      </c>
      <c r="I398" t="s">
        <v>15</v>
      </c>
      <c r="J398" t="s">
        <v>35</v>
      </c>
      <c r="L398">
        <v>20</v>
      </c>
      <c r="M398" t="s">
        <v>15</v>
      </c>
      <c r="N398" t="s">
        <v>15</v>
      </c>
      <c r="O398" t="s">
        <v>25</v>
      </c>
      <c r="P398" t="s">
        <v>75</v>
      </c>
      <c r="Q398" t="s">
        <v>19</v>
      </c>
      <c r="S398" t="s">
        <v>451</v>
      </c>
      <c r="T398" t="s">
        <v>19</v>
      </c>
      <c r="V398" t="s">
        <v>15</v>
      </c>
      <c r="W398" t="s">
        <v>18</v>
      </c>
      <c r="Y398">
        <v>4.8699998855590803</v>
      </c>
      <c r="Z398">
        <v>3.95000004768371</v>
      </c>
      <c r="AA398">
        <v>1.0199999809265099</v>
      </c>
      <c r="AB398">
        <v>0.94999998807907104</v>
      </c>
      <c r="AC398">
        <v>170.754150390625</v>
      </c>
      <c r="AD398">
        <v>98</v>
      </c>
      <c r="AE398">
        <v>2.6400001049041699</v>
      </c>
      <c r="AG398">
        <v>95.599998474120994</v>
      </c>
      <c r="AI398">
        <v>4.0900001525878897</v>
      </c>
      <c r="AJ398">
        <v>23.370000839233299</v>
      </c>
      <c r="AK398">
        <v>3.3599998950958199</v>
      </c>
      <c r="AL398">
        <v>3.9700000286102202</v>
      </c>
      <c r="AM398">
        <v>24.079999923706001</v>
      </c>
      <c r="AN398" t="s">
        <v>667</v>
      </c>
      <c r="AO398">
        <v>68.5</v>
      </c>
      <c r="AP398">
        <v>26.757812500000004</v>
      </c>
      <c r="AQ398" s="1">
        <v>45044</v>
      </c>
      <c r="AS398" s="1">
        <v>44417.960181863433</v>
      </c>
      <c r="AT398" s="1">
        <v>45133.264927627322</v>
      </c>
      <c r="AU398" s="1">
        <v>44417.958513541656</v>
      </c>
      <c r="AV398" s="1">
        <v>43857.007969710648</v>
      </c>
      <c r="AW398" s="1">
        <v>44690.62734579861</v>
      </c>
      <c r="AX398" s="1">
        <v>44902.461303587967</v>
      </c>
      <c r="AZ398">
        <v>110</v>
      </c>
      <c r="BA398">
        <v>49</v>
      </c>
      <c r="BB398" s="5">
        <v>0</v>
      </c>
      <c r="BC398">
        <f t="shared" si="22"/>
        <v>17.365671915332847</v>
      </c>
      <c r="BD398">
        <v>124</v>
      </c>
      <c r="BE398">
        <v>4.5999999999999899</v>
      </c>
      <c r="BF398">
        <v>2.8999999999999901</v>
      </c>
      <c r="BG398">
        <v>8.4</v>
      </c>
      <c r="BH398">
        <v>217</v>
      </c>
      <c r="BI398">
        <v>4.5199999999999898</v>
      </c>
      <c r="BJ398">
        <v>6.5</v>
      </c>
      <c r="BK398">
        <v>8.5999999999999908</v>
      </c>
      <c r="BL398">
        <v>14.1999999999999</v>
      </c>
      <c r="BM398">
        <v>143.08000000000001</v>
      </c>
      <c r="BN398">
        <v>7.5999999999999899</v>
      </c>
    </row>
    <row r="399" spans="1:66" x14ac:dyDescent="0.3">
      <c r="A399">
        <v>398</v>
      </c>
      <c r="B399" s="2" t="s">
        <v>430</v>
      </c>
      <c r="C399" s="2" t="s">
        <v>448</v>
      </c>
      <c r="D399">
        <v>50.22708618331</v>
      </c>
      <c r="E399" s="3"/>
      <c r="F399" s="1">
        <v>42775</v>
      </c>
      <c r="G399" s="1">
        <v>42596.615682870368</v>
      </c>
      <c r="H399" t="s">
        <v>31</v>
      </c>
      <c r="I399" t="s">
        <v>87</v>
      </c>
      <c r="J399" t="s">
        <v>30</v>
      </c>
      <c r="L399">
        <v>30</v>
      </c>
      <c r="M399" t="s">
        <v>451</v>
      </c>
      <c r="N399" t="s">
        <v>451</v>
      </c>
      <c r="O399" t="s">
        <v>25</v>
      </c>
      <c r="P399" t="s">
        <v>451</v>
      </c>
      <c r="Q399" t="s">
        <v>451</v>
      </c>
      <c r="S399" t="s">
        <v>451</v>
      </c>
      <c r="T399" t="s">
        <v>19</v>
      </c>
      <c r="V399" t="s">
        <v>451</v>
      </c>
      <c r="W399" t="s">
        <v>19</v>
      </c>
      <c r="X399" t="s">
        <v>90</v>
      </c>
      <c r="Y399">
        <v>6.5399999618530202</v>
      </c>
      <c r="Z399">
        <v>5.5999999046325604</v>
      </c>
      <c r="AA399">
        <v>1.46000003814697</v>
      </c>
      <c r="AB399">
        <v>0.87999999523162797</v>
      </c>
      <c r="AC399">
        <v>350.45666503906199</v>
      </c>
      <c r="AD399">
        <v>171</v>
      </c>
      <c r="AE399">
        <v>2</v>
      </c>
      <c r="AF399">
        <v>64</v>
      </c>
      <c r="AG399">
        <v>120</v>
      </c>
      <c r="AH399">
        <v>5</v>
      </c>
      <c r="AI399">
        <v>7</v>
      </c>
      <c r="AJ399">
        <v>17.139999389648398</v>
      </c>
      <c r="AK399">
        <v>7</v>
      </c>
      <c r="AL399">
        <v>9</v>
      </c>
      <c r="AM399">
        <v>13.329999923706</v>
      </c>
      <c r="AN399" t="s">
        <v>668</v>
      </c>
      <c r="AO399">
        <v>98.049999999999898</v>
      </c>
      <c r="AP399">
        <v>33.927335640138374</v>
      </c>
      <c r="AS399" s="1"/>
      <c r="AT399" s="1"/>
      <c r="AU399" s="1">
        <v>41324.843233912034</v>
      </c>
      <c r="AV399" s="1">
        <v>41338.873589965267</v>
      </c>
      <c r="AW399" s="1"/>
      <c r="AX399" s="1"/>
      <c r="AZ399">
        <v>122</v>
      </c>
      <c r="BA399">
        <v>75</v>
      </c>
      <c r="BB399" s="2">
        <v>1</v>
      </c>
      <c r="BC399">
        <f t="shared" si="22"/>
        <v>22.187523189469804</v>
      </c>
      <c r="BD399">
        <v>140</v>
      </c>
      <c r="BE399">
        <v>6</v>
      </c>
      <c r="BF399">
        <v>3.1</v>
      </c>
      <c r="BG399">
        <v>9.5999999999999908</v>
      </c>
      <c r="BH399">
        <v>265</v>
      </c>
      <c r="BI399">
        <v>5.50999999999999</v>
      </c>
      <c r="BJ399">
        <v>7.9</v>
      </c>
      <c r="BK399">
        <v>6.7</v>
      </c>
      <c r="BL399">
        <v>12.6999999999999</v>
      </c>
      <c r="BM399">
        <v>28.67</v>
      </c>
      <c r="BN399">
        <v>6.0999999999999899</v>
      </c>
    </row>
    <row r="400" spans="1:66" x14ac:dyDescent="0.3">
      <c r="A400">
        <v>399</v>
      </c>
      <c r="B400" s="2" t="s">
        <v>430</v>
      </c>
      <c r="C400" s="2" t="s">
        <v>449</v>
      </c>
      <c r="D400">
        <v>50.642954856361001</v>
      </c>
      <c r="E400" s="3"/>
      <c r="F400" s="1">
        <v>43206</v>
      </c>
      <c r="G400" s="1">
        <v>43186.380706018521</v>
      </c>
      <c r="H400" t="s">
        <v>25</v>
      </c>
      <c r="I400" t="s">
        <v>15</v>
      </c>
      <c r="J400" t="s">
        <v>30</v>
      </c>
      <c r="L400">
        <v>30</v>
      </c>
      <c r="M400" t="s">
        <v>451</v>
      </c>
      <c r="N400" t="s">
        <v>451</v>
      </c>
      <c r="O400" t="s">
        <v>25</v>
      </c>
      <c r="P400" t="s">
        <v>15</v>
      </c>
      <c r="S400" t="s">
        <v>451</v>
      </c>
      <c r="T400" t="s">
        <v>34</v>
      </c>
      <c r="V400" t="s">
        <v>451</v>
      </c>
      <c r="W400" t="s">
        <v>18</v>
      </c>
      <c r="Y400">
        <v>5.6999998092651296</v>
      </c>
      <c r="Z400">
        <v>4.8000001907348597</v>
      </c>
      <c r="AA400">
        <v>1.0700000524520801</v>
      </c>
      <c r="AB400">
        <v>1</v>
      </c>
      <c r="AC400">
        <v>236.80848693847599</v>
      </c>
      <c r="AD400">
        <v>148</v>
      </c>
      <c r="AE400">
        <v>2</v>
      </c>
      <c r="AG400">
        <v>173</v>
      </c>
      <c r="AH400">
        <v>6.5199999809265101</v>
      </c>
      <c r="AI400">
        <v>8.1899995803833008</v>
      </c>
      <c r="AJ400">
        <v>21.120000839233299</v>
      </c>
      <c r="AK400">
        <v>7.6900000572204501</v>
      </c>
      <c r="AL400">
        <v>15.300000190734799</v>
      </c>
      <c r="AM400">
        <v>11.3100004196166</v>
      </c>
      <c r="AN400" t="s">
        <v>669</v>
      </c>
      <c r="AO400">
        <v>48.149999999999899</v>
      </c>
      <c r="AP400">
        <v>16.088075111096227</v>
      </c>
      <c r="AS400" s="1"/>
      <c r="AT400" s="1"/>
      <c r="AU400" s="1">
        <v>42057.602516666673</v>
      </c>
      <c r="AV400" s="1"/>
      <c r="AW400" s="1"/>
      <c r="AX400" s="1"/>
      <c r="AZ400">
        <v>149</v>
      </c>
      <c r="BA400">
        <v>101</v>
      </c>
      <c r="BB400" s="2">
        <v>2</v>
      </c>
      <c r="BC400">
        <f t="shared" si="22"/>
        <v>9.0268163051070172</v>
      </c>
      <c r="BD400">
        <v>137</v>
      </c>
      <c r="BE400">
        <v>5.2999999999999901</v>
      </c>
      <c r="BF400">
        <v>2.8999999999999901</v>
      </c>
      <c r="BG400">
        <v>11.1</v>
      </c>
      <c r="BH400">
        <v>350</v>
      </c>
      <c r="BI400">
        <v>6.62</v>
      </c>
      <c r="BJ400">
        <v>5.7999999999999901</v>
      </c>
      <c r="BK400">
        <v>8.5</v>
      </c>
      <c r="BL400">
        <v>11.6</v>
      </c>
      <c r="BM400">
        <v>118.64</v>
      </c>
      <c r="BN400">
        <v>5.5999999999999899</v>
      </c>
    </row>
    <row r="401" spans="1:66" x14ac:dyDescent="0.3">
      <c r="A401">
        <v>400</v>
      </c>
      <c r="B401" s="2" t="s">
        <v>434</v>
      </c>
      <c r="C401" s="2" t="s">
        <v>449</v>
      </c>
      <c r="D401">
        <v>49.047879616963002</v>
      </c>
      <c r="E401" s="3">
        <v>42804</v>
      </c>
      <c r="F401" s="1">
        <v>42760</v>
      </c>
      <c r="G401" s="1">
        <v>42439.621967592589</v>
      </c>
      <c r="H401" t="s">
        <v>31</v>
      </c>
      <c r="I401" t="s">
        <v>15</v>
      </c>
      <c r="J401" t="s">
        <v>35</v>
      </c>
      <c r="L401">
        <v>25</v>
      </c>
      <c r="M401" t="s">
        <v>15</v>
      </c>
      <c r="N401" t="s">
        <v>15</v>
      </c>
      <c r="O401" t="s">
        <v>25</v>
      </c>
      <c r="P401" t="s">
        <v>126</v>
      </c>
      <c r="Q401" t="s">
        <v>18</v>
      </c>
      <c r="R401" t="s">
        <v>491</v>
      </c>
      <c r="S401" t="s">
        <v>126</v>
      </c>
      <c r="T401" t="s">
        <v>18</v>
      </c>
      <c r="U401" t="s">
        <v>272</v>
      </c>
      <c r="V401" t="s">
        <v>451</v>
      </c>
      <c r="W401" t="s">
        <v>26</v>
      </c>
      <c r="X401" t="s">
        <v>90</v>
      </c>
      <c r="Y401">
        <v>6.4000000953674299</v>
      </c>
      <c r="Z401">
        <v>5.8000001907348597</v>
      </c>
      <c r="AA401">
        <v>0.75999999046325595</v>
      </c>
      <c r="AB401">
        <v>0.81999999284744196</v>
      </c>
      <c r="AC401">
        <v>205.29328918457</v>
      </c>
      <c r="AD401">
        <v>107</v>
      </c>
      <c r="AE401">
        <v>2.5599999427795401</v>
      </c>
      <c r="AF401">
        <v>57</v>
      </c>
      <c r="AN401" t="s">
        <v>670</v>
      </c>
      <c r="AO401">
        <v>71.799999999999898</v>
      </c>
      <c r="AP401">
        <v>22.160493827160462</v>
      </c>
      <c r="AR401" s="1">
        <v>40512</v>
      </c>
      <c r="AS401" s="1">
        <v>41240.502262118047</v>
      </c>
      <c r="AT401" s="1"/>
      <c r="AU401" s="1">
        <v>37750.838819444441</v>
      </c>
      <c r="AV401" s="1">
        <v>40112.667544560187</v>
      </c>
      <c r="AW401" s="1"/>
      <c r="AX401" s="1"/>
      <c r="BB401" s="2">
        <v>1</v>
      </c>
      <c r="BC401">
        <f t="shared" si="22"/>
        <v>32.39266985864122</v>
      </c>
      <c r="BD401">
        <v>139</v>
      </c>
      <c r="BE401">
        <v>4.2</v>
      </c>
      <c r="BF401">
        <v>3.2</v>
      </c>
      <c r="BG401">
        <v>10.6999999999999</v>
      </c>
      <c r="BH401">
        <v>231</v>
      </c>
      <c r="BI401">
        <v>2.7999999999999901</v>
      </c>
      <c r="BJ401">
        <v>8.6999999999999904</v>
      </c>
      <c r="BK401">
        <v>5.2</v>
      </c>
      <c r="BL401">
        <v>16.1999999999999</v>
      </c>
      <c r="BM401">
        <v>48.869999999999898</v>
      </c>
      <c r="BN401">
        <v>5.2999999999999901</v>
      </c>
    </row>
    <row r="402" spans="1:66" x14ac:dyDescent="0.3">
      <c r="A402">
        <v>401</v>
      </c>
      <c r="B402" s="2" t="s">
        <v>430</v>
      </c>
      <c r="C402" s="2" t="s">
        <v>448</v>
      </c>
      <c r="D402">
        <v>57.025991792065</v>
      </c>
      <c r="E402" s="3"/>
      <c r="F402" s="1">
        <v>45688</v>
      </c>
      <c r="G402" s="1">
        <v>45403.456956018519</v>
      </c>
      <c r="H402" t="s">
        <v>17</v>
      </c>
      <c r="I402" t="s">
        <v>78</v>
      </c>
      <c r="J402" t="s">
        <v>14</v>
      </c>
      <c r="L402">
        <v>45</v>
      </c>
      <c r="M402" t="s">
        <v>451</v>
      </c>
      <c r="N402" t="s">
        <v>451</v>
      </c>
      <c r="O402" t="s">
        <v>25</v>
      </c>
      <c r="P402" t="s">
        <v>451</v>
      </c>
      <c r="Q402" t="s">
        <v>18</v>
      </c>
      <c r="S402" t="s">
        <v>451</v>
      </c>
      <c r="T402" t="s">
        <v>23</v>
      </c>
      <c r="V402" t="s">
        <v>451</v>
      </c>
      <c r="W402" t="s">
        <v>18</v>
      </c>
      <c r="X402" t="s">
        <v>15</v>
      </c>
      <c r="Y402">
        <v>6.2199997901916504</v>
      </c>
      <c r="Z402">
        <v>4.4000000953674299</v>
      </c>
      <c r="AA402">
        <v>1.20000004768371</v>
      </c>
      <c r="AB402">
        <v>1.20000004768371</v>
      </c>
      <c r="AC402">
        <v>333.28524780273398</v>
      </c>
      <c r="AD402">
        <v>173</v>
      </c>
      <c r="AE402">
        <v>1.3099999427795399</v>
      </c>
      <c r="AF402">
        <v>24</v>
      </c>
      <c r="AG402">
        <v>81.400001525878906</v>
      </c>
      <c r="AI402">
        <v>4.2399997711181596</v>
      </c>
      <c r="AJ402">
        <v>19.2000007629394</v>
      </c>
      <c r="AK402">
        <v>6.6399998664855904</v>
      </c>
      <c r="AL402">
        <v>7.5100002288818297</v>
      </c>
      <c r="AM402">
        <v>10.8400001525878</v>
      </c>
      <c r="AN402" t="s">
        <v>671</v>
      </c>
      <c r="AO402">
        <v>90</v>
      </c>
      <c r="AP402">
        <v>33.057851239669418</v>
      </c>
      <c r="AQ402" s="1">
        <v>43191</v>
      </c>
      <c r="AS402" s="1">
        <v>43215.692618287037</v>
      </c>
      <c r="AT402" s="1"/>
      <c r="AU402" s="1">
        <v>41695.408893784719</v>
      </c>
      <c r="AV402" s="1">
        <v>41695.408893784719</v>
      </c>
      <c r="AW402" s="1">
        <v>41695.408893784719</v>
      </c>
      <c r="AX402" s="1"/>
      <c r="AZ402">
        <v>177</v>
      </c>
      <c r="BA402">
        <v>75</v>
      </c>
      <c r="BB402" s="5">
        <v>0</v>
      </c>
      <c r="BC402">
        <f t="shared" si="22"/>
        <v>21.652924897686589</v>
      </c>
      <c r="BD402">
        <v>140</v>
      </c>
      <c r="BE402">
        <v>4.7999999999999901</v>
      </c>
      <c r="BF402">
        <v>4.0999999999999899</v>
      </c>
      <c r="BG402">
        <v>7.7999999999999901</v>
      </c>
      <c r="BH402">
        <v>264</v>
      </c>
      <c r="BI402">
        <v>4.79</v>
      </c>
      <c r="BJ402">
        <v>8.8000000000000007</v>
      </c>
      <c r="BK402">
        <v>6.4</v>
      </c>
      <c r="BL402">
        <v>11.1</v>
      </c>
      <c r="BM402">
        <v>0.4</v>
      </c>
      <c r="BN402">
        <v>5.2999999999999901</v>
      </c>
    </row>
    <row r="403" spans="1:66" x14ac:dyDescent="0.3">
      <c r="A403">
        <v>402</v>
      </c>
      <c r="B403" s="2" t="s">
        <v>430</v>
      </c>
      <c r="C403" s="2" t="s">
        <v>449</v>
      </c>
      <c r="D403">
        <v>46.142270861832898</v>
      </c>
      <c r="E403" s="3">
        <v>45798.089583333327</v>
      </c>
      <c r="F403" s="1">
        <v>42285</v>
      </c>
      <c r="G403" s="1">
        <v>42271.539884259262</v>
      </c>
      <c r="H403" t="s">
        <v>15</v>
      </c>
      <c r="I403" t="s">
        <v>78</v>
      </c>
      <c r="J403" t="s">
        <v>453</v>
      </c>
      <c r="K403" t="s">
        <v>464</v>
      </c>
      <c r="L403">
        <v>50</v>
      </c>
      <c r="M403" t="s">
        <v>451</v>
      </c>
      <c r="N403" t="s">
        <v>451</v>
      </c>
      <c r="O403" t="s">
        <v>17</v>
      </c>
      <c r="P403" t="s">
        <v>451</v>
      </c>
      <c r="Q403" t="s">
        <v>19</v>
      </c>
      <c r="S403" t="s">
        <v>451</v>
      </c>
      <c r="T403" t="s">
        <v>19</v>
      </c>
      <c r="V403" t="s">
        <v>451</v>
      </c>
      <c r="W403" t="s">
        <v>18</v>
      </c>
      <c r="X403" t="s">
        <v>15</v>
      </c>
      <c r="Y403">
        <v>5.4000000953674299</v>
      </c>
      <c r="Z403">
        <v>3.20000004768371</v>
      </c>
      <c r="AA403">
        <v>1.20000004768371</v>
      </c>
      <c r="AB403">
        <v>1.1000000238418499</v>
      </c>
      <c r="AC403">
        <v>249.42541503906199</v>
      </c>
      <c r="AD403">
        <v>129</v>
      </c>
      <c r="AE403">
        <v>1.25</v>
      </c>
      <c r="AF403">
        <v>33</v>
      </c>
      <c r="AG403">
        <v>78</v>
      </c>
      <c r="AH403">
        <v>6.5999999046325604</v>
      </c>
      <c r="AI403">
        <v>4.4000000953674299</v>
      </c>
      <c r="AJ403">
        <v>17.7299995422363</v>
      </c>
      <c r="AK403">
        <v>4.9000000953674299</v>
      </c>
      <c r="AL403">
        <v>6.9000000953674299</v>
      </c>
      <c r="AM403">
        <v>11.300000190734799</v>
      </c>
      <c r="AN403" t="s">
        <v>672</v>
      </c>
      <c r="AO403">
        <v>107</v>
      </c>
      <c r="AP403">
        <v>47.555555555555557</v>
      </c>
      <c r="AQ403" s="1">
        <v>41487</v>
      </c>
      <c r="AS403" s="1">
        <v>41807.420869560177</v>
      </c>
      <c r="AT403" s="1"/>
      <c r="AU403" s="1">
        <v>41130.832820219897</v>
      </c>
      <c r="AV403" s="1">
        <v>40045.472894791666</v>
      </c>
      <c r="AW403" s="1"/>
      <c r="AX403" s="1"/>
      <c r="AZ403">
        <v>85</v>
      </c>
      <c r="BA403">
        <v>45</v>
      </c>
      <c r="BB403" s="2">
        <v>1</v>
      </c>
      <c r="BC403">
        <f t="shared" si="22"/>
        <v>19.535436153485634</v>
      </c>
      <c r="BD403">
        <v>140</v>
      </c>
      <c r="BE403">
        <v>5.5</v>
      </c>
      <c r="BF403">
        <v>3</v>
      </c>
      <c r="BG403">
        <v>10</v>
      </c>
      <c r="BH403">
        <v>163</v>
      </c>
      <c r="BI403">
        <v>7.1399999999999899</v>
      </c>
      <c r="BJ403">
        <v>6.2999999999999901</v>
      </c>
      <c r="BK403">
        <v>7</v>
      </c>
      <c r="BL403">
        <v>6.7999999999999901</v>
      </c>
      <c r="BN403">
        <v>5.5</v>
      </c>
    </row>
    <row r="404" spans="1:66" x14ac:dyDescent="0.3">
      <c r="A404">
        <v>403</v>
      </c>
      <c r="B404" s="2" t="s">
        <v>430</v>
      </c>
      <c r="C404" s="2" t="s">
        <v>448</v>
      </c>
      <c r="D404">
        <v>47.537619699041898</v>
      </c>
      <c r="E404" s="3">
        <v>43147</v>
      </c>
      <c r="F404" s="1">
        <v>42803</v>
      </c>
      <c r="G404" s="1">
        <v>42534.388472222221</v>
      </c>
      <c r="H404" t="s">
        <v>17</v>
      </c>
      <c r="I404" t="s">
        <v>451</v>
      </c>
      <c r="J404" t="s">
        <v>35</v>
      </c>
      <c r="L404">
        <v>20</v>
      </c>
      <c r="M404" t="s">
        <v>17</v>
      </c>
      <c r="N404" t="s">
        <v>35</v>
      </c>
      <c r="O404" t="s">
        <v>17</v>
      </c>
      <c r="P404" t="s">
        <v>15</v>
      </c>
      <c r="S404" t="s">
        <v>451</v>
      </c>
      <c r="T404" t="s">
        <v>18</v>
      </c>
      <c r="V404" t="s">
        <v>451</v>
      </c>
      <c r="W404" t="s">
        <v>19</v>
      </c>
      <c r="X404" t="s">
        <v>90</v>
      </c>
      <c r="Y404">
        <v>5.9000000953674299</v>
      </c>
      <c r="Z404">
        <v>5.1999998092651296</v>
      </c>
      <c r="AA404">
        <v>1</v>
      </c>
      <c r="AB404">
        <v>0.80000001192092796</v>
      </c>
      <c r="AC404">
        <v>209.560134887695</v>
      </c>
      <c r="AD404">
        <v>106</v>
      </c>
      <c r="AE404">
        <v>2.5599999427795401</v>
      </c>
      <c r="AF404">
        <v>58</v>
      </c>
      <c r="AG404">
        <v>93.599998474120994</v>
      </c>
      <c r="AH404">
        <v>6</v>
      </c>
      <c r="AI404">
        <v>3</v>
      </c>
      <c r="AJ404">
        <v>31.2000007629394</v>
      </c>
      <c r="AK404">
        <v>7</v>
      </c>
      <c r="AL404">
        <v>8</v>
      </c>
      <c r="AM404">
        <v>11.699999809265099</v>
      </c>
      <c r="AN404" t="s">
        <v>673</v>
      </c>
      <c r="AO404">
        <v>94</v>
      </c>
      <c r="AP404">
        <v>32.525951557093428</v>
      </c>
      <c r="AS404" s="1">
        <v>40356.938251886582</v>
      </c>
      <c r="AT404" s="1"/>
      <c r="AU404" s="1">
        <v>40808.531175925928</v>
      </c>
      <c r="AV404" s="1">
        <v>40808.531175925928</v>
      </c>
      <c r="AW404" s="1"/>
      <c r="AX404" s="1"/>
      <c r="AZ404">
        <v>113</v>
      </c>
      <c r="BA404">
        <v>80</v>
      </c>
      <c r="BB404" s="2">
        <v>10</v>
      </c>
      <c r="BC404">
        <f t="shared" si="22"/>
        <v>27.750522823403838</v>
      </c>
      <c r="BD404">
        <v>137</v>
      </c>
      <c r="BE404">
        <v>3.2999999999999901</v>
      </c>
      <c r="BF404">
        <v>2.6</v>
      </c>
      <c r="BG404">
        <v>13.1</v>
      </c>
      <c r="BH404">
        <v>268</v>
      </c>
      <c r="BI404">
        <v>4.3499999999999899</v>
      </c>
      <c r="BJ404">
        <v>7.7999999999999901</v>
      </c>
      <c r="BK404">
        <v>6.4</v>
      </c>
      <c r="BL404">
        <v>10.6</v>
      </c>
      <c r="BM404">
        <v>34.2899999999999</v>
      </c>
      <c r="BN404">
        <v>8.8000000000000007</v>
      </c>
    </row>
    <row r="405" spans="1:66" x14ac:dyDescent="0.3">
      <c r="A405">
        <v>404</v>
      </c>
      <c r="B405" s="2" t="s">
        <v>430</v>
      </c>
      <c r="C405" s="2" t="s">
        <v>448</v>
      </c>
      <c r="D405">
        <v>54.604651162789999</v>
      </c>
      <c r="E405" s="3"/>
      <c r="F405" s="1">
        <v>45708</v>
      </c>
      <c r="G405" s="1">
        <v>45707.457002314812</v>
      </c>
      <c r="H405" t="s">
        <v>15</v>
      </c>
      <c r="I405" t="s">
        <v>15</v>
      </c>
      <c r="J405" t="s">
        <v>15</v>
      </c>
      <c r="L405">
        <v>55</v>
      </c>
      <c r="M405" t="s">
        <v>451</v>
      </c>
      <c r="N405" t="s">
        <v>451</v>
      </c>
      <c r="O405" t="s">
        <v>17</v>
      </c>
      <c r="P405" t="s">
        <v>451</v>
      </c>
      <c r="Q405" t="s">
        <v>451</v>
      </c>
      <c r="R405" t="s">
        <v>153</v>
      </c>
      <c r="S405" t="s">
        <v>451</v>
      </c>
      <c r="T405" t="s">
        <v>18</v>
      </c>
      <c r="V405" t="s">
        <v>451</v>
      </c>
      <c r="W405" t="s">
        <v>18</v>
      </c>
      <c r="X405" t="s">
        <v>15</v>
      </c>
      <c r="Y405">
        <v>4.96000003814697</v>
      </c>
      <c r="Z405">
        <v>2.8599998950958199</v>
      </c>
      <c r="AA405">
        <v>1.0599999427795399</v>
      </c>
      <c r="AB405">
        <v>1.0199999809265099</v>
      </c>
      <c r="AC405">
        <v>189.37225341796801</v>
      </c>
      <c r="AD405">
        <v>94</v>
      </c>
      <c r="AE405">
        <v>1</v>
      </c>
      <c r="AF405">
        <v>25</v>
      </c>
      <c r="AG405">
        <v>77.419998168945298</v>
      </c>
      <c r="AI405">
        <v>7.7300000190734801</v>
      </c>
      <c r="AJ405">
        <v>10.020000457763601</v>
      </c>
      <c r="AL405">
        <v>6.4499998092651296</v>
      </c>
      <c r="AM405">
        <v>12</v>
      </c>
      <c r="AN405" t="s">
        <v>674</v>
      </c>
      <c r="AO405">
        <v>80.400000000000006</v>
      </c>
      <c r="AS405" s="1">
        <v>45706.188174340277</v>
      </c>
      <c r="AT405" s="1"/>
      <c r="AU405" s="1"/>
      <c r="AV405" s="1"/>
      <c r="AW405" s="1">
        <v>45706.190181446756</v>
      </c>
      <c r="AX405" s="1"/>
      <c r="BA405">
        <v>75</v>
      </c>
      <c r="BB405" s="5">
        <v>0</v>
      </c>
      <c r="BC405">
        <f t="shared" si="22"/>
        <v>13.449667071210811</v>
      </c>
      <c r="BD405">
        <v>138</v>
      </c>
      <c r="BE405">
        <v>3.6</v>
      </c>
      <c r="BF405">
        <v>2.8999999999999901</v>
      </c>
      <c r="BG405">
        <v>9.4</v>
      </c>
      <c r="BH405">
        <v>206</v>
      </c>
      <c r="BI405">
        <v>7.0899999999999901</v>
      </c>
      <c r="BJ405">
        <v>8.1999999999999904</v>
      </c>
      <c r="BK405">
        <v>7.7</v>
      </c>
      <c r="BL405">
        <v>10.5</v>
      </c>
      <c r="BM405">
        <v>229.55</v>
      </c>
      <c r="BN405">
        <v>5.2999999999999901</v>
      </c>
    </row>
    <row r="406" spans="1:66" x14ac:dyDescent="0.3">
      <c r="A406">
        <v>405</v>
      </c>
      <c r="B406" s="2" t="s">
        <v>430</v>
      </c>
      <c r="C406" s="2" t="s">
        <v>448</v>
      </c>
      <c r="D406">
        <v>48.035567715458001</v>
      </c>
      <c r="E406" s="3"/>
      <c r="F406" s="1">
        <v>43109</v>
      </c>
      <c r="G406" s="1">
        <v>42746.460416666669</v>
      </c>
      <c r="H406" t="s">
        <v>17</v>
      </c>
      <c r="I406" t="s">
        <v>15</v>
      </c>
      <c r="J406" t="s">
        <v>22</v>
      </c>
      <c r="L406">
        <v>35</v>
      </c>
      <c r="M406" t="s">
        <v>451</v>
      </c>
      <c r="N406" t="s">
        <v>451</v>
      </c>
      <c r="O406" t="s">
        <v>17</v>
      </c>
      <c r="P406" t="s">
        <v>451</v>
      </c>
      <c r="Q406" t="s">
        <v>451</v>
      </c>
      <c r="S406" t="s">
        <v>451</v>
      </c>
      <c r="T406" t="s">
        <v>29</v>
      </c>
      <c r="V406" t="s">
        <v>451</v>
      </c>
      <c r="W406" t="s">
        <v>23</v>
      </c>
      <c r="X406" t="s">
        <v>90</v>
      </c>
      <c r="Y406">
        <v>5.5</v>
      </c>
      <c r="Z406">
        <v>4.9099998474120996</v>
      </c>
      <c r="AA406">
        <v>0.92000001668929998</v>
      </c>
      <c r="AB406">
        <v>0.83999997377395597</v>
      </c>
      <c r="AC406">
        <v>180.54676818847599</v>
      </c>
      <c r="AD406">
        <v>120</v>
      </c>
      <c r="AE406">
        <v>2.1900000572204501</v>
      </c>
      <c r="AF406">
        <v>64</v>
      </c>
      <c r="AG406">
        <v>92.300003051757798</v>
      </c>
      <c r="AH406">
        <v>6.3200001716613698</v>
      </c>
      <c r="AI406">
        <v>7.25</v>
      </c>
      <c r="AJ406">
        <v>12.7299995422363</v>
      </c>
      <c r="AK406">
        <v>5.8499999046325604</v>
      </c>
      <c r="AL406">
        <v>10.699999809265099</v>
      </c>
      <c r="AM406">
        <v>8.6300001144409109</v>
      </c>
      <c r="AN406" t="s">
        <v>675</v>
      </c>
      <c r="AO406">
        <v>51.1</v>
      </c>
      <c r="AP406">
        <v>19.9609375</v>
      </c>
      <c r="AS406" s="1"/>
      <c r="AT406" s="1"/>
      <c r="AU406" s="1"/>
      <c r="AV406" s="1"/>
      <c r="AW406" s="1"/>
      <c r="AX406" s="1"/>
      <c r="BB406" s="2">
        <v>1</v>
      </c>
      <c r="BC406">
        <f t="shared" si="22"/>
        <v>15.073718532653633</v>
      </c>
      <c r="BD406">
        <v>137</v>
      </c>
      <c r="BE406">
        <v>5.2</v>
      </c>
      <c r="BF406">
        <v>3.3999999999999901</v>
      </c>
      <c r="BG406">
        <v>9.8000000000000007</v>
      </c>
      <c r="BH406">
        <v>172</v>
      </c>
      <c r="BI406">
        <v>4.33</v>
      </c>
      <c r="BJ406">
        <v>5.4</v>
      </c>
      <c r="BK406">
        <v>6.9</v>
      </c>
      <c r="BL406">
        <v>9.1999999999999904</v>
      </c>
      <c r="BM406">
        <v>46.659999999999897</v>
      </c>
      <c r="BN406">
        <v>4.0999999999999899</v>
      </c>
    </row>
    <row r="407" spans="1:66" x14ac:dyDescent="0.3">
      <c r="A407">
        <v>406</v>
      </c>
      <c r="B407" s="2" t="s">
        <v>430</v>
      </c>
      <c r="C407" s="2" t="s">
        <v>448</v>
      </c>
      <c r="D407">
        <v>74.358413132693997</v>
      </c>
      <c r="E407" s="3">
        <v>43686.487500000003</v>
      </c>
      <c r="F407" s="1">
        <v>43005</v>
      </c>
      <c r="G407" s="1">
        <v>42758.508240740739</v>
      </c>
      <c r="H407" t="s">
        <v>15</v>
      </c>
      <c r="I407" t="s">
        <v>90</v>
      </c>
      <c r="J407" t="s">
        <v>15</v>
      </c>
      <c r="L407">
        <v>60</v>
      </c>
      <c r="M407" t="s">
        <v>451</v>
      </c>
      <c r="N407" t="s">
        <v>451</v>
      </c>
      <c r="O407" t="s">
        <v>17</v>
      </c>
      <c r="P407" t="s">
        <v>451</v>
      </c>
      <c r="Q407" t="s">
        <v>451</v>
      </c>
      <c r="R407" t="s">
        <v>153</v>
      </c>
      <c r="S407" t="s">
        <v>451</v>
      </c>
      <c r="T407" t="s">
        <v>19</v>
      </c>
      <c r="V407" t="s">
        <v>451</v>
      </c>
      <c r="W407" t="s">
        <v>19</v>
      </c>
      <c r="X407" t="s">
        <v>15</v>
      </c>
      <c r="Y407">
        <v>4.5999999046325604</v>
      </c>
      <c r="Z407">
        <v>2.9000000953674299</v>
      </c>
      <c r="AA407">
        <v>2.20000004768371</v>
      </c>
      <c r="AB407">
        <v>0.80000001192092796</v>
      </c>
      <c r="AC407">
        <v>284.844482421875</v>
      </c>
      <c r="AD407">
        <v>163</v>
      </c>
      <c r="AE407">
        <v>1</v>
      </c>
      <c r="AF407">
        <v>29</v>
      </c>
      <c r="AG407">
        <v>104</v>
      </c>
      <c r="AH407">
        <v>5.4000000953674299</v>
      </c>
      <c r="AI407">
        <v>4.1999998092651296</v>
      </c>
      <c r="AJ407">
        <v>24.7600002288818</v>
      </c>
      <c r="AK407">
        <v>7.0999999046325604</v>
      </c>
      <c r="AL407">
        <v>8.1000003814697195</v>
      </c>
      <c r="AM407">
        <v>12.8400001525878</v>
      </c>
      <c r="AN407" t="s">
        <v>676</v>
      </c>
      <c r="AO407">
        <v>63</v>
      </c>
      <c r="AP407">
        <v>22.058051188683869</v>
      </c>
      <c r="AS407" s="1">
        <v>40172.870576817128</v>
      </c>
      <c r="AT407" s="1"/>
      <c r="AU407" s="1">
        <v>40174.589511226863</v>
      </c>
      <c r="AV407" s="1">
        <v>39852.472028587959</v>
      </c>
      <c r="AW407" s="1">
        <v>39852.472231562497</v>
      </c>
      <c r="AX407" s="1">
        <v>41530.50106091435</v>
      </c>
      <c r="AY407" t="s">
        <v>21</v>
      </c>
      <c r="AZ407">
        <v>130</v>
      </c>
      <c r="BA407">
        <v>82</v>
      </c>
      <c r="BB407" s="2">
        <v>8</v>
      </c>
      <c r="BC407">
        <f t="shared" si="22"/>
        <v>10.982101053325573</v>
      </c>
      <c r="BD407">
        <v>140</v>
      </c>
      <c r="BE407">
        <v>5.2</v>
      </c>
      <c r="BF407">
        <v>2.2000000000000002</v>
      </c>
      <c r="BG407">
        <v>12.4</v>
      </c>
      <c r="BH407">
        <v>269</v>
      </c>
      <c r="BI407">
        <v>5.23</v>
      </c>
      <c r="BJ407">
        <v>7.7</v>
      </c>
      <c r="BK407">
        <v>5.5</v>
      </c>
      <c r="BL407">
        <v>11.4</v>
      </c>
      <c r="BM407">
        <v>21.76</v>
      </c>
      <c r="BN407">
        <v>6.7</v>
      </c>
    </row>
    <row r="408" spans="1:66" x14ac:dyDescent="0.3">
      <c r="A408">
        <v>407</v>
      </c>
      <c r="B408" s="2" t="s">
        <v>430</v>
      </c>
      <c r="C408" s="2" t="s">
        <v>449</v>
      </c>
      <c r="D408">
        <v>83.015047879616105</v>
      </c>
      <c r="E408" s="3">
        <v>42522.972222222219</v>
      </c>
      <c r="F408" s="1">
        <v>42397</v>
      </c>
      <c r="G408" s="1">
        <v>42166.473958333343</v>
      </c>
      <c r="H408" t="s">
        <v>15</v>
      </c>
      <c r="I408" t="s">
        <v>78</v>
      </c>
      <c r="J408" t="s">
        <v>15</v>
      </c>
      <c r="K408" t="s">
        <v>454</v>
      </c>
      <c r="L408">
        <v>60</v>
      </c>
      <c r="M408" t="s">
        <v>451</v>
      </c>
      <c r="N408" t="s">
        <v>15</v>
      </c>
      <c r="O408" t="s">
        <v>17</v>
      </c>
      <c r="P408" t="s">
        <v>75</v>
      </c>
      <c r="R408" t="s">
        <v>289</v>
      </c>
      <c r="S408" t="s">
        <v>451</v>
      </c>
      <c r="T408" t="s">
        <v>19</v>
      </c>
      <c r="U408" t="s">
        <v>132</v>
      </c>
      <c r="V408" t="s">
        <v>451</v>
      </c>
      <c r="W408" t="s">
        <v>19</v>
      </c>
      <c r="X408" t="s">
        <v>87</v>
      </c>
      <c r="Y408">
        <v>5.2399997711181596</v>
      </c>
      <c r="Z408">
        <v>3.5999999046325599</v>
      </c>
      <c r="AA408">
        <v>1.1900000572204501</v>
      </c>
      <c r="AB408">
        <v>1.0900000333786</v>
      </c>
      <c r="AC408">
        <v>234.70915222167901</v>
      </c>
      <c r="AD408">
        <v>116</v>
      </c>
      <c r="AE408">
        <v>1</v>
      </c>
      <c r="AF408">
        <v>58</v>
      </c>
      <c r="AG408">
        <v>116</v>
      </c>
      <c r="AH408">
        <v>7.0199999809265101</v>
      </c>
      <c r="AI408">
        <v>4.8299999237060502</v>
      </c>
      <c r="AJ408">
        <v>24.020000457763601</v>
      </c>
      <c r="AK408">
        <v>7.4099998474120996</v>
      </c>
      <c r="AN408" t="s">
        <v>677</v>
      </c>
      <c r="AO408">
        <v>9</v>
      </c>
      <c r="AP408">
        <v>3.7460978147762747</v>
      </c>
      <c r="AS408" s="1"/>
      <c r="AT408" s="1"/>
      <c r="AU408" s="1">
        <v>39044.748541666668</v>
      </c>
      <c r="AV408" s="1">
        <v>41387.839050891213</v>
      </c>
      <c r="AW408" s="1"/>
      <c r="AX408" s="1">
        <v>41322.824442974539</v>
      </c>
      <c r="BB408" s="5">
        <v>0</v>
      </c>
      <c r="BC408">
        <f t="shared" si="22"/>
        <v>1.4332231418607648</v>
      </c>
      <c r="BD408">
        <v>131</v>
      </c>
      <c r="BE408">
        <v>6</v>
      </c>
      <c r="BF408">
        <v>2.8999999999999901</v>
      </c>
      <c r="BG408">
        <v>8</v>
      </c>
      <c r="BH408">
        <v>318</v>
      </c>
      <c r="BI408">
        <v>4.96999999999999</v>
      </c>
      <c r="BJ408">
        <v>7.7999999999999901</v>
      </c>
      <c r="BK408">
        <v>10.1</v>
      </c>
      <c r="BL408">
        <v>8.3000000000000007</v>
      </c>
      <c r="BM408">
        <v>38.719999999999899</v>
      </c>
      <c r="BN408">
        <v>4.5999999999999899</v>
      </c>
    </row>
    <row r="409" spans="1:66" x14ac:dyDescent="0.3">
      <c r="A409">
        <v>408</v>
      </c>
      <c r="B409" s="2" t="s">
        <v>430</v>
      </c>
      <c r="C409" s="2" t="s">
        <v>449</v>
      </c>
      <c r="D409">
        <v>66.163506991944004</v>
      </c>
      <c r="E409" s="3">
        <v>45395</v>
      </c>
      <c r="F409" s="1">
        <v>45128.761805555558</v>
      </c>
      <c r="G409" s="1">
        <v>45015.415532407409</v>
      </c>
      <c r="H409" t="s">
        <v>451</v>
      </c>
      <c r="I409" t="s">
        <v>451</v>
      </c>
      <c r="J409" t="s">
        <v>451</v>
      </c>
      <c r="K409" t="s">
        <v>74</v>
      </c>
      <c r="L409">
        <v>60</v>
      </c>
      <c r="M409" t="s">
        <v>451</v>
      </c>
      <c r="N409" t="s">
        <v>451</v>
      </c>
      <c r="O409" t="s">
        <v>31</v>
      </c>
      <c r="P409" t="s">
        <v>126</v>
      </c>
      <c r="Q409" t="s">
        <v>29</v>
      </c>
      <c r="S409" t="s">
        <v>126</v>
      </c>
      <c r="T409" t="s">
        <v>451</v>
      </c>
      <c r="V409" t="s">
        <v>504</v>
      </c>
      <c r="W409" t="s">
        <v>451</v>
      </c>
      <c r="Y409">
        <v>4.4000000953674299</v>
      </c>
      <c r="Z409">
        <v>2.4000000953674299</v>
      </c>
      <c r="AA409">
        <v>1.1000000238418499</v>
      </c>
      <c r="AB409">
        <v>1</v>
      </c>
      <c r="AC409">
        <v>158.21490478515599</v>
      </c>
      <c r="AE409">
        <v>1</v>
      </c>
      <c r="AN409" t="s">
        <v>678</v>
      </c>
      <c r="AO409">
        <v>87</v>
      </c>
      <c r="AS409" s="1"/>
      <c r="AT409" s="1">
        <v>40035.681005092592</v>
      </c>
      <c r="AU409" s="1"/>
      <c r="AV409" s="1"/>
      <c r="AW409" s="1"/>
      <c r="AX409" s="1">
        <v>45006.634444756943</v>
      </c>
      <c r="AZ409">
        <v>121</v>
      </c>
      <c r="BA409">
        <v>75</v>
      </c>
      <c r="BB409" s="5">
        <v>0</v>
      </c>
      <c r="BC409">
        <f t="shared" si="22"/>
        <v>85.787592036603513</v>
      </c>
      <c r="BD409">
        <v>131</v>
      </c>
      <c r="BE409">
        <v>4.7</v>
      </c>
      <c r="BF409">
        <v>3.1</v>
      </c>
      <c r="BG409">
        <v>7.4</v>
      </c>
      <c r="BH409">
        <v>96</v>
      </c>
      <c r="BI409">
        <v>1.04</v>
      </c>
      <c r="BJ409">
        <v>9.5</v>
      </c>
      <c r="BK409">
        <v>2.8999999999999901</v>
      </c>
      <c r="BL409">
        <v>6.0999999999999899</v>
      </c>
      <c r="BM409">
        <v>36.909999999999897</v>
      </c>
      <c r="BN409">
        <v>6.0999999999999899</v>
      </c>
    </row>
    <row r="410" spans="1:66" x14ac:dyDescent="0.3">
      <c r="A410">
        <v>409</v>
      </c>
      <c r="B410" s="2" t="s">
        <v>434</v>
      </c>
      <c r="C410" s="2" t="s">
        <v>448</v>
      </c>
      <c r="D410">
        <v>68.298221614227003</v>
      </c>
      <c r="E410" s="3">
        <v>43383</v>
      </c>
      <c r="F410" s="1">
        <v>42694</v>
      </c>
      <c r="G410" s="1">
        <v>42652.600243055553</v>
      </c>
      <c r="H410" t="s">
        <v>15</v>
      </c>
      <c r="I410" t="s">
        <v>451</v>
      </c>
      <c r="J410" t="s">
        <v>35</v>
      </c>
      <c r="L410">
        <v>18</v>
      </c>
      <c r="M410" t="s">
        <v>15</v>
      </c>
      <c r="N410" t="s">
        <v>28</v>
      </c>
      <c r="O410" t="s">
        <v>17</v>
      </c>
      <c r="P410" t="s">
        <v>112</v>
      </c>
      <c r="Q410" t="s">
        <v>451</v>
      </c>
      <c r="S410" t="s">
        <v>451</v>
      </c>
      <c r="T410" t="s">
        <v>18</v>
      </c>
      <c r="V410" t="s">
        <v>451</v>
      </c>
      <c r="W410" t="s">
        <v>19</v>
      </c>
      <c r="Y410">
        <v>5.3499999046325604</v>
      </c>
      <c r="Z410">
        <v>4.3600001335143999</v>
      </c>
      <c r="AA410">
        <v>0.79000002145767201</v>
      </c>
      <c r="AB410">
        <v>0.92000001668929998</v>
      </c>
      <c r="AC410">
        <v>165.97285461425699</v>
      </c>
      <c r="AD410">
        <v>92</v>
      </c>
      <c r="AE410">
        <v>2.1199998855590798</v>
      </c>
      <c r="AF410">
        <v>55</v>
      </c>
      <c r="AG410">
        <v>40.700000762939403</v>
      </c>
      <c r="AH410">
        <v>2.4800000190734801</v>
      </c>
      <c r="AI410">
        <v>2.4800000190734801</v>
      </c>
      <c r="AJ410">
        <v>16.409999847412099</v>
      </c>
      <c r="AK410">
        <v>4.1999998092651296</v>
      </c>
      <c r="AL410">
        <v>3.5999999046325599</v>
      </c>
      <c r="AM410">
        <v>11.3100004196166</v>
      </c>
      <c r="AN410" t="s">
        <v>679</v>
      </c>
      <c r="AO410">
        <v>68.2</v>
      </c>
      <c r="AP410">
        <v>24.163832199546484</v>
      </c>
      <c r="AS410" s="1">
        <v>40349.506418634257</v>
      </c>
      <c r="AT410" s="1"/>
      <c r="AU410" s="1">
        <v>40349.507473148151</v>
      </c>
      <c r="AV410" s="1">
        <v>40349.506794594898</v>
      </c>
      <c r="AW410" s="1"/>
      <c r="AX410" s="1"/>
      <c r="BB410" s="2">
        <v>1</v>
      </c>
      <c r="BC410">
        <f t="shared" si="22"/>
        <v>32.969668864008348</v>
      </c>
      <c r="BD410">
        <v>143</v>
      </c>
      <c r="BE410">
        <v>3.8999999999999901</v>
      </c>
      <c r="BF410">
        <v>3.3999999999999901</v>
      </c>
      <c r="BG410">
        <v>14</v>
      </c>
      <c r="BH410">
        <v>173</v>
      </c>
      <c r="BI410">
        <v>2.06</v>
      </c>
      <c r="BJ410">
        <v>8.5</v>
      </c>
      <c r="BK410">
        <v>2.7999999999999901</v>
      </c>
      <c r="BL410">
        <v>8</v>
      </c>
      <c r="BM410">
        <v>1.5</v>
      </c>
      <c r="BN410">
        <v>7.0999999999999899</v>
      </c>
    </row>
    <row r="411" spans="1:66" x14ac:dyDescent="0.3">
      <c r="A411">
        <v>410</v>
      </c>
      <c r="B411" s="2" t="s">
        <v>430</v>
      </c>
      <c r="C411" s="2" t="s">
        <v>449</v>
      </c>
      <c r="D411">
        <v>42.234454324364897</v>
      </c>
      <c r="E411" s="3">
        <v>44220</v>
      </c>
      <c r="F411" s="1">
        <v>42539.693055555559</v>
      </c>
      <c r="G411" s="1">
        <v>42539.485243055547</v>
      </c>
      <c r="H411" t="s">
        <v>15</v>
      </c>
      <c r="I411" t="s">
        <v>451</v>
      </c>
      <c r="J411" t="s">
        <v>37</v>
      </c>
      <c r="L411">
        <v>50</v>
      </c>
      <c r="M411" t="s">
        <v>15</v>
      </c>
      <c r="N411" t="s">
        <v>15</v>
      </c>
      <c r="O411" t="s">
        <v>451</v>
      </c>
      <c r="P411" t="s">
        <v>451</v>
      </c>
      <c r="Q411" t="s">
        <v>19</v>
      </c>
      <c r="S411" t="s">
        <v>451</v>
      </c>
      <c r="T411" t="s">
        <v>18</v>
      </c>
      <c r="V411" t="s">
        <v>451</v>
      </c>
      <c r="W411" t="s">
        <v>451</v>
      </c>
      <c r="AE411">
        <v>1</v>
      </c>
      <c r="AN411" t="s">
        <v>680</v>
      </c>
      <c r="AO411">
        <v>75</v>
      </c>
      <c r="AP411">
        <v>30.043262297708701</v>
      </c>
      <c r="AS411" s="1"/>
      <c r="AT411" s="1"/>
      <c r="AU411" s="1">
        <v>41064.644322650463</v>
      </c>
      <c r="AV411" s="1"/>
      <c r="AW411" s="1"/>
      <c r="AX411" s="1"/>
      <c r="AZ411">
        <v>127</v>
      </c>
      <c r="BA411">
        <v>74</v>
      </c>
      <c r="BB411" s="2">
        <v>3</v>
      </c>
      <c r="BC411">
        <f t="shared" si="22"/>
        <v>25.782053184502928</v>
      </c>
      <c r="BD411">
        <v>133</v>
      </c>
      <c r="BE411">
        <v>4.7999999999999901</v>
      </c>
      <c r="BF411">
        <v>4.0999999999999899</v>
      </c>
      <c r="BG411">
        <v>8.1999999999999904</v>
      </c>
      <c r="BH411">
        <v>167</v>
      </c>
      <c r="BI411">
        <v>3.95</v>
      </c>
      <c r="BJ411">
        <v>8.0999999999999908</v>
      </c>
      <c r="BK411">
        <v>9</v>
      </c>
      <c r="BL411">
        <v>10.4</v>
      </c>
      <c r="BM411">
        <v>71.049999999999898</v>
      </c>
      <c r="BN411">
        <v>5.5</v>
      </c>
    </row>
    <row r="412" spans="1:66" x14ac:dyDescent="0.3">
      <c r="A412">
        <v>411</v>
      </c>
      <c r="B412" s="2" t="s">
        <v>430</v>
      </c>
      <c r="C412" s="2" t="s">
        <v>449</v>
      </c>
      <c r="D412">
        <v>39.882352941176002</v>
      </c>
      <c r="E412" s="3">
        <v>42435.888888888891</v>
      </c>
      <c r="F412" s="1">
        <v>42404</v>
      </c>
      <c r="G412" s="1">
        <v>42331.520405092589</v>
      </c>
      <c r="H412" t="s">
        <v>15</v>
      </c>
      <c r="I412" t="s">
        <v>15</v>
      </c>
      <c r="J412" t="s">
        <v>453</v>
      </c>
      <c r="L412">
        <v>50</v>
      </c>
      <c r="M412" t="s">
        <v>79</v>
      </c>
      <c r="N412" t="s">
        <v>28</v>
      </c>
      <c r="O412" t="s">
        <v>17</v>
      </c>
      <c r="P412" t="s">
        <v>15</v>
      </c>
      <c r="S412" t="s">
        <v>504</v>
      </c>
      <c r="T412" t="s">
        <v>34</v>
      </c>
      <c r="V412" t="s">
        <v>504</v>
      </c>
      <c r="W412" t="s">
        <v>34</v>
      </c>
      <c r="X412" t="s">
        <v>90</v>
      </c>
      <c r="Y412">
        <v>4.3000001907348597</v>
      </c>
      <c r="Z412">
        <v>2.2999999523162802</v>
      </c>
      <c r="AA412">
        <v>1</v>
      </c>
      <c r="AB412">
        <v>0.89999997615814198</v>
      </c>
      <c r="AC412">
        <v>132.73907470703099</v>
      </c>
      <c r="AD412">
        <v>77</v>
      </c>
      <c r="AE412">
        <v>1</v>
      </c>
      <c r="AF412">
        <v>105</v>
      </c>
      <c r="AN412" t="s">
        <v>681</v>
      </c>
      <c r="AS412" s="1"/>
      <c r="AT412" s="1">
        <v>42370.958275729157</v>
      </c>
      <c r="AU412" s="1"/>
      <c r="AV412" s="1"/>
      <c r="AW412" s="1"/>
      <c r="AX412" s="1"/>
      <c r="AZ412">
        <v>130</v>
      </c>
      <c r="BA412">
        <v>77</v>
      </c>
      <c r="BB412" s="5">
        <v>0</v>
      </c>
      <c r="BC412">
        <v>27.7</v>
      </c>
      <c r="BD412">
        <v>133</v>
      </c>
      <c r="BE412">
        <v>5.5</v>
      </c>
      <c r="BF412">
        <v>1.5</v>
      </c>
      <c r="BG412">
        <v>9</v>
      </c>
      <c r="BH412">
        <v>194</v>
      </c>
      <c r="BI412">
        <v>2</v>
      </c>
      <c r="BJ412">
        <v>7.5999999999999899</v>
      </c>
      <c r="BK412">
        <v>8.6999999999999904</v>
      </c>
      <c r="BL412">
        <v>10.4</v>
      </c>
      <c r="BN412">
        <v>5.7</v>
      </c>
    </row>
    <row r="413" spans="1:66" x14ac:dyDescent="0.3">
      <c r="A413">
        <v>412</v>
      </c>
      <c r="B413" s="2" t="s">
        <v>430</v>
      </c>
      <c r="C413" s="2" t="s">
        <v>448</v>
      </c>
      <c r="D413">
        <v>85.343365253076897</v>
      </c>
      <c r="E413" s="3">
        <v>42700</v>
      </c>
      <c r="F413" s="1">
        <v>42494</v>
      </c>
      <c r="G413" s="1">
        <v>42505.556990740741</v>
      </c>
      <c r="H413" t="s">
        <v>15</v>
      </c>
      <c r="I413" t="s">
        <v>78</v>
      </c>
      <c r="J413" t="s">
        <v>15</v>
      </c>
      <c r="L413" s="2">
        <v>60</v>
      </c>
      <c r="M413" t="s">
        <v>15</v>
      </c>
      <c r="N413" t="s">
        <v>15</v>
      </c>
      <c r="O413" t="s">
        <v>17</v>
      </c>
      <c r="P413" t="s">
        <v>75</v>
      </c>
      <c r="Q413" t="s">
        <v>451</v>
      </c>
      <c r="S413" t="s">
        <v>451</v>
      </c>
      <c r="T413" t="s">
        <v>19</v>
      </c>
      <c r="U413" t="s">
        <v>96</v>
      </c>
      <c r="V413" t="s">
        <v>451</v>
      </c>
      <c r="W413" t="s">
        <v>19</v>
      </c>
      <c r="X413" t="s">
        <v>87</v>
      </c>
      <c r="Y413">
        <v>4.8099999427795401</v>
      </c>
      <c r="Z413">
        <v>2.5899999141693102</v>
      </c>
      <c r="AA413">
        <v>1.1000000238418499</v>
      </c>
      <c r="AB413">
        <v>1.00999999046325</v>
      </c>
      <c r="AC413">
        <v>183.71424865722599</v>
      </c>
      <c r="AD413">
        <v>95</v>
      </c>
      <c r="AE413">
        <v>1</v>
      </c>
      <c r="AF413">
        <v>50</v>
      </c>
      <c r="AG413">
        <v>139</v>
      </c>
      <c r="AH413">
        <v>7.0199999809265101</v>
      </c>
      <c r="AI413">
        <v>6.9400000572204501</v>
      </c>
      <c r="AJ413">
        <v>20.030000686645501</v>
      </c>
      <c r="AK413">
        <v>7.5599999427795401</v>
      </c>
      <c r="AL413">
        <v>8.6599998474121005</v>
      </c>
      <c r="AM413">
        <v>16.049999237060501</v>
      </c>
      <c r="AN413" t="s">
        <v>682</v>
      </c>
      <c r="AO413">
        <v>82</v>
      </c>
      <c r="AP413">
        <v>31.245237006553879</v>
      </c>
      <c r="AS413" s="1">
        <v>40764.781973993056</v>
      </c>
      <c r="AT413" s="1">
        <v>40764.781973993056</v>
      </c>
      <c r="AU413" s="1">
        <v>40764.781973993056</v>
      </c>
      <c r="AV413" s="1">
        <v>40764.781973993056</v>
      </c>
      <c r="AW413" s="1"/>
      <c r="AX413" s="1"/>
      <c r="AZ413">
        <v>126</v>
      </c>
      <c r="BA413">
        <v>71</v>
      </c>
      <c r="BB413" s="5">
        <v>0</v>
      </c>
      <c r="BC413">
        <f t="shared" ref="BC413:BC418" si="23">(140-D413)*AO413/(72*BI413)</f>
        <v>12.861122730853145</v>
      </c>
      <c r="BD413">
        <v>139</v>
      </c>
      <c r="BE413">
        <v>4.2999999999999901</v>
      </c>
      <c r="BF413">
        <v>3.2999999999999901</v>
      </c>
      <c r="BG413">
        <v>8.6999999999999904</v>
      </c>
      <c r="BH413">
        <v>136</v>
      </c>
      <c r="BI413">
        <v>4.8399999999999901</v>
      </c>
      <c r="BJ413">
        <v>6.7999999999999901</v>
      </c>
      <c r="BK413">
        <v>5.98</v>
      </c>
      <c r="BL413">
        <v>5.2</v>
      </c>
      <c r="BM413">
        <v>22.6</v>
      </c>
      <c r="BN413">
        <v>6.5999999999999899</v>
      </c>
    </row>
    <row r="414" spans="1:66" x14ac:dyDescent="0.3">
      <c r="A414">
        <v>413</v>
      </c>
      <c r="B414" s="2" t="s">
        <v>430</v>
      </c>
      <c r="C414" s="2" t="s">
        <v>449</v>
      </c>
      <c r="D414">
        <v>78.88749620003</v>
      </c>
      <c r="E414" s="3">
        <v>45340.054861111108</v>
      </c>
      <c r="F414" s="1">
        <v>44175.379861111112</v>
      </c>
      <c r="G414" s="1">
        <v>44130.457071759258</v>
      </c>
      <c r="H414" t="s">
        <v>15</v>
      </c>
      <c r="I414" t="s">
        <v>451</v>
      </c>
      <c r="J414" t="s">
        <v>15</v>
      </c>
      <c r="K414" t="s">
        <v>145</v>
      </c>
      <c r="L414">
        <v>65</v>
      </c>
      <c r="M414" t="s">
        <v>451</v>
      </c>
      <c r="N414" t="s">
        <v>451</v>
      </c>
      <c r="O414" t="s">
        <v>17</v>
      </c>
      <c r="P414" t="s">
        <v>75</v>
      </c>
      <c r="Q414" t="s">
        <v>19</v>
      </c>
      <c r="R414" t="s">
        <v>102</v>
      </c>
      <c r="S414" t="s">
        <v>75</v>
      </c>
      <c r="T414" t="s">
        <v>23</v>
      </c>
      <c r="U414" t="s">
        <v>517</v>
      </c>
      <c r="V414" t="s">
        <v>451</v>
      </c>
      <c r="W414" t="s">
        <v>23</v>
      </c>
      <c r="X414" t="s">
        <v>87</v>
      </c>
      <c r="Y414">
        <v>4.0999999046325604</v>
      </c>
      <c r="Z414">
        <v>2.2999999523162802</v>
      </c>
      <c r="AA414">
        <v>1.3999999761581401</v>
      </c>
      <c r="AB414">
        <v>0.81999999284744196</v>
      </c>
      <c r="AC414">
        <v>153.28445434570301</v>
      </c>
      <c r="AD414">
        <v>84</v>
      </c>
      <c r="AE414">
        <v>1</v>
      </c>
      <c r="AF414">
        <v>47</v>
      </c>
      <c r="AG414">
        <v>127</v>
      </c>
      <c r="AH414">
        <v>5.7600002288818297</v>
      </c>
      <c r="AI414">
        <v>4.5999999046325604</v>
      </c>
      <c r="AJ414">
        <v>27.610000610351499</v>
      </c>
      <c r="AK414">
        <v>5.5799999237060502</v>
      </c>
      <c r="AL414">
        <v>4.4899997711181596</v>
      </c>
      <c r="AM414">
        <v>28.290000915527301</v>
      </c>
      <c r="AN414" t="s">
        <v>683</v>
      </c>
      <c r="AO414">
        <v>91</v>
      </c>
      <c r="AP414">
        <v>35.546875</v>
      </c>
      <c r="AS414" s="1"/>
      <c r="AT414" s="1"/>
      <c r="AU414" s="1">
        <v>40962.590294131936</v>
      </c>
      <c r="AV414" s="1"/>
      <c r="AW414" s="1">
        <v>40962.590294131936</v>
      </c>
      <c r="AX414" s="1">
        <v>42381.462164236109</v>
      </c>
      <c r="AZ414">
        <v>117</v>
      </c>
      <c r="BA414">
        <v>60</v>
      </c>
      <c r="BB414" s="2">
        <v>1</v>
      </c>
      <c r="BC414">
        <f t="shared" si="23"/>
        <v>12.397979859544474</v>
      </c>
      <c r="BD414">
        <v>138</v>
      </c>
      <c r="BE414">
        <v>5.2</v>
      </c>
      <c r="BF414">
        <v>3.5</v>
      </c>
      <c r="BG414">
        <v>6.7999999999999901</v>
      </c>
      <c r="BH414">
        <v>194</v>
      </c>
      <c r="BI414">
        <v>6.23</v>
      </c>
      <c r="BJ414">
        <v>9.0999999999999908</v>
      </c>
      <c r="BK414">
        <v>6.5</v>
      </c>
      <c r="BL414">
        <v>6.2999999999999901</v>
      </c>
      <c r="BM414">
        <v>57.0399999999999</v>
      </c>
      <c r="BN414">
        <v>6.2</v>
      </c>
    </row>
    <row r="415" spans="1:66" x14ac:dyDescent="0.3">
      <c r="A415">
        <v>414</v>
      </c>
      <c r="B415" s="2" t="s">
        <v>430</v>
      </c>
      <c r="C415" s="2" t="s">
        <v>448</v>
      </c>
      <c r="D415">
        <v>85.045143638850007</v>
      </c>
      <c r="E415" s="3">
        <v>44989.142361111109</v>
      </c>
      <c r="F415" s="1">
        <v>44375</v>
      </c>
      <c r="G415" s="1">
        <v>44141.385023148148</v>
      </c>
      <c r="H415" t="s">
        <v>15</v>
      </c>
      <c r="I415" t="s">
        <v>451</v>
      </c>
      <c r="J415" t="s">
        <v>14</v>
      </c>
      <c r="L415">
        <v>45</v>
      </c>
      <c r="M415" t="s">
        <v>15</v>
      </c>
      <c r="N415" t="s">
        <v>15</v>
      </c>
      <c r="O415" t="s">
        <v>15</v>
      </c>
      <c r="P415" t="s">
        <v>451</v>
      </c>
      <c r="Q415" t="s">
        <v>18</v>
      </c>
      <c r="S415" t="s">
        <v>504</v>
      </c>
      <c r="T415" t="s">
        <v>451</v>
      </c>
      <c r="V415" t="s">
        <v>451</v>
      </c>
      <c r="W415" t="s">
        <v>18</v>
      </c>
      <c r="X415" t="s">
        <v>15</v>
      </c>
      <c r="Y415">
        <v>4.7699999809265101</v>
      </c>
      <c r="Z415">
        <v>3.16000008583068</v>
      </c>
      <c r="AA415">
        <v>1.1000000238418499</v>
      </c>
      <c r="AB415">
        <v>1.03999996185302</v>
      </c>
      <c r="AC415">
        <v>184.81149291992099</v>
      </c>
      <c r="AD415">
        <v>107</v>
      </c>
      <c r="AE415">
        <v>1.3099999427795399</v>
      </c>
      <c r="AF415">
        <v>31</v>
      </c>
      <c r="AN415" t="s">
        <v>684</v>
      </c>
      <c r="AO415">
        <v>65.299999999999898</v>
      </c>
      <c r="AP415">
        <v>24.27870315288515</v>
      </c>
      <c r="AQ415" s="1">
        <v>43705</v>
      </c>
      <c r="AS415" s="1">
        <v>43705.510028391203</v>
      </c>
      <c r="AT415" s="1">
        <v>43741.682128391207</v>
      </c>
      <c r="AU415" s="1">
        <v>40955.199351967603</v>
      </c>
      <c r="AV415" s="1"/>
      <c r="AW415" s="1"/>
      <c r="AX415" s="1"/>
      <c r="AZ415">
        <v>136</v>
      </c>
      <c r="BA415">
        <v>51</v>
      </c>
      <c r="BB415" s="5">
        <v>0</v>
      </c>
      <c r="BC415">
        <f t="shared" si="23"/>
        <v>10.672591364451275</v>
      </c>
      <c r="BD415">
        <v>145</v>
      </c>
      <c r="BE415">
        <v>4.0999999999999899</v>
      </c>
      <c r="BF415">
        <v>3.5</v>
      </c>
      <c r="BG415">
        <v>10.9</v>
      </c>
      <c r="BH415">
        <v>110</v>
      </c>
      <c r="BI415">
        <v>4.6699999999999902</v>
      </c>
      <c r="BJ415">
        <v>7.7999999999999901</v>
      </c>
      <c r="BK415">
        <v>4.0999999999999899</v>
      </c>
      <c r="BL415">
        <v>7.4</v>
      </c>
      <c r="BM415">
        <v>22.1</v>
      </c>
      <c r="BN415">
        <v>5.4</v>
      </c>
    </row>
    <row r="416" spans="1:66" x14ac:dyDescent="0.3">
      <c r="A416">
        <v>415</v>
      </c>
      <c r="B416" s="2" t="s">
        <v>430</v>
      </c>
      <c r="C416" s="2" t="s">
        <v>449</v>
      </c>
      <c r="D416">
        <v>82.095759233926103</v>
      </c>
      <c r="E416" s="3">
        <v>45342</v>
      </c>
      <c r="F416" s="1">
        <v>44581</v>
      </c>
      <c r="G416" s="1">
        <v>44355.632615740738</v>
      </c>
      <c r="H416" t="s">
        <v>451</v>
      </c>
      <c r="I416" t="s">
        <v>451</v>
      </c>
      <c r="J416" t="s">
        <v>451</v>
      </c>
      <c r="L416">
        <v>35</v>
      </c>
      <c r="M416" t="s">
        <v>79</v>
      </c>
      <c r="N416" t="s">
        <v>15</v>
      </c>
      <c r="O416" t="s">
        <v>25</v>
      </c>
      <c r="P416" t="s">
        <v>451</v>
      </c>
      <c r="Q416" t="s">
        <v>19</v>
      </c>
      <c r="S416" t="s">
        <v>451</v>
      </c>
      <c r="T416" t="s">
        <v>19</v>
      </c>
      <c r="U416" t="s">
        <v>518</v>
      </c>
      <c r="V416" t="s">
        <v>451</v>
      </c>
      <c r="W416" t="s">
        <v>34</v>
      </c>
      <c r="X416" t="s">
        <v>78</v>
      </c>
      <c r="Y416">
        <v>5.2199997901916504</v>
      </c>
      <c r="Z416">
        <v>2.96000003814697</v>
      </c>
      <c r="AA416">
        <v>1</v>
      </c>
      <c r="AB416">
        <v>0.76999998092651301</v>
      </c>
      <c r="AC416">
        <v>166.413818359375</v>
      </c>
      <c r="AD416">
        <v>92</v>
      </c>
      <c r="AE416">
        <v>1.5</v>
      </c>
      <c r="AF416">
        <v>40</v>
      </c>
      <c r="AN416" t="s">
        <v>685</v>
      </c>
      <c r="AO416">
        <v>79.2</v>
      </c>
      <c r="AP416">
        <v>29.090909090909093</v>
      </c>
      <c r="AS416" s="1"/>
      <c r="AT416" s="1">
        <v>40974.482194710647</v>
      </c>
      <c r="AU416" s="1">
        <v>40507.464875925929</v>
      </c>
      <c r="AV416" s="1">
        <v>41330.601928124997</v>
      </c>
      <c r="AW416" s="1"/>
      <c r="AX416" s="1"/>
      <c r="AY416" t="s">
        <v>21</v>
      </c>
      <c r="AZ416">
        <v>171</v>
      </c>
      <c r="BA416">
        <v>99</v>
      </c>
      <c r="BB416" s="5">
        <v>0</v>
      </c>
      <c r="BC416">
        <f t="shared" si="23"/>
        <v>34.061318097690524</v>
      </c>
      <c r="BD416">
        <v>133</v>
      </c>
      <c r="BE416">
        <v>4</v>
      </c>
      <c r="BF416">
        <v>3.8999999999999901</v>
      </c>
      <c r="BG416">
        <v>12.1999999999999</v>
      </c>
      <c r="BH416">
        <v>144</v>
      </c>
      <c r="BI416">
        <v>1.87</v>
      </c>
      <c r="BJ416">
        <v>9.5999999999999908</v>
      </c>
      <c r="BK416">
        <v>4.4000000000000004</v>
      </c>
      <c r="BL416">
        <v>13.6999999999999</v>
      </c>
      <c r="BM416">
        <v>9.0299999999999905</v>
      </c>
      <c r="BN416">
        <v>7.0999999999999899</v>
      </c>
    </row>
    <row r="417" spans="1:66" x14ac:dyDescent="0.3">
      <c r="A417">
        <v>416</v>
      </c>
      <c r="B417" s="2" t="s">
        <v>430</v>
      </c>
      <c r="C417" s="2" t="s">
        <v>449</v>
      </c>
      <c r="D417">
        <v>28.454172366620998</v>
      </c>
      <c r="E417" s="3">
        <v>44772</v>
      </c>
      <c r="F417" s="1">
        <v>41933</v>
      </c>
      <c r="G417" s="1">
        <v>41791.527754629627</v>
      </c>
      <c r="H417" t="s">
        <v>15</v>
      </c>
      <c r="I417" t="s">
        <v>15</v>
      </c>
      <c r="J417" t="s">
        <v>15</v>
      </c>
      <c r="L417">
        <v>60</v>
      </c>
      <c r="M417" t="s">
        <v>451</v>
      </c>
      <c r="N417" t="s">
        <v>451</v>
      </c>
      <c r="O417" t="s">
        <v>17</v>
      </c>
      <c r="P417" t="s">
        <v>15</v>
      </c>
      <c r="S417" t="s">
        <v>15</v>
      </c>
      <c r="T417" t="s">
        <v>18</v>
      </c>
      <c r="V417" t="s">
        <v>15</v>
      </c>
      <c r="W417" t="s">
        <v>18</v>
      </c>
      <c r="X417" t="s">
        <v>87</v>
      </c>
      <c r="Y417">
        <v>4.3000001907348597</v>
      </c>
      <c r="Z417">
        <v>3.2999999523162802</v>
      </c>
      <c r="AA417">
        <v>1</v>
      </c>
      <c r="AB417">
        <v>1.0299999713897701</v>
      </c>
      <c r="AC417">
        <v>145.47544860839801</v>
      </c>
      <c r="AD417">
        <v>102</v>
      </c>
      <c r="AE417">
        <v>1</v>
      </c>
      <c r="AF417">
        <v>48</v>
      </c>
      <c r="AG417">
        <v>126.16000366210901</v>
      </c>
      <c r="AH417">
        <v>9</v>
      </c>
      <c r="AI417">
        <v>5</v>
      </c>
      <c r="AJ417">
        <v>25.2299995422363</v>
      </c>
      <c r="AK417">
        <v>8</v>
      </c>
      <c r="AL417">
        <v>8</v>
      </c>
      <c r="AM417">
        <v>15.770000457763601</v>
      </c>
      <c r="AN417" t="s">
        <v>686</v>
      </c>
      <c r="AO417">
        <v>50</v>
      </c>
      <c r="AP417">
        <v>21.35930624973301</v>
      </c>
      <c r="AS417" s="1"/>
      <c r="AT417" s="1"/>
      <c r="AU417" s="1">
        <v>41760.490520914347</v>
      </c>
      <c r="AV417" s="1">
        <v>41263.411788506943</v>
      </c>
      <c r="AW417" s="1"/>
      <c r="AX417" s="1"/>
      <c r="AZ417">
        <v>109</v>
      </c>
      <c r="BA417">
        <v>63</v>
      </c>
      <c r="BB417" s="2">
        <v>9</v>
      </c>
      <c r="BC417">
        <f t="shared" si="23"/>
        <v>12.803699223298805</v>
      </c>
      <c r="BD417">
        <v>143</v>
      </c>
      <c r="BE417">
        <v>4.5</v>
      </c>
      <c r="BF417">
        <v>2.7</v>
      </c>
      <c r="BG417">
        <v>8.5</v>
      </c>
      <c r="BH417">
        <v>183</v>
      </c>
      <c r="BI417">
        <v>6.0499999999999901</v>
      </c>
      <c r="BJ417">
        <v>7.2999999999999901</v>
      </c>
      <c r="BK417">
        <v>5.2</v>
      </c>
      <c r="BL417">
        <v>8.5</v>
      </c>
      <c r="BM417">
        <v>22.84</v>
      </c>
      <c r="BN417">
        <v>5.7999999999999901</v>
      </c>
    </row>
    <row r="418" spans="1:66" x14ac:dyDescent="0.3">
      <c r="A418">
        <v>417</v>
      </c>
      <c r="B418" s="2" t="s">
        <v>430</v>
      </c>
      <c r="C418" s="2" t="s">
        <v>448</v>
      </c>
      <c r="D418">
        <v>39.930597355221003</v>
      </c>
      <c r="E418" s="3"/>
      <c r="F418" s="1">
        <v>45820.633333333331</v>
      </c>
      <c r="G418" s="1">
        <v>45811.537222222221</v>
      </c>
      <c r="H418" t="s">
        <v>15</v>
      </c>
      <c r="I418" t="s">
        <v>451</v>
      </c>
      <c r="J418" t="s">
        <v>15</v>
      </c>
      <c r="L418">
        <v>60</v>
      </c>
      <c r="M418" t="s">
        <v>15</v>
      </c>
      <c r="N418" t="s">
        <v>15</v>
      </c>
      <c r="O418" t="s">
        <v>17</v>
      </c>
      <c r="P418" t="s">
        <v>451</v>
      </c>
      <c r="Q418" t="s">
        <v>451</v>
      </c>
      <c r="S418" t="s">
        <v>451</v>
      </c>
      <c r="T418" t="s">
        <v>19</v>
      </c>
      <c r="V418" t="s">
        <v>451</v>
      </c>
      <c r="W418" t="s">
        <v>18</v>
      </c>
      <c r="X418" t="s">
        <v>15</v>
      </c>
      <c r="Y418">
        <v>5.4400000572204501</v>
      </c>
      <c r="Z418">
        <v>4.1399998664855904</v>
      </c>
      <c r="AA418">
        <v>1.00999999046325</v>
      </c>
      <c r="AB418">
        <v>0.92000001668929998</v>
      </c>
      <c r="AC418">
        <v>199.71954345703099</v>
      </c>
      <c r="AD418">
        <v>101</v>
      </c>
      <c r="AE418">
        <v>1</v>
      </c>
      <c r="AF418">
        <v>35</v>
      </c>
      <c r="AG418">
        <v>120.58000183105401</v>
      </c>
      <c r="AI418">
        <v>7.5700001716613698</v>
      </c>
      <c r="AJ418">
        <v>15.9300003051757</v>
      </c>
      <c r="AL418">
        <v>6.4499998092651296</v>
      </c>
      <c r="AM418">
        <v>18.690000534057599</v>
      </c>
      <c r="AN418" t="s">
        <v>687</v>
      </c>
      <c r="AO418">
        <v>82.5</v>
      </c>
      <c r="AS418" s="1"/>
      <c r="AT418" s="1"/>
      <c r="AU418" s="1"/>
      <c r="AV418" s="1">
        <v>45807.32675162037</v>
      </c>
      <c r="AW418" s="1">
        <v>45807.32675162037</v>
      </c>
      <c r="AX418" s="1"/>
      <c r="BA418">
        <v>85</v>
      </c>
      <c r="BB418" s="5">
        <v>0</v>
      </c>
      <c r="BC418">
        <f t="shared" si="23"/>
        <v>12.395984561853252</v>
      </c>
      <c r="BD418">
        <v>133</v>
      </c>
      <c r="BE418">
        <v>4.2999999999999901</v>
      </c>
      <c r="BF418">
        <v>2.5</v>
      </c>
      <c r="BG418">
        <v>6.7999999999999901</v>
      </c>
      <c r="BH418">
        <v>201</v>
      </c>
      <c r="BI418">
        <v>9.25</v>
      </c>
      <c r="BJ418">
        <v>5.5999999999999899</v>
      </c>
      <c r="BK418">
        <v>7.2999999999999901</v>
      </c>
      <c r="BL418">
        <v>11</v>
      </c>
      <c r="BM418">
        <v>185.34</v>
      </c>
      <c r="BN418">
        <v>18.6999999999999</v>
      </c>
    </row>
    <row r="419" spans="1:66" x14ac:dyDescent="0.3">
      <c r="A419">
        <v>418</v>
      </c>
      <c r="B419" s="2" t="s">
        <v>430</v>
      </c>
      <c r="C419" s="2" t="s">
        <v>449</v>
      </c>
      <c r="D419">
        <v>69.846785225717994</v>
      </c>
      <c r="E419" s="3">
        <v>42007.545138888891</v>
      </c>
      <c r="F419" s="1">
        <v>41967</v>
      </c>
      <c r="G419" s="1">
        <v>41752.371516203697</v>
      </c>
      <c r="H419" t="s">
        <v>451</v>
      </c>
      <c r="I419" t="s">
        <v>451</v>
      </c>
      <c r="J419" t="s">
        <v>451</v>
      </c>
      <c r="K419" t="s">
        <v>74</v>
      </c>
      <c r="L419">
        <v>50</v>
      </c>
      <c r="M419" t="s">
        <v>451</v>
      </c>
      <c r="N419" t="s">
        <v>451</v>
      </c>
      <c r="O419" t="s">
        <v>17</v>
      </c>
      <c r="P419" t="s">
        <v>75</v>
      </c>
      <c r="Q419" t="s">
        <v>18</v>
      </c>
      <c r="S419" t="s">
        <v>451</v>
      </c>
      <c r="T419" t="s">
        <v>18</v>
      </c>
      <c r="U419" t="s">
        <v>111</v>
      </c>
      <c r="V419" t="s">
        <v>451</v>
      </c>
      <c r="W419" t="s">
        <v>19</v>
      </c>
      <c r="X419" t="s">
        <v>78</v>
      </c>
      <c r="Y419">
        <v>5.13000011444091</v>
      </c>
      <c r="Z419">
        <v>3.9400000572204501</v>
      </c>
      <c r="AA419">
        <v>1.1100000143051101</v>
      </c>
      <c r="AB419">
        <v>0.980000019073486</v>
      </c>
      <c r="AC419">
        <v>201.41264343261699</v>
      </c>
      <c r="AD419">
        <v>109</v>
      </c>
      <c r="AE419">
        <v>1</v>
      </c>
      <c r="AF419">
        <v>44</v>
      </c>
      <c r="AG419">
        <v>89.680000305175696</v>
      </c>
      <c r="AH419">
        <v>5</v>
      </c>
      <c r="AI419">
        <v>7</v>
      </c>
      <c r="AJ419">
        <v>12.8100004196166</v>
      </c>
      <c r="AK419">
        <v>6</v>
      </c>
      <c r="AL419">
        <v>9</v>
      </c>
      <c r="AM419">
        <v>9.9600000381469709</v>
      </c>
      <c r="AN419" t="s">
        <v>688</v>
      </c>
      <c r="AS419" s="1">
        <v>40315.59955697917</v>
      </c>
      <c r="AT419" s="1">
        <v>40315.60036099537</v>
      </c>
      <c r="AU419" s="1"/>
      <c r="AV419" s="1">
        <v>40315.599880706017</v>
      </c>
      <c r="AW419" s="1"/>
      <c r="AX419" s="1">
        <v>40598.548901076392</v>
      </c>
      <c r="AZ419">
        <v>116</v>
      </c>
      <c r="BA419">
        <v>63</v>
      </c>
      <c r="BB419" s="2">
        <v>1</v>
      </c>
      <c r="BC419">
        <v>13</v>
      </c>
      <c r="BD419">
        <v>132</v>
      </c>
      <c r="BE419">
        <v>5.0999999999999899</v>
      </c>
      <c r="BF419">
        <v>3</v>
      </c>
      <c r="BG419">
        <v>11</v>
      </c>
      <c r="BH419">
        <v>247</v>
      </c>
      <c r="BI419">
        <v>3.47</v>
      </c>
      <c r="BJ419">
        <v>8.5</v>
      </c>
      <c r="BK419">
        <v>6</v>
      </c>
      <c r="BL419">
        <v>12.5</v>
      </c>
      <c r="BM419">
        <v>66.34</v>
      </c>
      <c r="BN419">
        <v>8.3000000000000007</v>
      </c>
    </row>
    <row r="420" spans="1:66" x14ac:dyDescent="0.3">
      <c r="A420">
        <v>419</v>
      </c>
      <c r="B420" s="2" t="s">
        <v>430</v>
      </c>
      <c r="C420" s="2" t="s">
        <v>448</v>
      </c>
      <c r="D420">
        <v>49.236662106703001</v>
      </c>
      <c r="E420" s="3"/>
      <c r="F420" s="1">
        <v>45705</v>
      </c>
      <c r="G420" s="1">
        <v>45579.441319444442</v>
      </c>
      <c r="H420" t="s">
        <v>15</v>
      </c>
      <c r="I420" t="s">
        <v>78</v>
      </c>
      <c r="J420" t="s">
        <v>15</v>
      </c>
      <c r="L420">
        <v>55</v>
      </c>
      <c r="M420" t="s">
        <v>451</v>
      </c>
      <c r="N420" t="s">
        <v>451</v>
      </c>
      <c r="O420" t="s">
        <v>25</v>
      </c>
      <c r="P420" t="s">
        <v>75</v>
      </c>
      <c r="Q420" t="s">
        <v>18</v>
      </c>
      <c r="R420" t="s">
        <v>102</v>
      </c>
      <c r="S420" t="s">
        <v>451</v>
      </c>
      <c r="T420" t="s">
        <v>23</v>
      </c>
      <c r="U420" t="s">
        <v>147</v>
      </c>
      <c r="V420" t="s">
        <v>451</v>
      </c>
      <c r="W420" t="s">
        <v>29</v>
      </c>
      <c r="X420" t="s">
        <v>87</v>
      </c>
      <c r="Y420">
        <v>5.13000011444091</v>
      </c>
      <c r="Z420">
        <v>3.1199998855590798</v>
      </c>
      <c r="AA420">
        <v>1.29999995231628</v>
      </c>
      <c r="AB420">
        <v>1.0700000524520801</v>
      </c>
      <c r="AC420">
        <v>239.27525329589801</v>
      </c>
      <c r="AD420">
        <v>114</v>
      </c>
      <c r="AE420">
        <v>1.12000000476837</v>
      </c>
      <c r="AF420">
        <v>47</v>
      </c>
      <c r="AN420" t="s">
        <v>689</v>
      </c>
      <c r="AO420">
        <v>99</v>
      </c>
      <c r="AP420">
        <v>33.464034613304491</v>
      </c>
      <c r="AR420" s="1">
        <v>44207</v>
      </c>
      <c r="AS420" s="1">
        <v>44203.389948842603</v>
      </c>
      <c r="AT420" s="1"/>
      <c r="AU420" s="1">
        <v>44108.999018483803</v>
      </c>
      <c r="AV420" s="1">
        <v>44108.999018483803</v>
      </c>
      <c r="AW420" s="1">
        <v>44108.999018483803</v>
      </c>
      <c r="AX420" s="1"/>
      <c r="AY420" t="s">
        <v>21</v>
      </c>
      <c r="BA420">
        <v>77</v>
      </c>
      <c r="BB420" s="2">
        <v>3</v>
      </c>
      <c r="BC420">
        <f>(140-D420)*AO420/(72*BI420)</f>
        <v>28.88879388964893</v>
      </c>
      <c r="BD420">
        <v>133</v>
      </c>
      <c r="BE420">
        <v>3.3999999999999901</v>
      </c>
      <c r="BF420">
        <v>3.6</v>
      </c>
      <c r="BG420">
        <v>12</v>
      </c>
      <c r="BH420">
        <v>222</v>
      </c>
      <c r="BI420">
        <v>4.32</v>
      </c>
      <c r="BJ420">
        <v>7.5999999999999899</v>
      </c>
      <c r="BK420">
        <v>8.0999999999999908</v>
      </c>
      <c r="BL420">
        <v>13.4</v>
      </c>
      <c r="BM420">
        <v>17.469999999999899</v>
      </c>
      <c r="BN420">
        <v>8.4</v>
      </c>
    </row>
    <row r="421" spans="1:66" x14ac:dyDescent="0.3">
      <c r="A421">
        <v>420</v>
      </c>
      <c r="B421" s="2" t="s">
        <v>430</v>
      </c>
      <c r="C421" s="2" t="s">
        <v>449</v>
      </c>
      <c r="D421">
        <v>48.8290013679891</v>
      </c>
      <c r="E421" s="3"/>
      <c r="F421" s="1">
        <v>45726</v>
      </c>
      <c r="G421" s="1">
        <v>45722.498541666668</v>
      </c>
      <c r="H421" t="s">
        <v>25</v>
      </c>
      <c r="I421" t="s">
        <v>15</v>
      </c>
      <c r="J421" t="s">
        <v>35</v>
      </c>
      <c r="L421">
        <v>20</v>
      </c>
      <c r="M421" t="s">
        <v>451</v>
      </c>
      <c r="N421" t="s">
        <v>451</v>
      </c>
      <c r="O421" t="s">
        <v>17</v>
      </c>
      <c r="P421" t="s">
        <v>451</v>
      </c>
      <c r="Q421" t="s">
        <v>451</v>
      </c>
      <c r="S421" t="s">
        <v>451</v>
      </c>
      <c r="T421" t="s">
        <v>34</v>
      </c>
      <c r="V421" t="s">
        <v>451</v>
      </c>
      <c r="W421" t="s">
        <v>34</v>
      </c>
      <c r="X421" t="s">
        <v>78</v>
      </c>
      <c r="Y421">
        <v>6.6199998855590803</v>
      </c>
      <c r="Z421">
        <v>5.8400001525878897</v>
      </c>
      <c r="AA421">
        <v>0.76999998092651301</v>
      </c>
      <c r="AB421">
        <v>0.68000000715255704</v>
      </c>
      <c r="AC421">
        <v>196.48641967773401</v>
      </c>
      <c r="AD421">
        <v>113</v>
      </c>
      <c r="AE421">
        <v>1</v>
      </c>
      <c r="AF421">
        <v>42</v>
      </c>
      <c r="AN421" t="s">
        <v>690</v>
      </c>
      <c r="AS421" s="1"/>
      <c r="AT421" s="1"/>
      <c r="AU421" s="1"/>
      <c r="AV421" s="1"/>
      <c r="AW421" s="1"/>
      <c r="AX421" s="1"/>
      <c r="BA421">
        <v>74</v>
      </c>
      <c r="BB421" s="5">
        <v>0</v>
      </c>
      <c r="BC421">
        <v>13.2</v>
      </c>
      <c r="BD421">
        <v>142</v>
      </c>
      <c r="BE421">
        <v>4.7999999999999901</v>
      </c>
      <c r="BF421">
        <v>2.3999999999999901</v>
      </c>
      <c r="BG421">
        <v>8.3000000000000007</v>
      </c>
      <c r="BH421">
        <v>120</v>
      </c>
      <c r="BI421">
        <v>4.4800000000000004</v>
      </c>
      <c r="BJ421">
        <v>4.7999999999999901</v>
      </c>
      <c r="BK421">
        <v>5.2</v>
      </c>
      <c r="BL421">
        <v>7.4</v>
      </c>
      <c r="BM421">
        <v>131.58000000000001</v>
      </c>
      <c r="BN421">
        <v>5.2999999999999901</v>
      </c>
    </row>
    <row r="422" spans="1:66" x14ac:dyDescent="0.3">
      <c r="A422">
        <v>421</v>
      </c>
      <c r="B422" s="2" t="s">
        <v>430</v>
      </c>
      <c r="C422" s="2" t="s">
        <v>448</v>
      </c>
      <c r="D422">
        <v>77.381668946648006</v>
      </c>
      <c r="E422" s="3">
        <v>42862.572916666657</v>
      </c>
      <c r="F422" s="1">
        <v>42851</v>
      </c>
      <c r="G422" s="1">
        <v>42613.371400462973</v>
      </c>
      <c r="H422" t="s">
        <v>17</v>
      </c>
      <c r="I422" t="s">
        <v>15</v>
      </c>
      <c r="J422" t="s">
        <v>35</v>
      </c>
      <c r="K422" t="s">
        <v>157</v>
      </c>
      <c r="L422">
        <v>25</v>
      </c>
      <c r="M422" t="s">
        <v>15</v>
      </c>
      <c r="N422" t="s">
        <v>14</v>
      </c>
      <c r="O422" t="s">
        <v>17</v>
      </c>
      <c r="P422" t="s">
        <v>124</v>
      </c>
      <c r="Q422" t="s">
        <v>23</v>
      </c>
      <c r="S422" t="s">
        <v>75</v>
      </c>
      <c r="T422" t="s">
        <v>29</v>
      </c>
      <c r="V422" t="s">
        <v>451</v>
      </c>
      <c r="W422" t="s">
        <v>23</v>
      </c>
      <c r="X422" t="s">
        <v>87</v>
      </c>
      <c r="Y422">
        <v>6.3000001907348597</v>
      </c>
      <c r="Z422">
        <v>4.8499999046325604</v>
      </c>
      <c r="AA422">
        <v>1.0700000524520801</v>
      </c>
      <c r="AB422">
        <v>1.08000004291534</v>
      </c>
      <c r="AC422">
        <v>294.54904174804602</v>
      </c>
      <c r="AD422">
        <v>159</v>
      </c>
      <c r="AE422">
        <v>2.25</v>
      </c>
      <c r="AF422">
        <v>47</v>
      </c>
      <c r="AG422">
        <v>105</v>
      </c>
      <c r="AH422">
        <v>5.4299998283386204</v>
      </c>
      <c r="AI422">
        <v>6.0799999237060502</v>
      </c>
      <c r="AJ422">
        <v>17.270000457763601</v>
      </c>
      <c r="AK422">
        <v>6.5900001525878897</v>
      </c>
      <c r="AL422">
        <v>3.8399999141693102</v>
      </c>
      <c r="AM422">
        <v>27.340000152587798</v>
      </c>
      <c r="AN422" t="s">
        <v>691</v>
      </c>
      <c r="AR422" s="1">
        <v>38718</v>
      </c>
      <c r="AS422" s="1">
        <v>41465.649592511567</v>
      </c>
      <c r="AT422" s="1"/>
      <c r="AU422" s="1">
        <v>41466.019957291668</v>
      </c>
      <c r="AV422" s="1">
        <v>42610.665028356481</v>
      </c>
      <c r="AW422" s="1"/>
      <c r="AX422" s="1"/>
      <c r="AZ422">
        <v>116</v>
      </c>
      <c r="BA422">
        <v>56</v>
      </c>
      <c r="BB422" s="5">
        <v>0</v>
      </c>
      <c r="BC422">
        <v>9.8000000000000007</v>
      </c>
      <c r="BD422">
        <v>140</v>
      </c>
      <c r="BE422">
        <v>3.3999999999999901</v>
      </c>
      <c r="BF422">
        <v>2.2000000000000002</v>
      </c>
      <c r="BG422">
        <v>15.3</v>
      </c>
      <c r="BH422">
        <v>207</v>
      </c>
      <c r="BI422">
        <v>5.44</v>
      </c>
      <c r="BJ422">
        <v>8.5</v>
      </c>
      <c r="BK422">
        <v>6.7</v>
      </c>
      <c r="BL422">
        <v>13.6999999999999</v>
      </c>
      <c r="BM422">
        <v>66.010000000000005</v>
      </c>
      <c r="BN422">
        <v>5.5</v>
      </c>
    </row>
    <row r="423" spans="1:66" x14ac:dyDescent="0.3">
      <c r="A423">
        <v>422</v>
      </c>
      <c r="B423" s="2" t="s">
        <v>434</v>
      </c>
      <c r="C423" s="2" t="s">
        <v>448</v>
      </c>
      <c r="D423">
        <v>85.871409028727001</v>
      </c>
      <c r="E423" s="3">
        <v>45656.921527777777</v>
      </c>
      <c r="F423" s="1">
        <v>45632</v>
      </c>
      <c r="G423" s="1">
        <v>45287.57607638889</v>
      </c>
      <c r="H423" t="s">
        <v>451</v>
      </c>
      <c r="I423" t="s">
        <v>451</v>
      </c>
      <c r="J423" t="s">
        <v>451</v>
      </c>
      <c r="K423" t="s">
        <v>74</v>
      </c>
      <c r="L423">
        <v>60</v>
      </c>
      <c r="M423" t="s">
        <v>451</v>
      </c>
      <c r="N423" t="s">
        <v>451</v>
      </c>
      <c r="O423" t="s">
        <v>15</v>
      </c>
      <c r="P423" t="s">
        <v>75</v>
      </c>
      <c r="Q423" t="s">
        <v>451</v>
      </c>
      <c r="S423" t="s">
        <v>451</v>
      </c>
      <c r="T423" t="s">
        <v>19</v>
      </c>
      <c r="V423" t="s">
        <v>451</v>
      </c>
      <c r="W423" t="s">
        <v>26</v>
      </c>
      <c r="X423" t="s">
        <v>87</v>
      </c>
      <c r="Y423">
        <v>4.5999999046325604</v>
      </c>
      <c r="Z423">
        <v>2.7200000286102202</v>
      </c>
      <c r="AA423">
        <v>1.0599999427795399</v>
      </c>
      <c r="AB423">
        <v>0.97000002861022905</v>
      </c>
      <c r="AC423">
        <v>162.08973693847599</v>
      </c>
      <c r="AD423">
        <v>84</v>
      </c>
      <c r="AE423">
        <v>1</v>
      </c>
      <c r="AF423">
        <v>55</v>
      </c>
      <c r="AG423">
        <v>84.800003051757798</v>
      </c>
      <c r="AI423">
        <v>6.5799999237060502</v>
      </c>
      <c r="AJ423">
        <v>12.890000343322701</v>
      </c>
      <c r="AK423">
        <v>5.0300002098083398</v>
      </c>
      <c r="AL423">
        <v>7.25</v>
      </c>
      <c r="AM423">
        <v>11.699999809265099</v>
      </c>
      <c r="AN423" t="s">
        <v>692</v>
      </c>
      <c r="AO423">
        <v>97</v>
      </c>
      <c r="AP423">
        <v>31.673469387755102</v>
      </c>
      <c r="AS423" s="1"/>
      <c r="AT423" s="1">
        <v>45345.516812696762</v>
      </c>
      <c r="AU423" s="1">
        <v>41495.928803275463</v>
      </c>
      <c r="AV423" s="1">
        <v>41495.928803275463</v>
      </c>
      <c r="AW423" s="1">
        <v>41495.928803275463</v>
      </c>
      <c r="AX423" s="1"/>
      <c r="AY423" t="s">
        <v>21</v>
      </c>
      <c r="AZ423">
        <v>123</v>
      </c>
      <c r="BA423">
        <v>54</v>
      </c>
      <c r="BB423" s="2">
        <v>2</v>
      </c>
      <c r="BC423">
        <f t="shared" ref="BC423:BC436" si="24">(140-D423)*AO423/(72*BI423)</f>
        <v>24.553279668039099</v>
      </c>
      <c r="BD423">
        <v>146</v>
      </c>
      <c r="BE423">
        <v>3.5</v>
      </c>
      <c r="BF423">
        <v>3.7</v>
      </c>
      <c r="BG423">
        <v>9.8000000000000007</v>
      </c>
      <c r="BH423">
        <v>156</v>
      </c>
      <c r="BI423">
        <v>2.97</v>
      </c>
      <c r="BJ423">
        <v>7.5</v>
      </c>
      <c r="BK423">
        <v>4.0999999999999899</v>
      </c>
      <c r="BL423">
        <v>11.3</v>
      </c>
      <c r="BM423">
        <v>19.399999999999899</v>
      </c>
      <c r="BN423">
        <v>7</v>
      </c>
    </row>
    <row r="424" spans="1:66" x14ac:dyDescent="0.3">
      <c r="A424">
        <v>423</v>
      </c>
      <c r="B424" s="2" t="s">
        <v>430</v>
      </c>
      <c r="C424" s="2" t="s">
        <v>449</v>
      </c>
      <c r="D424">
        <v>75.039671682625894</v>
      </c>
      <c r="E424" s="3">
        <v>44905.179166666669</v>
      </c>
      <c r="F424" s="1">
        <v>44239</v>
      </c>
      <c r="G424" s="1">
        <v>44169.383703703701</v>
      </c>
      <c r="H424" t="s">
        <v>15</v>
      </c>
      <c r="I424" t="s">
        <v>15</v>
      </c>
      <c r="J424" t="s">
        <v>15</v>
      </c>
      <c r="L424">
        <v>60</v>
      </c>
      <c r="M424" t="s">
        <v>15</v>
      </c>
      <c r="N424" t="s">
        <v>15</v>
      </c>
      <c r="O424" t="s">
        <v>17</v>
      </c>
      <c r="P424" t="s">
        <v>75</v>
      </c>
      <c r="R424" t="s">
        <v>289</v>
      </c>
      <c r="S424" t="s">
        <v>75</v>
      </c>
      <c r="T424" t="s">
        <v>18</v>
      </c>
      <c r="V424" t="s">
        <v>451</v>
      </c>
      <c r="W424" t="s">
        <v>23</v>
      </c>
      <c r="X424" t="s">
        <v>78</v>
      </c>
      <c r="Y424">
        <v>5</v>
      </c>
      <c r="Z424">
        <v>2.67000007629394</v>
      </c>
      <c r="AA424">
        <v>0.88999998569488503</v>
      </c>
      <c r="AB424">
        <v>0.85000002384185702</v>
      </c>
      <c r="AC424">
        <v>151.34344482421801</v>
      </c>
      <c r="AD424">
        <v>92</v>
      </c>
      <c r="AE424">
        <v>1</v>
      </c>
      <c r="AF424">
        <v>44</v>
      </c>
      <c r="AG424">
        <v>91.300003051757798</v>
      </c>
      <c r="AH424">
        <v>6.3099999427795401</v>
      </c>
      <c r="AI424">
        <v>6.13000011444091</v>
      </c>
      <c r="AJ424">
        <v>14.890000343322701</v>
      </c>
      <c r="AK424">
        <v>6.13000011444091</v>
      </c>
      <c r="AL424">
        <v>4.6599998474120996</v>
      </c>
      <c r="AM424">
        <v>19.590000152587798</v>
      </c>
      <c r="AN424" t="s">
        <v>693</v>
      </c>
      <c r="AO424">
        <v>73</v>
      </c>
      <c r="AP424">
        <v>33.327246165084006</v>
      </c>
      <c r="AS424" s="1">
        <v>43175.923988657407</v>
      </c>
      <c r="AT424" s="1"/>
      <c r="AU424" s="1">
        <v>43175.966035219913</v>
      </c>
      <c r="AV424" s="1"/>
      <c r="AW424" s="1">
        <v>43175.977730902778</v>
      </c>
      <c r="AX424" s="1"/>
      <c r="AZ424">
        <v>158</v>
      </c>
      <c r="BA424">
        <v>50</v>
      </c>
      <c r="BB424" s="2">
        <v>8</v>
      </c>
      <c r="BC424">
        <f t="shared" si="24"/>
        <v>15.002859931562647</v>
      </c>
      <c r="BD424">
        <v>139</v>
      </c>
      <c r="BE424">
        <v>5.0999999999999899</v>
      </c>
      <c r="BF424">
        <v>2.1</v>
      </c>
      <c r="BG424">
        <v>9.4</v>
      </c>
      <c r="BH424">
        <v>131</v>
      </c>
      <c r="BI424">
        <v>4.3899999999999899</v>
      </c>
      <c r="BJ424">
        <v>7.5999999999999899</v>
      </c>
      <c r="BK424">
        <v>8.6999999999999904</v>
      </c>
      <c r="BL424">
        <v>10.1</v>
      </c>
      <c r="BM424">
        <v>18.719999999999899</v>
      </c>
      <c r="BN424">
        <v>5.9</v>
      </c>
    </row>
    <row r="425" spans="1:66" x14ac:dyDescent="0.3">
      <c r="A425">
        <v>424</v>
      </c>
      <c r="B425" s="2" t="s">
        <v>430</v>
      </c>
      <c r="C425" s="2" t="s">
        <v>448</v>
      </c>
      <c r="D425">
        <v>64.046511627906</v>
      </c>
      <c r="E425" s="3"/>
      <c r="F425" s="1">
        <v>41308</v>
      </c>
      <c r="G425" s="1">
        <v>40983.523854166669</v>
      </c>
      <c r="H425" t="s">
        <v>15</v>
      </c>
      <c r="I425" t="s">
        <v>451</v>
      </c>
      <c r="J425" t="s">
        <v>28</v>
      </c>
      <c r="K425" t="s">
        <v>468</v>
      </c>
      <c r="L425">
        <v>38</v>
      </c>
      <c r="M425" t="s">
        <v>451</v>
      </c>
      <c r="N425" t="s">
        <v>451</v>
      </c>
      <c r="O425" t="s">
        <v>17</v>
      </c>
      <c r="P425" t="s">
        <v>451</v>
      </c>
      <c r="Q425" t="s">
        <v>18</v>
      </c>
      <c r="S425" t="s">
        <v>451</v>
      </c>
      <c r="T425" t="s">
        <v>18</v>
      </c>
      <c r="V425" t="s">
        <v>451</v>
      </c>
      <c r="W425" t="s">
        <v>18</v>
      </c>
      <c r="X425" t="s">
        <v>78</v>
      </c>
      <c r="Y425">
        <v>5</v>
      </c>
      <c r="Z425">
        <v>3.0999999046325599</v>
      </c>
      <c r="AA425">
        <v>1</v>
      </c>
      <c r="AB425">
        <v>1</v>
      </c>
      <c r="AC425">
        <v>181.97599792480401</v>
      </c>
      <c r="AD425">
        <v>97</v>
      </c>
      <c r="AE425">
        <v>1.87999999523162</v>
      </c>
      <c r="AF425">
        <v>37</v>
      </c>
      <c r="AG425">
        <v>50.799999237060497</v>
      </c>
      <c r="AH425">
        <v>6.9000000953674299</v>
      </c>
      <c r="AI425">
        <v>5.1999998092651296</v>
      </c>
      <c r="AJ425">
        <v>9.7700004577636701</v>
      </c>
      <c r="AK425">
        <v>8</v>
      </c>
      <c r="AL425">
        <v>6.5</v>
      </c>
      <c r="AM425">
        <v>7.8200001716613698</v>
      </c>
      <c r="AN425" t="s">
        <v>694</v>
      </c>
      <c r="AO425">
        <v>74</v>
      </c>
      <c r="AP425">
        <v>27.180899908172638</v>
      </c>
      <c r="AQ425" s="1">
        <v>41338</v>
      </c>
      <c r="AR425" s="1">
        <v>41338</v>
      </c>
      <c r="AS425" s="1">
        <v>40197.367344560182</v>
      </c>
      <c r="AT425" s="1"/>
      <c r="AU425" s="1">
        <v>40197.367965625002</v>
      </c>
      <c r="AV425" s="1">
        <v>40197.368108333343</v>
      </c>
      <c r="AW425" s="1">
        <v>41128.478371608799</v>
      </c>
      <c r="AX425" s="1"/>
      <c r="AZ425">
        <v>143</v>
      </c>
      <c r="BA425">
        <v>67</v>
      </c>
      <c r="BB425" s="2">
        <v>10</v>
      </c>
      <c r="BC425">
        <f t="shared" si="24"/>
        <v>12.235628133783885</v>
      </c>
      <c r="BD425">
        <v>137</v>
      </c>
      <c r="BE425">
        <v>4.7999999999999901</v>
      </c>
      <c r="BF425">
        <v>4.2</v>
      </c>
      <c r="BG425">
        <v>11.5</v>
      </c>
      <c r="BH425">
        <v>241</v>
      </c>
      <c r="BI425">
        <v>6.3799999999999901</v>
      </c>
      <c r="BJ425">
        <v>9.1999999999999904</v>
      </c>
      <c r="BK425">
        <v>5.2</v>
      </c>
      <c r="BL425">
        <v>7.2</v>
      </c>
      <c r="BM425">
        <v>2.02999999999999</v>
      </c>
      <c r="BN425">
        <v>7.5999999999999899</v>
      </c>
    </row>
    <row r="426" spans="1:66" x14ac:dyDescent="0.3">
      <c r="A426">
        <v>425</v>
      </c>
      <c r="B426" s="2" t="s">
        <v>430</v>
      </c>
      <c r="C426" s="2" t="s">
        <v>449</v>
      </c>
      <c r="D426">
        <v>71.519972640218</v>
      </c>
      <c r="E426" s="3">
        <v>42903</v>
      </c>
      <c r="F426" s="1">
        <v>41124.550000000003</v>
      </c>
      <c r="G426" s="1">
        <v>40898.335613425923</v>
      </c>
      <c r="H426" t="s">
        <v>15</v>
      </c>
      <c r="I426" t="s">
        <v>451</v>
      </c>
      <c r="J426" t="s">
        <v>14</v>
      </c>
      <c r="K426" t="s">
        <v>469</v>
      </c>
      <c r="L426">
        <v>45</v>
      </c>
      <c r="M426" t="s">
        <v>451</v>
      </c>
      <c r="N426" t="s">
        <v>451</v>
      </c>
      <c r="O426" t="s">
        <v>17</v>
      </c>
      <c r="P426" t="s">
        <v>75</v>
      </c>
      <c r="Q426" t="s">
        <v>29</v>
      </c>
      <c r="S426" t="s">
        <v>451</v>
      </c>
      <c r="T426" t="s">
        <v>19</v>
      </c>
      <c r="U426" t="s">
        <v>228</v>
      </c>
      <c r="V426" t="s">
        <v>451</v>
      </c>
      <c r="W426" t="s">
        <v>23</v>
      </c>
      <c r="X426" t="s">
        <v>15</v>
      </c>
      <c r="Y426">
        <v>5.4000000953674299</v>
      </c>
      <c r="Z426">
        <v>3</v>
      </c>
      <c r="AA426">
        <v>1.3999999761581401</v>
      </c>
      <c r="AB426">
        <v>0.89999997615814198</v>
      </c>
      <c r="AC426">
        <v>249.42541503906199</v>
      </c>
      <c r="AD426">
        <v>157</v>
      </c>
      <c r="AE426">
        <v>2</v>
      </c>
      <c r="AF426">
        <v>36</v>
      </c>
      <c r="AG426">
        <v>97.5</v>
      </c>
      <c r="AH426">
        <v>6</v>
      </c>
      <c r="AI426">
        <v>4</v>
      </c>
      <c r="AJ426">
        <v>24.379999160766602</v>
      </c>
      <c r="AK426">
        <v>7</v>
      </c>
      <c r="AL426">
        <v>5</v>
      </c>
      <c r="AM426">
        <v>19.5</v>
      </c>
      <c r="AN426" t="s">
        <v>695</v>
      </c>
      <c r="AO426">
        <v>55</v>
      </c>
      <c r="AP426">
        <v>20.957171162932479</v>
      </c>
      <c r="AQ426" s="1">
        <v>42075</v>
      </c>
      <c r="AS426" s="1">
        <v>40870.846387650461</v>
      </c>
      <c r="AT426" s="1"/>
      <c r="AU426" s="1">
        <v>40870.846387650461</v>
      </c>
      <c r="AV426" s="1"/>
      <c r="AW426" s="1"/>
      <c r="AX426" s="1"/>
      <c r="AZ426">
        <v>90</v>
      </c>
      <c r="BA426">
        <v>45</v>
      </c>
      <c r="BB426" s="2">
        <v>5</v>
      </c>
      <c r="BC426">
        <f t="shared" si="24"/>
        <v>5.8842668178790296</v>
      </c>
      <c r="BD426">
        <v>135</v>
      </c>
      <c r="BE426">
        <v>6.2</v>
      </c>
      <c r="BF426">
        <v>3.6</v>
      </c>
      <c r="BG426">
        <v>9.5999999999999908</v>
      </c>
      <c r="BH426">
        <v>103</v>
      </c>
      <c r="BI426">
        <v>8.89</v>
      </c>
      <c r="BJ426">
        <v>8.8000000000000007</v>
      </c>
      <c r="BK426">
        <v>6.2</v>
      </c>
      <c r="BL426">
        <v>4.4000000000000004</v>
      </c>
      <c r="BM426">
        <v>64.23</v>
      </c>
      <c r="BN426">
        <v>5.2</v>
      </c>
    </row>
    <row r="427" spans="1:66" x14ac:dyDescent="0.3">
      <c r="A427">
        <v>426</v>
      </c>
      <c r="B427" s="2" t="s">
        <v>430</v>
      </c>
      <c r="C427" s="2" t="s">
        <v>448</v>
      </c>
      <c r="D427">
        <v>78.175102599178899</v>
      </c>
      <c r="E427" s="3"/>
      <c r="F427" s="1">
        <v>45763</v>
      </c>
      <c r="G427" s="1">
        <v>45767.307881944442</v>
      </c>
      <c r="H427" t="s">
        <v>15</v>
      </c>
      <c r="I427" t="s">
        <v>451</v>
      </c>
      <c r="J427" t="s">
        <v>22</v>
      </c>
      <c r="K427" t="s">
        <v>157</v>
      </c>
      <c r="L427">
        <v>40</v>
      </c>
      <c r="M427" t="s">
        <v>451</v>
      </c>
      <c r="N427" t="s">
        <v>451</v>
      </c>
      <c r="O427" t="s">
        <v>17</v>
      </c>
      <c r="P427" t="s">
        <v>75</v>
      </c>
      <c r="Q427" t="s">
        <v>18</v>
      </c>
      <c r="S427" t="s">
        <v>451</v>
      </c>
      <c r="T427" t="s">
        <v>34</v>
      </c>
      <c r="U427" t="s">
        <v>132</v>
      </c>
      <c r="V427" t="s">
        <v>451</v>
      </c>
      <c r="W427" t="s">
        <v>23</v>
      </c>
      <c r="X427" t="s">
        <v>87</v>
      </c>
      <c r="Y427">
        <v>4.8000001907348597</v>
      </c>
      <c r="Z427">
        <v>2.7699999809265101</v>
      </c>
      <c r="AA427">
        <v>1.08000004291534</v>
      </c>
      <c r="AB427">
        <v>0.85000002384185702</v>
      </c>
      <c r="AC427">
        <v>162.19871520996</v>
      </c>
      <c r="AD427">
        <v>90</v>
      </c>
      <c r="AE427">
        <v>1.62000000476837</v>
      </c>
      <c r="AF427">
        <v>53</v>
      </c>
      <c r="AG427">
        <v>146</v>
      </c>
      <c r="AH427">
        <v>7.2699999809265101</v>
      </c>
      <c r="AI427">
        <v>5.4299998283386204</v>
      </c>
      <c r="AJ427">
        <v>26.889999389648398</v>
      </c>
      <c r="AK427">
        <v>9.1099996566772408</v>
      </c>
      <c r="AL427">
        <v>10.399999618530201</v>
      </c>
      <c r="AM427">
        <v>14.039999961853001</v>
      </c>
      <c r="AN427" t="s">
        <v>696</v>
      </c>
      <c r="AO427">
        <v>73.299999999999898</v>
      </c>
      <c r="AP427">
        <v>26.923783287419614</v>
      </c>
      <c r="AQ427" s="1">
        <v>38353</v>
      </c>
      <c r="AS427" s="1">
        <v>43324.694182141197</v>
      </c>
      <c r="AT427" s="1">
        <v>43516.532159606482</v>
      </c>
      <c r="AU427" s="1">
        <v>41935.573978854169</v>
      </c>
      <c r="AV427" s="1">
        <v>41935.573978854169</v>
      </c>
      <c r="AW427" s="1"/>
      <c r="AX427" s="1"/>
      <c r="AY427" t="s">
        <v>21</v>
      </c>
      <c r="AZ427">
        <v>176</v>
      </c>
      <c r="BA427">
        <v>65</v>
      </c>
      <c r="BB427" s="2">
        <v>1</v>
      </c>
      <c r="BC427">
        <f t="shared" si="24"/>
        <v>7.3358018963354379</v>
      </c>
      <c r="BD427">
        <v>131</v>
      </c>
      <c r="BE427">
        <v>4.2</v>
      </c>
      <c r="BF427">
        <v>3</v>
      </c>
      <c r="BG427">
        <v>8.5</v>
      </c>
      <c r="BH427">
        <v>266</v>
      </c>
      <c r="BI427">
        <v>8.58</v>
      </c>
      <c r="BJ427">
        <v>7.5</v>
      </c>
      <c r="BK427">
        <v>7.7999999999999901</v>
      </c>
      <c r="BL427">
        <v>10.4</v>
      </c>
      <c r="BM427">
        <v>26.44</v>
      </c>
      <c r="BN427">
        <v>6.0999999999999899</v>
      </c>
    </row>
    <row r="428" spans="1:66" x14ac:dyDescent="0.3">
      <c r="A428">
        <v>427</v>
      </c>
      <c r="B428" s="2" t="s">
        <v>430</v>
      </c>
      <c r="C428" s="2" t="s">
        <v>449</v>
      </c>
      <c r="D428">
        <v>82.492476060190995</v>
      </c>
      <c r="E428" s="3">
        <v>45282</v>
      </c>
      <c r="F428" s="1">
        <v>44410</v>
      </c>
      <c r="G428" s="1">
        <v>44122.447870370372</v>
      </c>
      <c r="H428" t="s">
        <v>451</v>
      </c>
      <c r="I428" t="s">
        <v>451</v>
      </c>
      <c r="J428" t="s">
        <v>451</v>
      </c>
      <c r="K428" t="s">
        <v>74</v>
      </c>
      <c r="L428">
        <v>60</v>
      </c>
      <c r="M428" t="s">
        <v>451</v>
      </c>
      <c r="N428" t="s">
        <v>451</v>
      </c>
      <c r="O428" t="s">
        <v>17</v>
      </c>
      <c r="P428" t="s">
        <v>451</v>
      </c>
      <c r="Q428" t="s">
        <v>19</v>
      </c>
      <c r="S428" t="s">
        <v>451</v>
      </c>
      <c r="T428" t="s">
        <v>19</v>
      </c>
      <c r="V428" t="s">
        <v>451</v>
      </c>
      <c r="W428" t="s">
        <v>19</v>
      </c>
      <c r="X428" t="s">
        <v>87</v>
      </c>
      <c r="Y428">
        <v>5.3000001907348597</v>
      </c>
      <c r="Z428">
        <v>3.9000000953674299</v>
      </c>
      <c r="AA428">
        <v>1</v>
      </c>
      <c r="AB428">
        <v>0.89999997615814198</v>
      </c>
      <c r="AC428">
        <v>187.27667236328099</v>
      </c>
      <c r="AD428">
        <v>127</v>
      </c>
      <c r="AE428">
        <v>1</v>
      </c>
      <c r="AF428">
        <v>58</v>
      </c>
      <c r="AG428">
        <v>127</v>
      </c>
      <c r="AN428" t="s">
        <v>697</v>
      </c>
      <c r="AO428">
        <v>52</v>
      </c>
      <c r="AP428">
        <v>23.111111111111111</v>
      </c>
      <c r="AS428" s="1">
        <v>43449.642670486108</v>
      </c>
      <c r="AT428" s="1"/>
      <c r="AU428" s="1">
        <v>39985.070864618057</v>
      </c>
      <c r="AV428" s="1">
        <v>39985.070689664353</v>
      </c>
      <c r="AW428" s="1">
        <v>43748.07732005787</v>
      </c>
      <c r="AX428" s="1"/>
      <c r="AY428" t="s">
        <v>21</v>
      </c>
      <c r="AZ428">
        <v>146</v>
      </c>
      <c r="BA428">
        <v>62</v>
      </c>
      <c r="BB428" s="2">
        <v>3</v>
      </c>
      <c r="BC428">
        <f t="shared" si="24"/>
        <v>12.003818420319799</v>
      </c>
      <c r="BD428">
        <v>132</v>
      </c>
      <c r="BE428">
        <v>5.5999999999999899</v>
      </c>
      <c r="BF428">
        <v>3.1</v>
      </c>
      <c r="BG428">
        <v>8.0999999999999908</v>
      </c>
      <c r="BH428">
        <v>265</v>
      </c>
      <c r="BI428">
        <v>3.46</v>
      </c>
      <c r="BJ428">
        <v>6.9</v>
      </c>
      <c r="BK428">
        <v>5.0999999999999899</v>
      </c>
      <c r="BL428">
        <v>10.3</v>
      </c>
      <c r="BM428">
        <v>54.369999999999898</v>
      </c>
      <c r="BN428">
        <v>10.6</v>
      </c>
    </row>
    <row r="429" spans="1:66" x14ac:dyDescent="0.3">
      <c r="A429">
        <v>428</v>
      </c>
      <c r="B429" s="2" t="s">
        <v>430</v>
      </c>
      <c r="C429" s="2" t="s">
        <v>448</v>
      </c>
      <c r="D429">
        <v>88.612859097127</v>
      </c>
      <c r="E429" s="3">
        <v>43657.826388888891</v>
      </c>
      <c r="F429" s="1">
        <v>43646</v>
      </c>
      <c r="G429" s="1">
        <v>43644.485127314823</v>
      </c>
      <c r="H429" t="s">
        <v>25</v>
      </c>
      <c r="I429" t="s">
        <v>15</v>
      </c>
      <c r="J429" t="s">
        <v>35</v>
      </c>
      <c r="L429">
        <v>10</v>
      </c>
      <c r="M429" t="s">
        <v>79</v>
      </c>
      <c r="N429" t="s">
        <v>35</v>
      </c>
      <c r="O429" t="s">
        <v>31</v>
      </c>
      <c r="P429" t="s">
        <v>75</v>
      </c>
      <c r="Q429" t="s">
        <v>18</v>
      </c>
      <c r="S429" t="s">
        <v>451</v>
      </c>
      <c r="T429" t="s">
        <v>23</v>
      </c>
      <c r="V429" t="s">
        <v>451</v>
      </c>
      <c r="W429" t="s">
        <v>29</v>
      </c>
      <c r="X429" t="s">
        <v>87</v>
      </c>
      <c r="Y429">
        <v>6</v>
      </c>
      <c r="Z429">
        <v>5.6999998092651296</v>
      </c>
      <c r="AA429">
        <v>0.89999997615814198</v>
      </c>
      <c r="AB429">
        <v>0.88999998569488503</v>
      </c>
      <c r="AC429">
        <v>214.198638916015</v>
      </c>
      <c r="AD429">
        <v>131</v>
      </c>
      <c r="AE429">
        <v>2.6199998855590798</v>
      </c>
      <c r="AF429">
        <v>50</v>
      </c>
      <c r="AG429">
        <v>74</v>
      </c>
      <c r="AH429">
        <v>4.2600002288818297</v>
      </c>
      <c r="AI429">
        <v>4.4299998283386204</v>
      </c>
      <c r="AJ429">
        <v>16.7000007629394</v>
      </c>
      <c r="AK429">
        <v>6.5999999046325604</v>
      </c>
      <c r="AL429">
        <v>6.0999999046325604</v>
      </c>
      <c r="AM429">
        <v>12.1300001144409</v>
      </c>
      <c r="AN429" t="s">
        <v>698</v>
      </c>
      <c r="AO429">
        <v>59</v>
      </c>
      <c r="AP429">
        <v>21.410944984758309</v>
      </c>
      <c r="AS429" s="1">
        <v>41922.806551585651</v>
      </c>
      <c r="AT429" s="1"/>
      <c r="AU429" s="1">
        <v>41922.806551585651</v>
      </c>
      <c r="AV429" s="1"/>
      <c r="AW429" s="1"/>
      <c r="AX429" s="1"/>
      <c r="AZ429">
        <v>147</v>
      </c>
      <c r="BA429">
        <v>66</v>
      </c>
      <c r="BB429" s="5">
        <v>0</v>
      </c>
      <c r="BC429">
        <f t="shared" si="24"/>
        <v>10.63356240624827</v>
      </c>
      <c r="BD429">
        <v>147</v>
      </c>
      <c r="BE429">
        <v>4.2999999999999901</v>
      </c>
      <c r="BF429">
        <v>2.7999999999999901</v>
      </c>
      <c r="BG429">
        <v>7.9</v>
      </c>
      <c r="BH429">
        <v>256</v>
      </c>
      <c r="BI429">
        <v>3.96</v>
      </c>
      <c r="BJ429">
        <v>9</v>
      </c>
      <c r="BK429">
        <v>4.7</v>
      </c>
      <c r="BL429">
        <v>11.5</v>
      </c>
      <c r="BM429">
        <v>155.21</v>
      </c>
      <c r="BN429">
        <v>6.0999999999999899</v>
      </c>
    </row>
    <row r="430" spans="1:66" x14ac:dyDescent="0.3">
      <c r="A430">
        <v>429</v>
      </c>
      <c r="B430" s="2" t="s">
        <v>430</v>
      </c>
      <c r="C430" s="2" t="s">
        <v>448</v>
      </c>
      <c r="D430">
        <v>71.274965800272895</v>
      </c>
      <c r="E430" s="3">
        <v>43440.272222222222</v>
      </c>
      <c r="F430" s="1">
        <v>42489</v>
      </c>
      <c r="G430" s="1">
        <v>42486.520509259259</v>
      </c>
      <c r="H430" t="s">
        <v>17</v>
      </c>
      <c r="I430" t="s">
        <v>451</v>
      </c>
      <c r="J430" t="s">
        <v>35</v>
      </c>
      <c r="L430">
        <v>20</v>
      </c>
      <c r="M430" t="s">
        <v>17</v>
      </c>
      <c r="N430" t="s">
        <v>35</v>
      </c>
      <c r="O430" t="s">
        <v>25</v>
      </c>
      <c r="P430" t="s">
        <v>75</v>
      </c>
      <c r="Q430" t="s">
        <v>23</v>
      </c>
      <c r="S430" t="s">
        <v>504</v>
      </c>
      <c r="T430" t="s">
        <v>23</v>
      </c>
      <c r="V430" t="s">
        <v>159</v>
      </c>
      <c r="W430" t="s">
        <v>23</v>
      </c>
      <c r="X430" t="s">
        <v>90</v>
      </c>
      <c r="Y430">
        <v>5.92000007629394</v>
      </c>
      <c r="Z430">
        <v>4.9499998092651296</v>
      </c>
      <c r="AA430">
        <v>1.1499999761581401</v>
      </c>
      <c r="AB430">
        <v>1.0199999809265099</v>
      </c>
      <c r="AC430">
        <v>268.50436401367102</v>
      </c>
      <c r="AD430">
        <v>151</v>
      </c>
      <c r="AE430">
        <v>2</v>
      </c>
      <c r="AF430">
        <v>70</v>
      </c>
      <c r="AG430">
        <v>163</v>
      </c>
      <c r="AN430" t="s">
        <v>699</v>
      </c>
      <c r="AO430">
        <v>71.900000000000006</v>
      </c>
      <c r="AP430">
        <v>25.780773781777761</v>
      </c>
      <c r="AS430" s="1">
        <v>42381.74815871528</v>
      </c>
      <c r="AT430" s="1">
        <v>42374.429709374999</v>
      </c>
      <c r="AU430" s="1">
        <v>42115.822473877313</v>
      </c>
      <c r="AV430" s="1"/>
      <c r="AW430" s="1">
        <v>41721.505806678237</v>
      </c>
      <c r="AX430" s="1"/>
      <c r="AZ430">
        <v>107</v>
      </c>
      <c r="BA430">
        <v>60</v>
      </c>
      <c r="BB430" s="2">
        <v>2</v>
      </c>
      <c r="BC430">
        <f t="shared" si="24"/>
        <v>9.324671571105787</v>
      </c>
      <c r="BD430">
        <v>139</v>
      </c>
      <c r="BE430">
        <v>4.5</v>
      </c>
      <c r="BF430">
        <v>3.5</v>
      </c>
      <c r="BG430">
        <v>8.8000000000000007</v>
      </c>
      <c r="BH430">
        <v>214</v>
      </c>
      <c r="BI430">
        <v>7.36</v>
      </c>
      <c r="BJ430">
        <v>8.8000000000000007</v>
      </c>
      <c r="BK430">
        <v>4.9000000000000004</v>
      </c>
      <c r="BL430">
        <v>14.1</v>
      </c>
      <c r="BM430">
        <v>20.67</v>
      </c>
      <c r="BN430">
        <v>5.2999999999999901</v>
      </c>
    </row>
    <row r="431" spans="1:66" x14ac:dyDescent="0.3">
      <c r="A431">
        <v>430</v>
      </c>
      <c r="B431" s="2" t="s">
        <v>434</v>
      </c>
      <c r="C431" s="2" t="s">
        <v>448</v>
      </c>
      <c r="D431">
        <v>82.385772913815899</v>
      </c>
      <c r="E431" s="3">
        <v>42093.701388888891</v>
      </c>
      <c r="F431" s="1">
        <v>41798</v>
      </c>
      <c r="G431" s="1">
        <v>41700.628912037027</v>
      </c>
      <c r="H431" t="s">
        <v>15</v>
      </c>
      <c r="I431" t="s">
        <v>451</v>
      </c>
      <c r="J431" t="s">
        <v>453</v>
      </c>
      <c r="K431" t="s">
        <v>456</v>
      </c>
      <c r="L431">
        <v>50</v>
      </c>
      <c r="M431" t="s">
        <v>79</v>
      </c>
      <c r="N431" t="s">
        <v>14</v>
      </c>
      <c r="O431" t="s">
        <v>17</v>
      </c>
      <c r="P431" t="s">
        <v>112</v>
      </c>
      <c r="Q431" t="s">
        <v>451</v>
      </c>
      <c r="S431" t="s">
        <v>451</v>
      </c>
      <c r="T431" t="s">
        <v>19</v>
      </c>
      <c r="U431" t="s">
        <v>228</v>
      </c>
      <c r="V431" t="s">
        <v>451</v>
      </c>
      <c r="W431" t="s">
        <v>26</v>
      </c>
      <c r="X431" t="s">
        <v>87</v>
      </c>
      <c r="Y431">
        <v>4.1599998474120996</v>
      </c>
      <c r="Z431">
        <v>3.0099999904632502</v>
      </c>
      <c r="AA431">
        <v>1.2400000095367401</v>
      </c>
      <c r="AB431">
        <v>1.3200000524520801</v>
      </c>
      <c r="AC431">
        <v>193.18566894531199</v>
      </c>
      <c r="AD431">
        <v>91</v>
      </c>
      <c r="AE431">
        <v>1</v>
      </c>
      <c r="AF431">
        <v>54</v>
      </c>
      <c r="AG431">
        <v>62.700000762939403</v>
      </c>
      <c r="AH431">
        <v>5.6900000572204501</v>
      </c>
      <c r="AI431">
        <v>8.0299997329711896</v>
      </c>
      <c r="AJ431">
        <v>7.8099999427795401</v>
      </c>
      <c r="AK431">
        <v>6.7800002098083398</v>
      </c>
      <c r="AL431">
        <v>8.42000007629394</v>
      </c>
      <c r="AM431">
        <v>7.4499998092651296</v>
      </c>
      <c r="AN431" t="s">
        <v>700</v>
      </c>
      <c r="AO431">
        <v>95.299999999999898</v>
      </c>
      <c r="AP431">
        <v>32.975778546712768</v>
      </c>
      <c r="AS431" s="1"/>
      <c r="AT431" s="1">
        <v>40562.424709953702</v>
      </c>
      <c r="AU431" s="1">
        <v>40562.47547445602</v>
      </c>
      <c r="AV431" s="1"/>
      <c r="AW431" s="1"/>
      <c r="AX431" s="1">
        <v>41735.651598993063</v>
      </c>
      <c r="AY431" t="s">
        <v>21</v>
      </c>
      <c r="BB431" s="2">
        <v>5</v>
      </c>
      <c r="BC431">
        <f t="shared" si="24"/>
        <v>22.969527448600051</v>
      </c>
      <c r="BD431">
        <v>139</v>
      </c>
      <c r="BE431">
        <v>5.0999999999999899</v>
      </c>
      <c r="BF431">
        <v>3.7</v>
      </c>
      <c r="BG431">
        <v>11.6999999999999</v>
      </c>
      <c r="BH431">
        <v>300</v>
      </c>
      <c r="BI431">
        <v>3.3199999999999901</v>
      </c>
      <c r="BJ431">
        <v>8.5999999999999908</v>
      </c>
      <c r="BK431">
        <v>5.7999999999999901</v>
      </c>
      <c r="BL431">
        <v>15</v>
      </c>
      <c r="BM431">
        <v>15.21</v>
      </c>
      <c r="BN431">
        <v>7.5</v>
      </c>
    </row>
    <row r="432" spans="1:66" x14ac:dyDescent="0.3">
      <c r="A432">
        <v>431</v>
      </c>
      <c r="B432" s="2" t="s">
        <v>430</v>
      </c>
      <c r="C432" s="2" t="s">
        <v>448</v>
      </c>
      <c r="D432">
        <v>80.982216142270005</v>
      </c>
      <c r="E432" s="3">
        <v>44060.145138888889</v>
      </c>
      <c r="F432" s="1">
        <v>43865</v>
      </c>
      <c r="G432" s="1">
        <v>43868.366701388892</v>
      </c>
      <c r="H432" t="s">
        <v>17</v>
      </c>
      <c r="I432" t="s">
        <v>451</v>
      </c>
      <c r="J432" t="s">
        <v>35</v>
      </c>
      <c r="L432">
        <v>20</v>
      </c>
      <c r="M432" t="s">
        <v>15</v>
      </c>
      <c r="N432" t="s">
        <v>15</v>
      </c>
      <c r="O432" t="s">
        <v>17</v>
      </c>
      <c r="P432" t="s">
        <v>75</v>
      </c>
      <c r="Q432" t="s">
        <v>451</v>
      </c>
      <c r="S432" t="s">
        <v>92</v>
      </c>
      <c r="T432" t="s">
        <v>19</v>
      </c>
      <c r="V432" t="s">
        <v>451</v>
      </c>
      <c r="W432" t="s">
        <v>19</v>
      </c>
      <c r="X432" t="s">
        <v>15</v>
      </c>
      <c r="Y432">
        <v>5.5300002098083398</v>
      </c>
      <c r="Z432">
        <v>4.2800002098083398</v>
      </c>
      <c r="AA432">
        <v>0.83999997377395597</v>
      </c>
      <c r="AB432">
        <v>0.93999999761581399</v>
      </c>
      <c r="AC432">
        <v>184.89259338378901</v>
      </c>
      <c r="AD432">
        <v>102</v>
      </c>
      <c r="AE432">
        <v>2.6900000572204501</v>
      </c>
      <c r="AF432">
        <v>38</v>
      </c>
      <c r="AG432">
        <v>67.300003051757798</v>
      </c>
      <c r="AH432">
        <v>5.3299999237060502</v>
      </c>
      <c r="AI432">
        <v>3.92000007629394</v>
      </c>
      <c r="AJ432">
        <v>17.170000076293899</v>
      </c>
      <c r="AK432">
        <v>6.0900001525878897</v>
      </c>
      <c r="AL432">
        <v>5.9800000190734801</v>
      </c>
      <c r="AM432">
        <v>11.25</v>
      </c>
      <c r="AN432" t="s">
        <v>701</v>
      </c>
      <c r="AO432">
        <v>70</v>
      </c>
      <c r="AP432">
        <v>24.221453287197232</v>
      </c>
      <c r="AS432" s="1">
        <v>41438.908932835649</v>
      </c>
      <c r="AT432" s="1"/>
      <c r="AU432" s="1">
        <v>39971.083116932867</v>
      </c>
      <c r="AV432" s="1">
        <v>39971.082305983793</v>
      </c>
      <c r="AW432" s="1"/>
      <c r="AX432" s="1"/>
      <c r="AZ432">
        <v>108</v>
      </c>
      <c r="BA432">
        <v>64</v>
      </c>
      <c r="BB432" s="2">
        <v>5</v>
      </c>
      <c r="BC432">
        <f t="shared" si="24"/>
        <v>9.0788609134166212</v>
      </c>
      <c r="BD432">
        <v>126</v>
      </c>
      <c r="BE432">
        <v>5.78</v>
      </c>
      <c r="BF432">
        <v>3.7999999999999901</v>
      </c>
      <c r="BG432">
        <v>9.1999999999999904</v>
      </c>
      <c r="BH432">
        <v>353</v>
      </c>
      <c r="BI432">
        <v>6.32</v>
      </c>
      <c r="BJ432">
        <v>7.7999999999999901</v>
      </c>
      <c r="BK432">
        <v>6.2999999999999901</v>
      </c>
      <c r="BL432">
        <v>12.5</v>
      </c>
      <c r="BM432">
        <v>95.09</v>
      </c>
      <c r="BN432">
        <v>6.7</v>
      </c>
    </row>
    <row r="433" spans="1:66" x14ac:dyDescent="0.3">
      <c r="A433">
        <v>432</v>
      </c>
      <c r="B433" s="2" t="s">
        <v>430</v>
      </c>
      <c r="C433" s="2" t="s">
        <v>448</v>
      </c>
      <c r="D433">
        <v>88.454172366620895</v>
      </c>
      <c r="E433" s="3">
        <v>42292.650694444441</v>
      </c>
      <c r="F433" s="1">
        <v>41107</v>
      </c>
      <c r="G433" s="1">
        <v>40787.376817129632</v>
      </c>
      <c r="H433" t="s">
        <v>15</v>
      </c>
      <c r="I433" t="s">
        <v>451</v>
      </c>
      <c r="J433" t="s">
        <v>15</v>
      </c>
      <c r="L433">
        <v>55</v>
      </c>
      <c r="M433" t="s">
        <v>15</v>
      </c>
      <c r="N433" t="s">
        <v>15</v>
      </c>
      <c r="O433" t="s">
        <v>17</v>
      </c>
      <c r="P433" t="s">
        <v>479</v>
      </c>
      <c r="Q433" t="s">
        <v>18</v>
      </c>
      <c r="S433" t="s">
        <v>451</v>
      </c>
      <c r="T433" t="s">
        <v>19</v>
      </c>
      <c r="U433" t="s">
        <v>228</v>
      </c>
      <c r="V433" t="s">
        <v>451</v>
      </c>
      <c r="W433" t="s">
        <v>18</v>
      </c>
      <c r="X433" t="s">
        <v>78</v>
      </c>
      <c r="Y433">
        <v>4.8899998664855904</v>
      </c>
      <c r="Z433">
        <v>3.2200000286102202</v>
      </c>
      <c r="AA433">
        <v>1.03999996185302</v>
      </c>
      <c r="AB433">
        <v>1.0199999809265099</v>
      </c>
      <c r="AC433">
        <v>182.61846923828099</v>
      </c>
      <c r="AD433">
        <v>96</v>
      </c>
      <c r="AE433">
        <v>1</v>
      </c>
      <c r="AF433">
        <v>38</v>
      </c>
      <c r="AG433">
        <v>71.830001831054602</v>
      </c>
      <c r="AH433">
        <v>6</v>
      </c>
      <c r="AI433">
        <v>4</v>
      </c>
      <c r="AJ433">
        <v>17.959999084472599</v>
      </c>
      <c r="AK433">
        <v>9</v>
      </c>
      <c r="AL433">
        <v>5</v>
      </c>
      <c r="AM433">
        <v>14.369999885559</v>
      </c>
      <c r="AN433" t="s">
        <v>702</v>
      </c>
      <c r="AO433">
        <v>78</v>
      </c>
      <c r="AP433">
        <v>28.65013774104683</v>
      </c>
      <c r="AS433" s="1">
        <v>40711.791892905087</v>
      </c>
      <c r="AT433" s="1"/>
      <c r="AU433" s="1">
        <v>40711.791892905087</v>
      </c>
      <c r="AV433" s="1">
        <v>40711.791892905087</v>
      </c>
      <c r="AW433" s="1">
        <v>40711.791892905087</v>
      </c>
      <c r="AX433" s="1"/>
      <c r="AZ433">
        <v>188</v>
      </c>
      <c r="BA433">
        <v>74</v>
      </c>
      <c r="BB433" s="2">
        <v>3</v>
      </c>
      <c r="BC433">
        <f t="shared" si="24"/>
        <v>8.6710113772506254</v>
      </c>
      <c r="BD433">
        <v>136</v>
      </c>
      <c r="BE433">
        <v>6</v>
      </c>
      <c r="BF433">
        <v>3.3999999999999901</v>
      </c>
      <c r="BH433">
        <v>227</v>
      </c>
      <c r="BI433">
        <v>6.44</v>
      </c>
      <c r="BJ433">
        <v>9.1999999999999904</v>
      </c>
      <c r="BK433">
        <v>5.0999999999999899</v>
      </c>
      <c r="BL433">
        <v>7.0999999999999899</v>
      </c>
      <c r="BM433">
        <v>8.31</v>
      </c>
    </row>
    <row r="434" spans="1:66" x14ac:dyDescent="0.3">
      <c r="A434">
        <v>433</v>
      </c>
      <c r="B434" s="2" t="s">
        <v>430</v>
      </c>
      <c r="C434" s="2" t="s">
        <v>448</v>
      </c>
      <c r="D434">
        <v>77.119015047879003</v>
      </c>
      <c r="E434" s="3">
        <v>44216.436111111107</v>
      </c>
      <c r="F434" s="1">
        <v>43529</v>
      </c>
      <c r="G434" s="1">
        <v>43396.649039351847</v>
      </c>
      <c r="H434" t="s">
        <v>17</v>
      </c>
      <c r="I434" t="s">
        <v>451</v>
      </c>
      <c r="J434" t="s">
        <v>22</v>
      </c>
      <c r="K434" t="s">
        <v>470</v>
      </c>
      <c r="L434">
        <v>40</v>
      </c>
      <c r="M434" t="s">
        <v>451</v>
      </c>
      <c r="N434" t="s">
        <v>451</v>
      </c>
      <c r="O434" t="s">
        <v>25</v>
      </c>
      <c r="P434" t="s">
        <v>124</v>
      </c>
      <c r="Q434" t="s">
        <v>451</v>
      </c>
      <c r="S434" t="s">
        <v>451</v>
      </c>
      <c r="T434" t="s">
        <v>29</v>
      </c>
      <c r="U434" t="s">
        <v>518</v>
      </c>
      <c r="V434" t="s">
        <v>451</v>
      </c>
      <c r="W434" t="s">
        <v>23</v>
      </c>
      <c r="X434" t="s">
        <v>78</v>
      </c>
      <c r="Y434">
        <v>5.67000007629394</v>
      </c>
      <c r="Z434">
        <v>3.8599998950958199</v>
      </c>
      <c r="AA434">
        <v>1.3400000333786</v>
      </c>
      <c r="AB434">
        <v>1.0299999713897701</v>
      </c>
      <c r="AC434">
        <v>281.34524536132801</v>
      </c>
      <c r="AD434">
        <v>139</v>
      </c>
      <c r="AE434">
        <v>2</v>
      </c>
      <c r="AF434">
        <v>41</v>
      </c>
      <c r="AG434">
        <v>116</v>
      </c>
      <c r="AH434">
        <v>5.6799998283386204</v>
      </c>
      <c r="AI434">
        <v>3.6800000667571999</v>
      </c>
      <c r="AJ434">
        <v>31.520000457763601</v>
      </c>
      <c r="AK434">
        <v>6.5199999809265101</v>
      </c>
      <c r="AL434">
        <v>7.4400000572204501</v>
      </c>
      <c r="AM434">
        <v>15.5900001525878</v>
      </c>
      <c r="AN434" t="s">
        <v>703</v>
      </c>
      <c r="AO434">
        <v>73.599999999999895</v>
      </c>
      <c r="AP434">
        <v>24.032653061224455</v>
      </c>
      <c r="AQ434" s="1">
        <v>30682</v>
      </c>
      <c r="AR434" s="1">
        <v>41030</v>
      </c>
      <c r="AS434" s="1">
        <v>39984.685668090278</v>
      </c>
      <c r="AT434" s="1">
        <v>41071.629005752307</v>
      </c>
      <c r="AU434" s="1">
        <v>39984.685938738417</v>
      </c>
      <c r="AV434" s="1">
        <v>39984.68584085648</v>
      </c>
      <c r="AW434" s="1">
        <v>39984.686054363417</v>
      </c>
      <c r="AX434" s="1"/>
      <c r="AZ434">
        <v>125</v>
      </c>
      <c r="BA434">
        <v>51</v>
      </c>
      <c r="BB434" s="2">
        <v>4</v>
      </c>
      <c r="BC434">
        <f t="shared" si="24"/>
        <v>10.202911138615754</v>
      </c>
      <c r="BD434">
        <v>134</v>
      </c>
      <c r="BE434">
        <v>4.7</v>
      </c>
      <c r="BF434">
        <v>3.3999999999999901</v>
      </c>
      <c r="BG434">
        <v>13.8</v>
      </c>
      <c r="BH434">
        <v>288</v>
      </c>
      <c r="BI434">
        <v>6.2999999999999901</v>
      </c>
      <c r="BJ434">
        <v>8.5</v>
      </c>
      <c r="BK434">
        <v>8.3000000000000007</v>
      </c>
      <c r="BL434">
        <v>12.5</v>
      </c>
      <c r="BM434">
        <v>31.94</v>
      </c>
      <c r="BN434">
        <v>6.4</v>
      </c>
    </row>
    <row r="435" spans="1:66" x14ac:dyDescent="0.3">
      <c r="A435">
        <v>434</v>
      </c>
      <c r="B435" s="2" t="s">
        <v>434</v>
      </c>
      <c r="C435" s="2" t="s">
        <v>448</v>
      </c>
      <c r="D435">
        <v>78.897400820792896</v>
      </c>
      <c r="E435" s="3">
        <v>44303.151388888888</v>
      </c>
      <c r="F435" s="1">
        <v>43803</v>
      </c>
      <c r="G435" s="1">
        <v>43664.630972222221</v>
      </c>
      <c r="H435" t="s">
        <v>15</v>
      </c>
      <c r="I435" t="s">
        <v>78</v>
      </c>
      <c r="J435" t="s">
        <v>15</v>
      </c>
      <c r="K435" t="s">
        <v>74</v>
      </c>
      <c r="L435">
        <v>60</v>
      </c>
      <c r="M435" t="s">
        <v>79</v>
      </c>
      <c r="N435" t="s">
        <v>28</v>
      </c>
      <c r="O435" t="s">
        <v>31</v>
      </c>
      <c r="P435" t="s">
        <v>15</v>
      </c>
      <c r="Q435" t="s">
        <v>19</v>
      </c>
      <c r="S435" t="s">
        <v>451</v>
      </c>
      <c r="T435" t="s">
        <v>19</v>
      </c>
      <c r="U435" t="s">
        <v>147</v>
      </c>
      <c r="V435" t="s">
        <v>451</v>
      </c>
      <c r="W435" t="s">
        <v>34</v>
      </c>
      <c r="X435" t="s">
        <v>78</v>
      </c>
      <c r="Y435">
        <v>4.7300000190734801</v>
      </c>
      <c r="Z435">
        <v>3.0299999713897701</v>
      </c>
      <c r="AA435">
        <v>1.5</v>
      </c>
      <c r="AB435">
        <v>1.3999999761581401</v>
      </c>
      <c r="AC435">
        <v>282.12478637695301</v>
      </c>
      <c r="AD435">
        <v>143</v>
      </c>
      <c r="AE435">
        <v>1</v>
      </c>
      <c r="AF435">
        <v>38</v>
      </c>
      <c r="AG435">
        <v>99</v>
      </c>
      <c r="AH435">
        <v>3.1500000953674299</v>
      </c>
      <c r="AI435">
        <v>7.5100002288818297</v>
      </c>
      <c r="AJ435">
        <v>13.1800003051757</v>
      </c>
      <c r="AK435">
        <v>7.2899999618530202</v>
      </c>
      <c r="AL435">
        <v>9.1400003433227504</v>
      </c>
      <c r="AM435">
        <v>10.829999923706</v>
      </c>
      <c r="AN435" t="s">
        <v>704</v>
      </c>
      <c r="AO435">
        <v>74.599999999999895</v>
      </c>
      <c r="AP435">
        <v>25.216333153055668</v>
      </c>
      <c r="AS435" s="1"/>
      <c r="AT435" s="1">
        <v>40976.558768171293</v>
      </c>
      <c r="AU435" s="1"/>
      <c r="AV435" s="1"/>
      <c r="AW435" s="1"/>
      <c r="AX435" s="1"/>
      <c r="AY435" t="s">
        <v>21</v>
      </c>
      <c r="BB435" s="5">
        <v>0</v>
      </c>
      <c r="BC435">
        <f t="shared" si="24"/>
        <v>38.138001161051463</v>
      </c>
      <c r="BD435">
        <v>137</v>
      </c>
      <c r="BE435">
        <v>3.7999999999999901</v>
      </c>
      <c r="BF435">
        <v>3</v>
      </c>
      <c r="BG435">
        <v>9.5999999999999908</v>
      </c>
      <c r="BH435">
        <v>128</v>
      </c>
      <c r="BI435">
        <v>1.6599999999999899</v>
      </c>
      <c r="BJ435">
        <v>8.3000000000000007</v>
      </c>
      <c r="BK435">
        <v>4.5</v>
      </c>
      <c r="BL435">
        <v>9</v>
      </c>
      <c r="BM435">
        <v>2.4900000000000002</v>
      </c>
      <c r="BN435">
        <v>5.0999999999999899</v>
      </c>
    </row>
    <row r="436" spans="1:66" x14ac:dyDescent="0.3">
      <c r="A436">
        <v>435</v>
      </c>
      <c r="B436" s="2" t="s">
        <v>430</v>
      </c>
      <c r="C436" s="2" t="s">
        <v>448</v>
      </c>
      <c r="D436">
        <v>84.054719562242894</v>
      </c>
      <c r="E436" s="3"/>
      <c r="F436" s="1">
        <v>44238</v>
      </c>
      <c r="G436" s="1">
        <v>44272.568622685183</v>
      </c>
      <c r="H436" t="s">
        <v>15</v>
      </c>
      <c r="I436" t="s">
        <v>451</v>
      </c>
      <c r="J436" t="s">
        <v>15</v>
      </c>
      <c r="K436" t="s">
        <v>145</v>
      </c>
      <c r="L436">
        <v>55</v>
      </c>
      <c r="M436" t="s">
        <v>451</v>
      </c>
      <c r="N436" t="s">
        <v>451</v>
      </c>
      <c r="O436" t="s">
        <v>25</v>
      </c>
      <c r="P436" t="s">
        <v>479</v>
      </c>
      <c r="Q436" t="s">
        <v>18</v>
      </c>
      <c r="S436" t="s">
        <v>451</v>
      </c>
      <c r="T436" t="s">
        <v>19</v>
      </c>
      <c r="V436" t="s">
        <v>451</v>
      </c>
      <c r="W436" t="s">
        <v>19</v>
      </c>
      <c r="X436" t="s">
        <v>15</v>
      </c>
      <c r="Y436">
        <v>4.4299998283386204</v>
      </c>
      <c r="Z436">
        <v>2.9400000572204501</v>
      </c>
      <c r="AA436">
        <v>1.5599999427795399</v>
      </c>
      <c r="AB436">
        <v>0.85000002384185702</v>
      </c>
      <c r="AC436">
        <v>194.51856994628901</v>
      </c>
      <c r="AD436">
        <v>125</v>
      </c>
      <c r="AE436">
        <v>1</v>
      </c>
      <c r="AF436">
        <v>28</v>
      </c>
      <c r="AG436">
        <v>54</v>
      </c>
      <c r="AH436">
        <v>4.5599999427795401</v>
      </c>
      <c r="AI436">
        <v>2.6900000572204501</v>
      </c>
      <c r="AJ436">
        <v>20.069999694824201</v>
      </c>
      <c r="AK436">
        <v>6</v>
      </c>
      <c r="AL436">
        <v>3.25</v>
      </c>
      <c r="AM436">
        <v>16.620000839233299</v>
      </c>
      <c r="AN436" t="s">
        <v>705</v>
      </c>
      <c r="AO436">
        <v>52.299999999999898</v>
      </c>
      <c r="AP436">
        <v>24.535560142615829</v>
      </c>
      <c r="AS436" s="1"/>
      <c r="AT436" s="1"/>
      <c r="AU436" s="1">
        <v>39812.505678472233</v>
      </c>
      <c r="AV436" s="1">
        <v>39812.505994212966</v>
      </c>
      <c r="AW436" s="1"/>
      <c r="AX436" s="1"/>
      <c r="BA436">
        <v>46</v>
      </c>
      <c r="BB436" s="2">
        <v>1</v>
      </c>
      <c r="BC436">
        <f t="shared" si="24"/>
        <v>6.7170297678941591</v>
      </c>
      <c r="BD436">
        <v>129</v>
      </c>
      <c r="BE436">
        <v>5</v>
      </c>
      <c r="BF436">
        <v>3.2</v>
      </c>
      <c r="BG436">
        <v>10.1999999999999</v>
      </c>
      <c r="BH436">
        <v>325</v>
      </c>
      <c r="BI436">
        <v>6.0499999999999901</v>
      </c>
      <c r="BJ436">
        <v>7.5</v>
      </c>
      <c r="BK436">
        <v>9</v>
      </c>
      <c r="BL436">
        <v>7.5</v>
      </c>
      <c r="BM436">
        <v>8.1300000000000008</v>
      </c>
      <c r="BN436">
        <v>4.5</v>
      </c>
    </row>
    <row r="437" spans="1:66" x14ac:dyDescent="0.3">
      <c r="A437">
        <v>436</v>
      </c>
      <c r="B437" s="2" t="s">
        <v>430</v>
      </c>
      <c r="C437" s="2" t="s">
        <v>448</v>
      </c>
      <c r="D437">
        <v>75.682626538986895</v>
      </c>
      <c r="E437" s="3"/>
      <c r="F437" s="1">
        <v>45610</v>
      </c>
      <c r="G437" s="1">
        <v>45302.412569444437</v>
      </c>
      <c r="H437" t="s">
        <v>15</v>
      </c>
      <c r="I437" t="s">
        <v>78</v>
      </c>
      <c r="J437" t="s">
        <v>15</v>
      </c>
      <c r="L437">
        <v>50</v>
      </c>
      <c r="M437" t="s">
        <v>451</v>
      </c>
      <c r="N437" t="s">
        <v>451</v>
      </c>
      <c r="O437" t="s">
        <v>25</v>
      </c>
      <c r="P437" t="s">
        <v>451</v>
      </c>
      <c r="Q437" t="s">
        <v>19</v>
      </c>
      <c r="R437" t="s">
        <v>488</v>
      </c>
      <c r="S437" t="s">
        <v>451</v>
      </c>
      <c r="T437" t="s">
        <v>19</v>
      </c>
      <c r="U437" t="s">
        <v>510</v>
      </c>
      <c r="V437" t="s">
        <v>451</v>
      </c>
      <c r="W437" t="s">
        <v>19</v>
      </c>
      <c r="X437" t="s">
        <v>78</v>
      </c>
      <c r="Y437">
        <v>4.6999998092651296</v>
      </c>
      <c r="Z437">
        <v>2.5</v>
      </c>
      <c r="AA437">
        <v>1.20000004768371</v>
      </c>
      <c r="AB437">
        <v>1.6000000238418499</v>
      </c>
      <c r="AC437">
        <v>265.21926879882801</v>
      </c>
      <c r="AD437">
        <v>144</v>
      </c>
      <c r="AE437">
        <v>1.25</v>
      </c>
      <c r="AF437">
        <v>45</v>
      </c>
      <c r="AG437">
        <v>138</v>
      </c>
      <c r="AI437">
        <v>3</v>
      </c>
      <c r="AJ437">
        <v>46</v>
      </c>
      <c r="AL437">
        <v>4</v>
      </c>
      <c r="AM437">
        <v>34.5</v>
      </c>
      <c r="AN437" t="s">
        <v>706</v>
      </c>
      <c r="AQ437" s="1">
        <v>45170</v>
      </c>
      <c r="AS437" s="1">
        <v>41590.902203819453</v>
      </c>
      <c r="AT437" s="1"/>
      <c r="AU437" s="1">
        <v>41591.063650613432</v>
      </c>
      <c r="AV437" s="1">
        <v>41591.063650613432</v>
      </c>
      <c r="AW437" s="1">
        <v>43356.05525532407</v>
      </c>
      <c r="AX437" s="1"/>
      <c r="AZ437">
        <v>123</v>
      </c>
      <c r="BA437">
        <v>48</v>
      </c>
      <c r="BB437" s="5">
        <v>0</v>
      </c>
      <c r="BC437">
        <v>15.9</v>
      </c>
      <c r="BD437">
        <v>140</v>
      </c>
      <c r="BE437">
        <v>4.7</v>
      </c>
      <c r="BF437">
        <v>3</v>
      </c>
      <c r="BG437">
        <v>5.5</v>
      </c>
      <c r="BH437">
        <v>221</v>
      </c>
      <c r="BI437">
        <v>3.73</v>
      </c>
      <c r="BJ437">
        <v>9.0999999999999908</v>
      </c>
      <c r="BK437">
        <v>6.2999999999999901</v>
      </c>
      <c r="BL437">
        <v>15.1999999999999</v>
      </c>
      <c r="BM437">
        <v>111.209999999999</v>
      </c>
      <c r="BN437">
        <v>7.0999999999999899</v>
      </c>
    </row>
    <row r="438" spans="1:66" x14ac:dyDescent="0.3">
      <c r="A438">
        <v>437</v>
      </c>
      <c r="B438" s="2" t="s">
        <v>430</v>
      </c>
      <c r="C438" s="2" t="s">
        <v>449</v>
      </c>
      <c r="D438">
        <v>76.774281805745005</v>
      </c>
      <c r="E438" s="3"/>
      <c r="F438" s="1">
        <v>44133</v>
      </c>
      <c r="G438" s="1">
        <v>44138.484965277778</v>
      </c>
      <c r="H438" t="s">
        <v>451</v>
      </c>
      <c r="I438" t="s">
        <v>451</v>
      </c>
      <c r="J438" t="s">
        <v>451</v>
      </c>
      <c r="K438" t="s">
        <v>74</v>
      </c>
      <c r="L438">
        <v>55</v>
      </c>
      <c r="M438" t="s">
        <v>451</v>
      </c>
      <c r="N438" t="s">
        <v>451</v>
      </c>
      <c r="O438" t="s">
        <v>17</v>
      </c>
      <c r="P438" t="s">
        <v>112</v>
      </c>
      <c r="Q438" t="s">
        <v>18</v>
      </c>
      <c r="S438" t="s">
        <v>75</v>
      </c>
      <c r="T438" t="s">
        <v>23</v>
      </c>
      <c r="U438" t="s">
        <v>519</v>
      </c>
      <c r="V438" t="s">
        <v>451</v>
      </c>
      <c r="W438" t="s">
        <v>23</v>
      </c>
      <c r="X438" t="s">
        <v>90</v>
      </c>
      <c r="Y438">
        <v>5.0399999618530202</v>
      </c>
      <c r="Z438">
        <v>3.2599999904632502</v>
      </c>
      <c r="AA438">
        <v>1</v>
      </c>
      <c r="AB438">
        <v>0.91000002622604304</v>
      </c>
      <c r="AC438">
        <v>173.38835144042901</v>
      </c>
      <c r="AD438">
        <v>104</v>
      </c>
      <c r="AE438">
        <v>1</v>
      </c>
      <c r="AF438">
        <v>60</v>
      </c>
      <c r="AG438">
        <v>121</v>
      </c>
      <c r="AH438">
        <v>9.7799997329711896</v>
      </c>
      <c r="AI438">
        <v>6.7699999809265101</v>
      </c>
      <c r="AJ438">
        <v>17.870000839233299</v>
      </c>
      <c r="AK438">
        <v>8.1000003814697195</v>
      </c>
      <c r="AL438">
        <v>7.2699999809265101</v>
      </c>
      <c r="AM438">
        <v>16.639999389648398</v>
      </c>
      <c r="AN438" t="s">
        <v>707</v>
      </c>
      <c r="AS438" s="1"/>
      <c r="AT438" s="1"/>
      <c r="AU438" s="1">
        <v>44127.861679745372</v>
      </c>
      <c r="AV438" s="1"/>
      <c r="AW438" s="1">
        <v>44127.861679745372</v>
      </c>
      <c r="AX438" s="1"/>
      <c r="AZ438">
        <v>203</v>
      </c>
      <c r="BA438">
        <v>80</v>
      </c>
      <c r="BB438" s="5">
        <v>0</v>
      </c>
      <c r="BC438">
        <v>9.6</v>
      </c>
      <c r="BD438">
        <v>127</v>
      </c>
      <c r="BE438">
        <v>5.4</v>
      </c>
      <c r="BF438">
        <v>3.7999999999999901</v>
      </c>
      <c r="BG438">
        <v>8.9</v>
      </c>
      <c r="BH438">
        <v>247</v>
      </c>
      <c r="BI438">
        <v>6.86</v>
      </c>
      <c r="BJ438">
        <v>8.9</v>
      </c>
      <c r="BK438">
        <v>5.5999999999999899</v>
      </c>
      <c r="BL438">
        <v>11</v>
      </c>
      <c r="BM438">
        <v>17.89</v>
      </c>
      <c r="BN438">
        <v>5.9</v>
      </c>
    </row>
    <row r="439" spans="1:66" x14ac:dyDescent="0.3">
      <c r="A439">
        <v>438</v>
      </c>
      <c r="B439" s="2" t="s">
        <v>434</v>
      </c>
      <c r="C439" s="2" t="s">
        <v>448</v>
      </c>
      <c r="D439">
        <v>78.662106703145895</v>
      </c>
      <c r="E439" s="3">
        <v>44977</v>
      </c>
      <c r="F439" s="1">
        <v>44245</v>
      </c>
      <c r="G439" s="1">
        <v>44146.453136574077</v>
      </c>
      <c r="H439" t="s">
        <v>15</v>
      </c>
      <c r="I439" t="s">
        <v>451</v>
      </c>
      <c r="J439" t="s">
        <v>15</v>
      </c>
      <c r="K439" t="s">
        <v>145</v>
      </c>
      <c r="L439">
        <v>55</v>
      </c>
      <c r="M439" t="s">
        <v>451</v>
      </c>
      <c r="N439" t="s">
        <v>451</v>
      </c>
      <c r="O439" t="s">
        <v>17</v>
      </c>
      <c r="P439" t="s">
        <v>124</v>
      </c>
      <c r="Q439" t="s">
        <v>18</v>
      </c>
      <c r="R439" t="s">
        <v>488</v>
      </c>
      <c r="S439" t="s">
        <v>75</v>
      </c>
      <c r="T439" t="s">
        <v>29</v>
      </c>
      <c r="V439" t="s">
        <v>451</v>
      </c>
      <c r="W439" t="s">
        <v>18</v>
      </c>
      <c r="Y439">
        <v>4.9000000953674299</v>
      </c>
      <c r="Z439">
        <v>3.5999999046325599</v>
      </c>
      <c r="AA439">
        <v>1.5</v>
      </c>
      <c r="AB439">
        <v>1.1000000238418499</v>
      </c>
      <c r="AC439">
        <v>253.71603393554599</v>
      </c>
      <c r="AD439">
        <v>135</v>
      </c>
      <c r="AE439">
        <v>1</v>
      </c>
      <c r="AG439">
        <v>143</v>
      </c>
      <c r="AH439">
        <v>4.6799998283386204</v>
      </c>
      <c r="AI439">
        <v>3.3699998855590798</v>
      </c>
      <c r="AJ439">
        <v>42.430000305175703</v>
      </c>
      <c r="AK439">
        <v>7.8299999237060502</v>
      </c>
      <c r="AL439">
        <v>5.8699998855590803</v>
      </c>
      <c r="AM439">
        <v>24.360000610351499</v>
      </c>
      <c r="AN439" t="s">
        <v>708</v>
      </c>
      <c r="AO439">
        <v>69.75</v>
      </c>
      <c r="AP439">
        <v>24.421413816042858</v>
      </c>
      <c r="AQ439" s="1">
        <v>44263</v>
      </c>
      <c r="AS439" s="1">
        <v>44150.579381678239</v>
      </c>
      <c r="AT439" s="1"/>
      <c r="AU439" s="1">
        <v>42450.555471412037</v>
      </c>
      <c r="AV439" s="1">
        <v>42429.539296909723</v>
      </c>
      <c r="AW439" s="1">
        <v>44238.817619062502</v>
      </c>
      <c r="AX439" s="1">
        <v>42408.638899652768</v>
      </c>
      <c r="BB439" s="2">
        <v>1</v>
      </c>
      <c r="BC439">
        <f t="shared" ref="BC439:BC444" si="25">(140-D439)*AO439/(72*BI439)</f>
        <v>7.5695648574939476</v>
      </c>
      <c r="BD439">
        <v>133</v>
      </c>
      <c r="BE439">
        <v>4.7999999999999901</v>
      </c>
      <c r="BF439">
        <v>3.6</v>
      </c>
      <c r="BG439">
        <v>8.8000000000000007</v>
      </c>
      <c r="BH439">
        <v>243</v>
      </c>
      <c r="BI439">
        <v>7.8499999999999899</v>
      </c>
      <c r="BJ439">
        <v>8</v>
      </c>
      <c r="BK439">
        <v>7.9</v>
      </c>
      <c r="BL439">
        <v>8.6999999999999904</v>
      </c>
      <c r="BM439">
        <v>3.6499999999999901</v>
      </c>
      <c r="BN439">
        <v>5.7999999999999901</v>
      </c>
    </row>
    <row r="440" spans="1:66" x14ac:dyDescent="0.3">
      <c r="A440">
        <v>439</v>
      </c>
      <c r="B440" s="2" t="s">
        <v>434</v>
      </c>
      <c r="C440" s="2" t="s">
        <v>449</v>
      </c>
      <c r="D440">
        <v>78.125854993160004</v>
      </c>
      <c r="E440" s="3">
        <v>43573.212500000001</v>
      </c>
      <c r="F440" s="1">
        <v>42932</v>
      </c>
      <c r="G440" s="1">
        <v>42694.729745370372</v>
      </c>
      <c r="H440" t="s">
        <v>15</v>
      </c>
      <c r="I440" t="s">
        <v>451</v>
      </c>
      <c r="J440" t="s">
        <v>22</v>
      </c>
      <c r="L440">
        <v>40</v>
      </c>
      <c r="M440" t="s">
        <v>15</v>
      </c>
      <c r="N440" t="s">
        <v>28</v>
      </c>
      <c r="O440" t="s">
        <v>17</v>
      </c>
      <c r="P440" t="s">
        <v>75</v>
      </c>
      <c r="Q440" t="s">
        <v>451</v>
      </c>
      <c r="S440" t="s">
        <v>451</v>
      </c>
      <c r="T440" t="s">
        <v>18</v>
      </c>
      <c r="U440" t="s">
        <v>132</v>
      </c>
      <c r="V440" t="s">
        <v>451</v>
      </c>
      <c r="W440" t="s">
        <v>23</v>
      </c>
      <c r="X440" t="s">
        <v>90</v>
      </c>
      <c r="Y440">
        <v>4.0500001907348597</v>
      </c>
      <c r="Z440">
        <v>3.0299999713897701</v>
      </c>
      <c r="AA440">
        <v>1.00999999046325</v>
      </c>
      <c r="AB440">
        <v>1.0299999713897701</v>
      </c>
      <c r="AC440">
        <v>133.25108337402301</v>
      </c>
      <c r="AD440">
        <v>77</v>
      </c>
      <c r="AE440">
        <v>1.75</v>
      </c>
      <c r="AF440">
        <v>97</v>
      </c>
      <c r="AG440">
        <v>144</v>
      </c>
      <c r="AH440">
        <v>4.0300002098083398</v>
      </c>
      <c r="AI440">
        <v>3.70000004768371</v>
      </c>
      <c r="AJ440">
        <v>38.919998168945298</v>
      </c>
      <c r="AK440">
        <v>4.5700001716613698</v>
      </c>
      <c r="AL440">
        <v>4.5700001716613698</v>
      </c>
      <c r="AM440">
        <v>31.5100002288818</v>
      </c>
      <c r="AN440" t="s">
        <v>709</v>
      </c>
      <c r="AO440">
        <v>65.299999999999898</v>
      </c>
      <c r="AP440">
        <v>31.933101863171743</v>
      </c>
      <c r="AS440" s="1"/>
      <c r="AT440" s="1">
        <v>39807.735600844913</v>
      </c>
      <c r="AU440" s="1">
        <v>39807.737148263892</v>
      </c>
      <c r="AV440" s="1">
        <v>39807.738350925923</v>
      </c>
      <c r="AW440" s="1"/>
      <c r="AX440" s="1">
        <v>39807.73585459491</v>
      </c>
      <c r="BB440" s="5">
        <v>0</v>
      </c>
      <c r="BC440">
        <f t="shared" si="25"/>
        <v>12.042148512597299</v>
      </c>
      <c r="BD440">
        <v>143</v>
      </c>
      <c r="BE440">
        <v>4.5</v>
      </c>
      <c r="BF440">
        <v>2.3999999999999901</v>
      </c>
      <c r="BG440">
        <v>11</v>
      </c>
      <c r="BH440">
        <v>177</v>
      </c>
      <c r="BI440">
        <v>4.66</v>
      </c>
      <c r="BJ440">
        <v>8.3000000000000007</v>
      </c>
      <c r="BK440">
        <v>6.2</v>
      </c>
      <c r="BL440">
        <v>6.0999999999999899</v>
      </c>
      <c r="BM440">
        <v>12.99</v>
      </c>
      <c r="BN440">
        <v>9.1999999999999904</v>
      </c>
    </row>
    <row r="441" spans="1:66" x14ac:dyDescent="0.3">
      <c r="A441">
        <v>440</v>
      </c>
      <c r="B441" s="2" t="s">
        <v>434</v>
      </c>
      <c r="C441" s="2" t="s">
        <v>448</v>
      </c>
      <c r="D441">
        <v>74.181993844049003</v>
      </c>
      <c r="E441" s="3">
        <v>43960.784722222219</v>
      </c>
      <c r="F441" s="1">
        <v>43916.518750000003</v>
      </c>
      <c r="G441" s="1">
        <v>43861.45212962963</v>
      </c>
      <c r="H441" t="s">
        <v>25</v>
      </c>
      <c r="I441" t="s">
        <v>15</v>
      </c>
      <c r="J441" t="s">
        <v>35</v>
      </c>
      <c r="L441">
        <v>15</v>
      </c>
      <c r="M441" t="s">
        <v>17</v>
      </c>
      <c r="N441" t="s">
        <v>28</v>
      </c>
      <c r="O441" t="s">
        <v>25</v>
      </c>
      <c r="P441" t="s">
        <v>126</v>
      </c>
      <c r="Q441" t="s">
        <v>451</v>
      </c>
      <c r="S441" t="s">
        <v>126</v>
      </c>
      <c r="T441" t="s">
        <v>451</v>
      </c>
      <c r="V441" t="s">
        <v>159</v>
      </c>
      <c r="W441" t="s">
        <v>34</v>
      </c>
      <c r="X441" t="s">
        <v>90</v>
      </c>
      <c r="Y441">
        <v>6.4899997711181596</v>
      </c>
      <c r="Z441">
        <v>5.3499999046325604</v>
      </c>
      <c r="AA441">
        <v>0.83999997377395597</v>
      </c>
      <c r="AB441">
        <v>0.91000002622604304</v>
      </c>
      <c r="AC441">
        <v>238.649154663085</v>
      </c>
      <c r="AD441">
        <v>130</v>
      </c>
      <c r="AE441">
        <v>1</v>
      </c>
      <c r="AF441">
        <v>90</v>
      </c>
      <c r="AN441" t="s">
        <v>710</v>
      </c>
      <c r="AO441">
        <v>81.5</v>
      </c>
      <c r="AP441">
        <v>29.935720844811755</v>
      </c>
      <c r="AR441" s="1">
        <v>40885</v>
      </c>
      <c r="AS441" s="1">
        <v>43458.41830740741</v>
      </c>
      <c r="AT441" s="1">
        <v>40265.50359818287</v>
      </c>
      <c r="AU441" s="1"/>
      <c r="AV441" s="1">
        <v>40265.504013194448</v>
      </c>
      <c r="AW441" s="1"/>
      <c r="AX441" s="1"/>
      <c r="BB441" s="2">
        <v>2</v>
      </c>
      <c r="BC441">
        <f t="shared" si="25"/>
        <v>31.303498492705582</v>
      </c>
      <c r="BD441">
        <v>139</v>
      </c>
      <c r="BE441">
        <v>4.0999999999999899</v>
      </c>
      <c r="BF441">
        <v>2.7999999999999901</v>
      </c>
      <c r="BG441">
        <v>11.5</v>
      </c>
      <c r="BH441">
        <v>273</v>
      </c>
      <c r="BI441">
        <v>2.3799999999999901</v>
      </c>
      <c r="BJ441">
        <v>9.0999999999999908</v>
      </c>
      <c r="BK441">
        <v>5.5</v>
      </c>
      <c r="BL441">
        <v>6.7</v>
      </c>
      <c r="BM441">
        <v>8</v>
      </c>
      <c r="BN441">
        <v>5.9</v>
      </c>
    </row>
    <row r="442" spans="1:66" x14ac:dyDescent="0.3">
      <c r="A442">
        <v>441</v>
      </c>
      <c r="B442" s="2" t="s">
        <v>430</v>
      </c>
      <c r="C442" s="2" t="s">
        <v>448</v>
      </c>
      <c r="D442">
        <v>85.897433120534899</v>
      </c>
      <c r="E442" s="3"/>
      <c r="F442" s="1">
        <v>45716.511805555558</v>
      </c>
      <c r="G442" s="1">
        <v>45529.704733796287</v>
      </c>
      <c r="H442" t="s">
        <v>17</v>
      </c>
      <c r="I442" t="s">
        <v>451</v>
      </c>
      <c r="J442" t="s">
        <v>453</v>
      </c>
      <c r="L442">
        <v>50</v>
      </c>
      <c r="M442" t="s">
        <v>15</v>
      </c>
      <c r="N442" t="s">
        <v>15</v>
      </c>
      <c r="O442" t="s">
        <v>25</v>
      </c>
      <c r="P442" t="s">
        <v>479</v>
      </c>
      <c r="Q442" t="s">
        <v>18</v>
      </c>
      <c r="S442" t="s">
        <v>451</v>
      </c>
      <c r="T442" t="s">
        <v>29</v>
      </c>
      <c r="V442" t="s">
        <v>451</v>
      </c>
      <c r="W442" t="s">
        <v>19</v>
      </c>
      <c r="X442" t="s">
        <v>15</v>
      </c>
      <c r="Y442">
        <v>6.0999999046325604</v>
      </c>
      <c r="Z442">
        <v>3.9900000095367401</v>
      </c>
      <c r="AA442">
        <v>1.40999996662139</v>
      </c>
      <c r="AB442">
        <v>0.89999997615814198</v>
      </c>
      <c r="AC442">
        <v>306.64480590820301</v>
      </c>
      <c r="AD442">
        <v>163</v>
      </c>
      <c r="AE442">
        <v>1</v>
      </c>
      <c r="AF442">
        <v>32</v>
      </c>
      <c r="AG442">
        <v>90</v>
      </c>
      <c r="AI442">
        <v>4.1599998474120996</v>
      </c>
      <c r="AJ442">
        <v>21.629999160766602</v>
      </c>
      <c r="AK442">
        <v>5.71000003814697</v>
      </c>
      <c r="AL442">
        <v>6.96000003814697</v>
      </c>
      <c r="AM442">
        <v>12.9300003051757</v>
      </c>
      <c r="AN442" t="s">
        <v>711</v>
      </c>
      <c r="AO442">
        <v>66</v>
      </c>
      <c r="AP442">
        <v>21.551020408163264</v>
      </c>
      <c r="AR442" s="1">
        <v>44073</v>
      </c>
      <c r="AS442" s="1">
        <v>43857.680548611112</v>
      </c>
      <c r="AT442" s="1">
        <v>45461.487303275462</v>
      </c>
      <c r="AU442" s="1">
        <v>43857.680548611112</v>
      </c>
      <c r="AV442" s="1"/>
      <c r="AW442" s="1"/>
      <c r="AX442" s="1"/>
      <c r="BA442">
        <v>91</v>
      </c>
      <c r="BB442" s="5">
        <v>0</v>
      </c>
      <c r="BC442">
        <f t="shared" si="25"/>
        <v>6.7751392950149834</v>
      </c>
      <c r="BD442">
        <v>145</v>
      </c>
      <c r="BE442">
        <v>4.5999999999999899</v>
      </c>
      <c r="BF442">
        <v>2.8999999999999901</v>
      </c>
      <c r="BG442">
        <v>10.8</v>
      </c>
      <c r="BH442">
        <v>164</v>
      </c>
      <c r="BI442">
        <v>7.32</v>
      </c>
      <c r="BJ442">
        <v>7.0999999999999899</v>
      </c>
      <c r="BK442">
        <v>5.0999999999999899</v>
      </c>
      <c r="BL442">
        <v>6.2999999999999901</v>
      </c>
      <c r="BM442">
        <v>35.840000000000003</v>
      </c>
      <c r="BN442">
        <v>5.5999999999999899</v>
      </c>
    </row>
    <row r="443" spans="1:66" x14ac:dyDescent="0.3">
      <c r="A443">
        <v>442</v>
      </c>
      <c r="B443" s="2" t="s">
        <v>430</v>
      </c>
      <c r="C443" s="2" t="s">
        <v>448</v>
      </c>
      <c r="D443">
        <v>87.302325581394896</v>
      </c>
      <c r="E443" s="3">
        <v>42267.78125</v>
      </c>
      <c r="F443" s="1">
        <v>41659</v>
      </c>
      <c r="G443" s="1">
        <v>41294.57167824074</v>
      </c>
      <c r="H443" t="s">
        <v>15</v>
      </c>
      <c r="I443" t="s">
        <v>15</v>
      </c>
      <c r="J443" t="s">
        <v>15</v>
      </c>
      <c r="L443">
        <v>60</v>
      </c>
      <c r="M443" t="s">
        <v>451</v>
      </c>
      <c r="N443" t="s">
        <v>451</v>
      </c>
      <c r="O443" t="s">
        <v>15</v>
      </c>
      <c r="P443" t="s">
        <v>75</v>
      </c>
      <c r="Q443" t="s">
        <v>451</v>
      </c>
      <c r="S443" t="s">
        <v>451</v>
      </c>
      <c r="T443" t="s">
        <v>23</v>
      </c>
      <c r="U443" t="s">
        <v>132</v>
      </c>
      <c r="V443" t="s">
        <v>451</v>
      </c>
      <c r="W443" t="s">
        <v>29</v>
      </c>
      <c r="X443" t="s">
        <v>87</v>
      </c>
      <c r="Y443">
        <v>4.4400000572204501</v>
      </c>
      <c r="Z443">
        <v>2.7999999523162802</v>
      </c>
      <c r="AA443">
        <v>1.0199999809265099</v>
      </c>
      <c r="AB443">
        <v>0.79000002145767201</v>
      </c>
      <c r="AC443">
        <v>130.90138244628901</v>
      </c>
      <c r="AD443">
        <v>82</v>
      </c>
      <c r="AE443">
        <v>1</v>
      </c>
      <c r="AF443">
        <v>59</v>
      </c>
      <c r="AG443">
        <v>144</v>
      </c>
      <c r="AH443">
        <v>7</v>
      </c>
      <c r="AI443">
        <v>6</v>
      </c>
      <c r="AJ443">
        <v>24</v>
      </c>
      <c r="AK443">
        <v>10</v>
      </c>
      <c r="AL443">
        <v>16</v>
      </c>
      <c r="AM443">
        <v>9</v>
      </c>
      <c r="AN443" t="s">
        <v>712</v>
      </c>
      <c r="AO443">
        <v>55</v>
      </c>
      <c r="AP443">
        <v>21.484375</v>
      </c>
      <c r="AR443" s="1">
        <v>40909</v>
      </c>
      <c r="AS443" s="1">
        <v>41260.696921990741</v>
      </c>
      <c r="AT443" s="1"/>
      <c r="AU443" s="1">
        <v>40650.660950844911</v>
      </c>
      <c r="AV443" s="1"/>
      <c r="AW443" s="1"/>
      <c r="AX443" s="1"/>
      <c r="AZ443">
        <v>119</v>
      </c>
      <c r="BA443">
        <v>68</v>
      </c>
      <c r="BB443" s="2">
        <v>3</v>
      </c>
      <c r="BC443">
        <f t="shared" si="25"/>
        <v>9.1489018087856078</v>
      </c>
      <c r="BD443">
        <v>142</v>
      </c>
      <c r="BE443">
        <v>3.72</v>
      </c>
      <c r="BF443">
        <v>3.2999999999999901</v>
      </c>
      <c r="BG443">
        <v>9.6999999999999904</v>
      </c>
      <c r="BH443">
        <v>237</v>
      </c>
      <c r="BI443">
        <v>4.4000000000000004</v>
      </c>
      <c r="BJ443">
        <v>8.0999999999999908</v>
      </c>
      <c r="BK443">
        <v>7.2</v>
      </c>
      <c r="BL443">
        <v>7.5</v>
      </c>
      <c r="BM443">
        <v>429.38</v>
      </c>
      <c r="BN443">
        <v>6.4</v>
      </c>
    </row>
    <row r="444" spans="1:66" x14ac:dyDescent="0.3">
      <c r="A444">
        <v>443</v>
      </c>
      <c r="B444" s="2" t="s">
        <v>430</v>
      </c>
      <c r="C444" s="2" t="s">
        <v>448</v>
      </c>
      <c r="D444">
        <v>71.863201094391002</v>
      </c>
      <c r="E444" s="3">
        <v>45248.961805555547</v>
      </c>
      <c r="F444" s="1">
        <v>43422</v>
      </c>
      <c r="G444" s="1">
        <v>43335.509525462963</v>
      </c>
      <c r="H444" t="s">
        <v>15</v>
      </c>
      <c r="I444" t="s">
        <v>78</v>
      </c>
      <c r="J444" t="s">
        <v>15</v>
      </c>
      <c r="L444">
        <v>60</v>
      </c>
      <c r="M444" t="s">
        <v>15</v>
      </c>
      <c r="N444" t="s">
        <v>15</v>
      </c>
      <c r="O444" t="s">
        <v>17</v>
      </c>
      <c r="P444" t="s">
        <v>75</v>
      </c>
      <c r="Q444" t="s">
        <v>19</v>
      </c>
      <c r="R444" t="s">
        <v>76</v>
      </c>
      <c r="S444" t="s">
        <v>451</v>
      </c>
      <c r="T444" t="s">
        <v>19</v>
      </c>
      <c r="V444" t="s">
        <v>451</v>
      </c>
      <c r="W444" t="s">
        <v>18</v>
      </c>
      <c r="X444" t="s">
        <v>15</v>
      </c>
      <c r="Y444">
        <v>5.1999998092651296</v>
      </c>
      <c r="Z444">
        <v>3</v>
      </c>
      <c r="AA444">
        <v>1.20000004768371</v>
      </c>
      <c r="AB444">
        <v>1.1000000238418499</v>
      </c>
      <c r="AC444">
        <v>234.61415100097599</v>
      </c>
      <c r="AD444">
        <v>128</v>
      </c>
      <c r="AE444">
        <v>1</v>
      </c>
      <c r="AF444">
        <v>33</v>
      </c>
      <c r="AG444">
        <v>106</v>
      </c>
      <c r="AH444">
        <v>7</v>
      </c>
      <c r="AI444">
        <v>7</v>
      </c>
      <c r="AJ444">
        <v>15.140000343322701</v>
      </c>
      <c r="AK444">
        <v>7</v>
      </c>
      <c r="AL444">
        <v>7</v>
      </c>
      <c r="AM444">
        <v>15.140000343322701</v>
      </c>
      <c r="AN444" t="s">
        <v>713</v>
      </c>
      <c r="AO444">
        <v>70</v>
      </c>
      <c r="AP444">
        <v>25.711662075298438</v>
      </c>
      <c r="AR444" s="1">
        <v>36526</v>
      </c>
      <c r="AS444" s="1">
        <v>41752.368514236106</v>
      </c>
      <c r="AT444" s="1"/>
      <c r="AU444" s="1">
        <v>42013.155396377311</v>
      </c>
      <c r="AV444" s="1"/>
      <c r="AW444" s="1">
        <v>42013.155396377311</v>
      </c>
      <c r="AX444" s="1"/>
      <c r="AZ444">
        <v>139</v>
      </c>
      <c r="BA444">
        <v>56</v>
      </c>
      <c r="BB444" s="2">
        <v>4</v>
      </c>
      <c r="BC444">
        <f t="shared" si="25"/>
        <v>12.989041185709803</v>
      </c>
      <c r="BD444">
        <v>135</v>
      </c>
      <c r="BE444">
        <v>3.7999999999999901</v>
      </c>
      <c r="BF444">
        <v>2.8999999999999901</v>
      </c>
      <c r="BH444">
        <v>157</v>
      </c>
      <c r="BI444">
        <v>5.0999999999999899</v>
      </c>
      <c r="BJ444">
        <v>8.6999999999999904</v>
      </c>
      <c r="BK444">
        <v>3.7999999999999901</v>
      </c>
      <c r="BL444">
        <v>6.0999999999999899</v>
      </c>
      <c r="BM444">
        <v>74.769999999999897</v>
      </c>
      <c r="BN444">
        <v>4.7</v>
      </c>
    </row>
    <row r="445" spans="1:66" x14ac:dyDescent="0.3">
      <c r="A445">
        <v>444</v>
      </c>
      <c r="B445" s="2" t="s">
        <v>430</v>
      </c>
      <c r="C445" s="2" t="s">
        <v>448</v>
      </c>
      <c r="D445">
        <v>71.545827633377897</v>
      </c>
      <c r="E445" s="3">
        <v>41371</v>
      </c>
      <c r="F445" s="1">
        <v>41347</v>
      </c>
      <c r="G445" s="1">
        <v>41099.326539351852</v>
      </c>
      <c r="H445" t="s">
        <v>15</v>
      </c>
      <c r="I445" t="s">
        <v>451</v>
      </c>
      <c r="J445" t="s">
        <v>15</v>
      </c>
      <c r="L445">
        <v>55</v>
      </c>
      <c r="M445" t="s">
        <v>17</v>
      </c>
      <c r="N445" t="s">
        <v>15</v>
      </c>
      <c r="O445" t="s">
        <v>25</v>
      </c>
      <c r="P445" t="s">
        <v>75</v>
      </c>
      <c r="Q445" t="s">
        <v>451</v>
      </c>
      <c r="R445" t="s">
        <v>493</v>
      </c>
      <c r="S445" t="s">
        <v>137</v>
      </c>
      <c r="T445" t="s">
        <v>19</v>
      </c>
      <c r="V445" t="s">
        <v>451</v>
      </c>
      <c r="W445" t="s">
        <v>26</v>
      </c>
      <c r="X445" t="s">
        <v>15</v>
      </c>
      <c r="Y445">
        <v>4.1999998092651296</v>
      </c>
      <c r="Z445">
        <v>2.5</v>
      </c>
      <c r="AA445">
        <v>0.89999997615814198</v>
      </c>
      <c r="AB445">
        <v>0.80000001192092796</v>
      </c>
      <c r="AC445">
        <v>109.834114074707</v>
      </c>
      <c r="AE445">
        <v>1</v>
      </c>
      <c r="AF445">
        <v>31</v>
      </c>
      <c r="AN445" t="s">
        <v>714</v>
      </c>
      <c r="AS445" s="1">
        <v>41344.801817395833</v>
      </c>
      <c r="AT445" s="1">
        <v>40469.662976967593</v>
      </c>
      <c r="AU445" s="1">
        <v>40469.662976967593</v>
      </c>
      <c r="AV445" s="1">
        <v>41344.731212152779</v>
      </c>
      <c r="AW445" s="1"/>
      <c r="AX445" s="1"/>
      <c r="BB445" s="5">
        <v>0</v>
      </c>
      <c r="BC445">
        <v>8.8000000000000007</v>
      </c>
      <c r="BD445">
        <v>128</v>
      </c>
      <c r="BE445">
        <v>5.9</v>
      </c>
      <c r="BF445">
        <v>2.7999999999999901</v>
      </c>
      <c r="BG445">
        <v>10.3</v>
      </c>
      <c r="BH445">
        <v>251</v>
      </c>
      <c r="BI445">
        <v>6.6799999999999899</v>
      </c>
      <c r="BJ445">
        <v>7.2</v>
      </c>
      <c r="BK445">
        <v>9.5</v>
      </c>
      <c r="BL445">
        <v>14.1</v>
      </c>
      <c r="BM445">
        <v>27.059999999999899</v>
      </c>
    </row>
    <row r="446" spans="1:66" x14ac:dyDescent="0.3">
      <c r="A446">
        <v>445</v>
      </c>
      <c r="B446" s="2" t="s">
        <v>430</v>
      </c>
      <c r="C446" s="2" t="s">
        <v>448</v>
      </c>
      <c r="D446">
        <v>87.480164158685994</v>
      </c>
      <c r="E446" s="3">
        <v>43793.322916666657</v>
      </c>
      <c r="F446" s="1">
        <v>43298</v>
      </c>
      <c r="G446" s="1">
        <v>43179.46292824074</v>
      </c>
      <c r="H446" t="s">
        <v>15</v>
      </c>
      <c r="I446" t="s">
        <v>78</v>
      </c>
      <c r="J446" t="s">
        <v>15</v>
      </c>
      <c r="L446">
        <v>60</v>
      </c>
      <c r="M446" t="s">
        <v>451</v>
      </c>
      <c r="N446" t="s">
        <v>451</v>
      </c>
      <c r="O446" t="s">
        <v>25</v>
      </c>
      <c r="P446" t="s">
        <v>75</v>
      </c>
      <c r="Q446" t="s">
        <v>19</v>
      </c>
      <c r="R446" t="s">
        <v>102</v>
      </c>
      <c r="S446" t="s">
        <v>75</v>
      </c>
      <c r="T446" t="s">
        <v>19</v>
      </c>
      <c r="U446" t="s">
        <v>147</v>
      </c>
      <c r="V446" t="s">
        <v>451</v>
      </c>
      <c r="W446" t="s">
        <v>19</v>
      </c>
      <c r="X446" t="s">
        <v>15</v>
      </c>
      <c r="Y446">
        <v>4.8099999427795401</v>
      </c>
      <c r="Z446">
        <v>2.8299999237060498</v>
      </c>
      <c r="AA446">
        <v>1.41999995708465</v>
      </c>
      <c r="AB446">
        <v>0.99000000953674305</v>
      </c>
      <c r="AC446">
        <v>221.14855957031199</v>
      </c>
      <c r="AD446">
        <v>115</v>
      </c>
      <c r="AE446">
        <v>1</v>
      </c>
      <c r="AF446">
        <v>27</v>
      </c>
      <c r="AG446">
        <v>141</v>
      </c>
      <c r="AH446">
        <v>5.6599998474120996</v>
      </c>
      <c r="AI446">
        <v>5.7699999809265101</v>
      </c>
      <c r="AJ446">
        <v>24.440000534057599</v>
      </c>
      <c r="AK446">
        <v>7.6199998855590803</v>
      </c>
      <c r="AL446">
        <v>6.7399997711181596</v>
      </c>
      <c r="AM446">
        <v>20.920000076293899</v>
      </c>
      <c r="AN446" t="s">
        <v>715</v>
      </c>
      <c r="AO446">
        <v>79</v>
      </c>
      <c r="AP446">
        <v>27.335640138408305</v>
      </c>
      <c r="AS446" s="1"/>
      <c r="AT446" s="1">
        <v>43191.896708599539</v>
      </c>
      <c r="AU446" s="1">
        <v>43178.132229826391</v>
      </c>
      <c r="AV446" s="1"/>
      <c r="AW446" s="1"/>
      <c r="AX446" s="1"/>
      <c r="BB446" s="2">
        <v>1</v>
      </c>
      <c r="BC446">
        <f t="shared" ref="BC446:BC465" si="26">(140-D446)*AO446/(72*BI446)</f>
        <v>12.834283071838053</v>
      </c>
      <c r="BD446">
        <v>136</v>
      </c>
      <c r="BE446">
        <v>3.8999999999999901</v>
      </c>
      <c r="BF446">
        <v>3.2999999999999901</v>
      </c>
      <c r="BG446">
        <v>9.0999999999999908</v>
      </c>
      <c r="BH446">
        <v>338</v>
      </c>
      <c r="BI446">
        <v>4.49</v>
      </c>
      <c r="BJ446">
        <v>8.8000000000000007</v>
      </c>
      <c r="BK446">
        <v>7.7999999999999901</v>
      </c>
      <c r="BL446">
        <v>11.3</v>
      </c>
      <c r="BM446">
        <v>6.3399999999999901</v>
      </c>
      <c r="BN446">
        <v>5.2</v>
      </c>
    </row>
    <row r="447" spans="1:66" x14ac:dyDescent="0.3">
      <c r="A447">
        <v>446</v>
      </c>
      <c r="B447" s="2" t="s">
        <v>430</v>
      </c>
      <c r="C447" s="2" t="s">
        <v>448</v>
      </c>
      <c r="D447">
        <v>74.508891928864003</v>
      </c>
      <c r="E447" s="3"/>
      <c r="F447" s="1">
        <v>45132</v>
      </c>
      <c r="G447" s="1">
        <v>45120.50712962963</v>
      </c>
      <c r="H447" t="s">
        <v>17</v>
      </c>
      <c r="I447" t="s">
        <v>78</v>
      </c>
      <c r="J447" t="s">
        <v>30</v>
      </c>
      <c r="L447">
        <v>32</v>
      </c>
      <c r="M447" t="s">
        <v>451</v>
      </c>
      <c r="N447" t="s">
        <v>451</v>
      </c>
      <c r="O447" t="s">
        <v>17</v>
      </c>
      <c r="P447" t="s">
        <v>75</v>
      </c>
      <c r="Q447" t="s">
        <v>451</v>
      </c>
      <c r="R447" t="s">
        <v>483</v>
      </c>
      <c r="S447" t="s">
        <v>451</v>
      </c>
      <c r="T447" t="s">
        <v>19</v>
      </c>
      <c r="V447" t="s">
        <v>451</v>
      </c>
      <c r="W447" t="s">
        <v>23</v>
      </c>
      <c r="X447" t="s">
        <v>87</v>
      </c>
      <c r="Y447">
        <v>5.5999999046325604</v>
      </c>
      <c r="Z447">
        <v>4.4400000572204501</v>
      </c>
      <c r="AA447">
        <v>1.21000003814697</v>
      </c>
      <c r="AB447">
        <v>0.77999997138976995</v>
      </c>
      <c r="AC447">
        <v>218.27572631835901</v>
      </c>
      <c r="AD447">
        <v>124</v>
      </c>
      <c r="AE447">
        <v>1.9400000572204501</v>
      </c>
      <c r="AF447">
        <v>52</v>
      </c>
      <c r="AG447">
        <v>92.099998474120994</v>
      </c>
      <c r="AI447">
        <v>6.1999998092651296</v>
      </c>
      <c r="AJ447">
        <v>14.8500003814697</v>
      </c>
      <c r="AK447">
        <v>4.9299998283386204</v>
      </c>
      <c r="AL447">
        <v>5.42000007629394</v>
      </c>
      <c r="AM447">
        <v>16.9899997711181</v>
      </c>
      <c r="AN447" t="s">
        <v>716</v>
      </c>
      <c r="AO447">
        <v>63</v>
      </c>
      <c r="AP447">
        <v>20.808561236623067</v>
      </c>
      <c r="AQ447" s="1">
        <v>42005</v>
      </c>
      <c r="AS447" s="1">
        <v>41959.629185185193</v>
      </c>
      <c r="AT447" s="1"/>
      <c r="AU447" s="1">
        <v>41959.774668090278</v>
      </c>
      <c r="AV447" s="1">
        <v>41959.774668090278</v>
      </c>
      <c r="AW447" s="1">
        <v>45055.703289004632</v>
      </c>
      <c r="AX447" s="1"/>
      <c r="BA447">
        <v>72</v>
      </c>
      <c r="BB447" s="2">
        <v>5</v>
      </c>
      <c r="BC447">
        <f t="shared" si="26"/>
        <v>9.778962382635493</v>
      </c>
      <c r="BD447">
        <v>136</v>
      </c>
      <c r="BE447">
        <v>4</v>
      </c>
      <c r="BF447">
        <v>3.1</v>
      </c>
      <c r="BG447">
        <v>10.8</v>
      </c>
      <c r="BH447">
        <v>252</v>
      </c>
      <c r="BI447">
        <v>5.86</v>
      </c>
      <c r="BJ447">
        <v>9.1999999999999904</v>
      </c>
      <c r="BK447">
        <v>6.2</v>
      </c>
      <c r="BL447">
        <v>12.4</v>
      </c>
      <c r="BM447">
        <v>60.18</v>
      </c>
      <c r="BN447">
        <v>6.2</v>
      </c>
    </row>
    <row r="448" spans="1:66" x14ac:dyDescent="0.3">
      <c r="A448">
        <v>447</v>
      </c>
      <c r="B448" s="2" t="s">
        <v>430</v>
      </c>
      <c r="C448" s="2" t="s">
        <v>448</v>
      </c>
      <c r="D448">
        <v>71.272229822160895</v>
      </c>
      <c r="E448" s="3"/>
      <c r="F448" s="1">
        <v>44314</v>
      </c>
      <c r="G448" s="1">
        <v>44326.600057870368</v>
      </c>
      <c r="H448" t="s">
        <v>17</v>
      </c>
      <c r="I448" t="s">
        <v>15</v>
      </c>
      <c r="J448" t="s">
        <v>14</v>
      </c>
      <c r="L448">
        <v>45</v>
      </c>
      <c r="M448" t="s">
        <v>451</v>
      </c>
      <c r="N448" t="s">
        <v>451</v>
      </c>
      <c r="O448" t="s">
        <v>17</v>
      </c>
      <c r="P448" t="s">
        <v>75</v>
      </c>
      <c r="Q448" t="s">
        <v>18</v>
      </c>
      <c r="S448" t="s">
        <v>451</v>
      </c>
      <c r="T448" t="s">
        <v>19</v>
      </c>
      <c r="U448" t="s">
        <v>96</v>
      </c>
      <c r="V448" t="s">
        <v>451</v>
      </c>
      <c r="W448" t="s">
        <v>18</v>
      </c>
      <c r="X448" t="s">
        <v>78</v>
      </c>
      <c r="Y448">
        <v>5.9000000953674299</v>
      </c>
      <c r="Z448">
        <v>4.5999999046325604</v>
      </c>
      <c r="AA448">
        <v>1</v>
      </c>
      <c r="AB448">
        <v>0.80000001192092796</v>
      </c>
      <c r="AC448">
        <v>209.560134887695</v>
      </c>
      <c r="AD448">
        <v>95</v>
      </c>
      <c r="AE448">
        <v>1.62000000476837</v>
      </c>
      <c r="AF448">
        <v>36</v>
      </c>
      <c r="AH448">
        <v>4.6799998283386204</v>
      </c>
      <c r="AI448">
        <v>4.3499999046325604</v>
      </c>
      <c r="AK448">
        <v>7.4000000953674299</v>
      </c>
      <c r="AL448">
        <v>7.2899999618530202</v>
      </c>
      <c r="AN448" t="s">
        <v>717</v>
      </c>
      <c r="AO448">
        <v>101</v>
      </c>
      <c r="AP448">
        <v>29.510591672753833</v>
      </c>
      <c r="AR448" s="1">
        <v>44327</v>
      </c>
      <c r="AS448" s="1"/>
      <c r="AT448" s="1"/>
      <c r="AU448" s="1">
        <v>42220.464349618058</v>
      </c>
      <c r="AV448" s="1">
        <v>43720.823342094911</v>
      </c>
      <c r="AW448" s="1"/>
      <c r="AX448" s="1"/>
      <c r="BB448" s="2">
        <v>3</v>
      </c>
      <c r="BC448">
        <f t="shared" si="26"/>
        <v>14.432603102049567</v>
      </c>
      <c r="BD448">
        <v>139</v>
      </c>
      <c r="BE448">
        <v>5</v>
      </c>
      <c r="BF448">
        <v>3.2</v>
      </c>
      <c r="BG448">
        <v>12.1999999999999</v>
      </c>
      <c r="BH448">
        <v>120</v>
      </c>
      <c r="BI448">
        <v>6.6799999999999899</v>
      </c>
      <c r="BJ448">
        <v>8.1999999999999904</v>
      </c>
      <c r="BK448">
        <v>5.2</v>
      </c>
      <c r="BL448">
        <v>6.7999999999999901</v>
      </c>
      <c r="BM448">
        <v>109.33</v>
      </c>
      <c r="BN448">
        <v>4.9000000000000004</v>
      </c>
    </row>
    <row r="449" spans="1:66" x14ac:dyDescent="0.3">
      <c r="A449">
        <v>448</v>
      </c>
      <c r="B449" s="2" t="s">
        <v>430</v>
      </c>
      <c r="C449" s="2" t="s">
        <v>449</v>
      </c>
      <c r="D449">
        <v>77.563273293812898</v>
      </c>
      <c r="E449" s="3">
        <v>42214</v>
      </c>
      <c r="F449" s="1">
        <v>41227.376388888893</v>
      </c>
      <c r="G449" s="1">
        <v>41224.560243055559</v>
      </c>
      <c r="H449" t="s">
        <v>17</v>
      </c>
      <c r="I449" t="s">
        <v>78</v>
      </c>
      <c r="J449" t="s">
        <v>35</v>
      </c>
      <c r="K449" t="s">
        <v>460</v>
      </c>
      <c r="L449">
        <v>20</v>
      </c>
      <c r="M449" t="s">
        <v>451</v>
      </c>
      <c r="N449" t="s">
        <v>451</v>
      </c>
      <c r="O449" t="s">
        <v>17</v>
      </c>
      <c r="P449" t="s">
        <v>75</v>
      </c>
      <c r="Q449" t="s">
        <v>19</v>
      </c>
      <c r="S449" t="s">
        <v>451</v>
      </c>
      <c r="T449" t="s">
        <v>26</v>
      </c>
      <c r="U449" t="s">
        <v>96</v>
      </c>
      <c r="V449" t="s">
        <v>451</v>
      </c>
      <c r="W449" t="s">
        <v>19</v>
      </c>
      <c r="X449" t="s">
        <v>87</v>
      </c>
      <c r="Y449">
        <v>5.6999998092651296</v>
      </c>
      <c r="Z449">
        <v>4.5599999427795401</v>
      </c>
      <c r="AA449">
        <v>1.29999995231628</v>
      </c>
      <c r="AB449">
        <v>1.1000000238418499</v>
      </c>
      <c r="AC449">
        <v>288.67834472656199</v>
      </c>
      <c r="AD449">
        <v>194</v>
      </c>
      <c r="AE449">
        <v>1</v>
      </c>
      <c r="AF449">
        <v>53</v>
      </c>
      <c r="AG449">
        <v>71.269996643066406</v>
      </c>
      <c r="AH449">
        <v>6</v>
      </c>
      <c r="AI449">
        <v>3</v>
      </c>
      <c r="AJ449">
        <v>23.7600002288818</v>
      </c>
      <c r="AK449">
        <v>5</v>
      </c>
      <c r="AL449">
        <v>5</v>
      </c>
      <c r="AM449">
        <v>14.25</v>
      </c>
      <c r="AN449" t="s">
        <v>718</v>
      </c>
      <c r="AO449">
        <v>70</v>
      </c>
      <c r="AP449">
        <v>27.34375</v>
      </c>
      <c r="AS449" s="1"/>
      <c r="AT449" s="1"/>
      <c r="AU449" s="1">
        <v>41221.436687002322</v>
      </c>
      <c r="AV449" s="1"/>
      <c r="AW449" s="1">
        <v>41221.436687002322</v>
      </c>
      <c r="AX449" s="1"/>
      <c r="BB449" s="2">
        <v>1</v>
      </c>
      <c r="BC449">
        <f t="shared" si="26"/>
        <v>10.484002277473367</v>
      </c>
      <c r="BD449">
        <v>136</v>
      </c>
      <c r="BE449">
        <v>4.2</v>
      </c>
      <c r="BF449">
        <v>3.2999999999999901</v>
      </c>
      <c r="BG449">
        <v>9</v>
      </c>
      <c r="BH449">
        <v>337</v>
      </c>
      <c r="BI449">
        <v>5.79</v>
      </c>
      <c r="BJ449">
        <v>7.9</v>
      </c>
      <c r="BK449">
        <v>7.5</v>
      </c>
      <c r="BL449">
        <v>9.1999999999999904</v>
      </c>
      <c r="BM449">
        <v>83.25</v>
      </c>
      <c r="BN449">
        <v>5.7</v>
      </c>
    </row>
    <row r="450" spans="1:66" x14ac:dyDescent="0.3">
      <c r="A450">
        <v>449</v>
      </c>
      <c r="B450" s="2" t="s">
        <v>430</v>
      </c>
      <c r="C450" s="2" t="s">
        <v>448</v>
      </c>
      <c r="D450">
        <v>82.599179206566006</v>
      </c>
      <c r="E450" s="3">
        <v>43569.083333333343</v>
      </c>
      <c r="F450" s="1">
        <v>43340</v>
      </c>
      <c r="G450" s="1">
        <v>43244.417696759258</v>
      </c>
      <c r="H450" t="s">
        <v>15</v>
      </c>
      <c r="I450" t="s">
        <v>78</v>
      </c>
      <c r="J450" t="s">
        <v>15</v>
      </c>
      <c r="L450">
        <v>60</v>
      </c>
      <c r="M450" t="s">
        <v>15</v>
      </c>
      <c r="N450" t="s">
        <v>15</v>
      </c>
      <c r="O450" t="s">
        <v>17</v>
      </c>
      <c r="P450" t="s">
        <v>75</v>
      </c>
      <c r="Q450" t="s">
        <v>18</v>
      </c>
      <c r="S450" t="s">
        <v>451</v>
      </c>
      <c r="T450" t="s">
        <v>19</v>
      </c>
      <c r="V450" t="s">
        <v>451</v>
      </c>
      <c r="W450" t="s">
        <v>19</v>
      </c>
      <c r="X450" t="s">
        <v>78</v>
      </c>
      <c r="Y450">
        <v>5.25</v>
      </c>
      <c r="Z450">
        <v>3.8099999427795401</v>
      </c>
      <c r="AA450">
        <v>1.2400000095367401</v>
      </c>
      <c r="AB450">
        <v>0.86000001430511397</v>
      </c>
      <c r="AC450">
        <v>210.56539916992099</v>
      </c>
      <c r="AD450">
        <v>112</v>
      </c>
      <c r="AE450">
        <v>1</v>
      </c>
      <c r="AF450">
        <v>47</v>
      </c>
      <c r="AG450">
        <v>73.199996948242102</v>
      </c>
      <c r="AH450">
        <v>7.5100002288818297</v>
      </c>
      <c r="AI450">
        <v>11.5</v>
      </c>
      <c r="AJ450">
        <v>6.3699998855590803</v>
      </c>
      <c r="AK450">
        <v>8.2700004577636701</v>
      </c>
      <c r="AL450">
        <v>16.5</v>
      </c>
      <c r="AM450">
        <v>4.4400000572204501</v>
      </c>
      <c r="AN450" t="s">
        <v>719</v>
      </c>
      <c r="AO450">
        <v>81.099999999999895</v>
      </c>
      <c r="AP450">
        <v>29.788797061524299</v>
      </c>
      <c r="AS450" s="1"/>
      <c r="AT450" s="1"/>
      <c r="AU450" s="1">
        <v>42587.293462187503</v>
      </c>
      <c r="AV450" s="1">
        <v>42587.293462187503</v>
      </c>
      <c r="AW450" s="1"/>
      <c r="AX450" s="1"/>
      <c r="AZ450">
        <v>137</v>
      </c>
      <c r="BA450">
        <v>69</v>
      </c>
      <c r="BB450" s="2">
        <v>5</v>
      </c>
      <c r="BC450">
        <f t="shared" si="26"/>
        <v>8.1123772590748242</v>
      </c>
      <c r="BD450">
        <v>139</v>
      </c>
      <c r="BE450">
        <v>4.2</v>
      </c>
      <c r="BF450">
        <v>3.6</v>
      </c>
      <c r="BH450">
        <v>207</v>
      </c>
      <c r="BI450">
        <v>7.96999999999999</v>
      </c>
      <c r="BJ450">
        <v>8.0999999999999908</v>
      </c>
      <c r="BK450">
        <v>7.25</v>
      </c>
      <c r="BL450">
        <v>6</v>
      </c>
      <c r="BM450">
        <v>23.1299999999999</v>
      </c>
      <c r="BN450">
        <v>5.4</v>
      </c>
    </row>
    <row r="451" spans="1:66" x14ac:dyDescent="0.3">
      <c r="A451">
        <v>450</v>
      </c>
      <c r="B451" s="2" t="s">
        <v>430</v>
      </c>
      <c r="C451" s="2" t="s">
        <v>448</v>
      </c>
      <c r="D451">
        <v>72.752393980847899</v>
      </c>
      <c r="E451" s="3">
        <v>42601.708333333343</v>
      </c>
      <c r="F451" s="1">
        <v>42298</v>
      </c>
      <c r="G451" s="1">
        <v>42011.462083333332</v>
      </c>
      <c r="H451" t="s">
        <v>15</v>
      </c>
      <c r="I451" t="s">
        <v>78</v>
      </c>
      <c r="J451" t="s">
        <v>35</v>
      </c>
      <c r="L451">
        <v>29</v>
      </c>
      <c r="M451" t="s">
        <v>451</v>
      </c>
      <c r="N451" t="s">
        <v>451</v>
      </c>
      <c r="O451" t="s">
        <v>17</v>
      </c>
      <c r="P451" t="s">
        <v>75</v>
      </c>
      <c r="Q451" t="s">
        <v>451</v>
      </c>
      <c r="S451" t="s">
        <v>451</v>
      </c>
      <c r="T451" t="s">
        <v>451</v>
      </c>
      <c r="U451" t="s">
        <v>132</v>
      </c>
      <c r="V451" t="s">
        <v>451</v>
      </c>
      <c r="W451" t="s">
        <v>19</v>
      </c>
      <c r="X451" t="s">
        <v>78</v>
      </c>
      <c r="Y451">
        <v>5.5199999809265101</v>
      </c>
      <c r="Z451">
        <v>4.4000000953674299</v>
      </c>
      <c r="AA451">
        <v>1.20000004768371</v>
      </c>
      <c r="AB451">
        <v>1.2300000190734801</v>
      </c>
      <c r="AC451">
        <v>278.70703125</v>
      </c>
      <c r="AD451">
        <v>156</v>
      </c>
      <c r="AE451">
        <v>1</v>
      </c>
      <c r="AF451">
        <v>39</v>
      </c>
      <c r="AG451">
        <v>78.599998474120994</v>
      </c>
      <c r="AH451">
        <v>5</v>
      </c>
      <c r="AI451">
        <v>4</v>
      </c>
      <c r="AJ451">
        <v>19.649999618530199</v>
      </c>
      <c r="AK451">
        <v>6</v>
      </c>
      <c r="AL451">
        <v>7</v>
      </c>
      <c r="AM451">
        <v>11.2299995422363</v>
      </c>
      <c r="AN451" t="s">
        <v>720</v>
      </c>
      <c r="AO451">
        <v>58</v>
      </c>
      <c r="AP451">
        <v>18.938775510204081</v>
      </c>
      <c r="AQ451" s="1">
        <v>40289</v>
      </c>
      <c r="AS451" s="1">
        <v>40314.388407210638</v>
      </c>
      <c r="AT451" s="1"/>
      <c r="AU451" s="1">
        <v>39889.408401817127</v>
      </c>
      <c r="AV451" s="1">
        <v>39889.408328738427</v>
      </c>
      <c r="AW451" s="1">
        <v>40314.369082094912</v>
      </c>
      <c r="AX451" s="1"/>
      <c r="AZ451">
        <v>100</v>
      </c>
      <c r="BA451">
        <v>59</v>
      </c>
      <c r="BB451" s="5">
        <v>0</v>
      </c>
      <c r="BC451">
        <f t="shared" si="26"/>
        <v>14.181068750402966</v>
      </c>
      <c r="BD451">
        <v>132</v>
      </c>
      <c r="BE451">
        <v>5.7999999999999901</v>
      </c>
      <c r="BF451">
        <v>3</v>
      </c>
      <c r="BG451">
        <v>10.9</v>
      </c>
      <c r="BH451">
        <v>151</v>
      </c>
      <c r="BI451">
        <v>3.8199999999999901</v>
      </c>
      <c r="BJ451">
        <v>7.7999999999999901</v>
      </c>
      <c r="BK451">
        <v>8.4</v>
      </c>
      <c r="BL451">
        <v>10.6999999999999</v>
      </c>
      <c r="BM451">
        <v>8.0099999999999891</v>
      </c>
      <c r="BN451">
        <v>5.5</v>
      </c>
    </row>
    <row r="452" spans="1:66" x14ac:dyDescent="0.3">
      <c r="A452">
        <v>451</v>
      </c>
      <c r="B452" s="2" t="s">
        <v>430</v>
      </c>
      <c r="C452" s="2" t="s">
        <v>448</v>
      </c>
      <c r="D452">
        <v>78.435020519835007</v>
      </c>
      <c r="E452" s="3">
        <v>43229.444444444453</v>
      </c>
      <c r="F452" s="1">
        <v>42549</v>
      </c>
      <c r="G452" s="1">
        <v>42185.42324074074</v>
      </c>
      <c r="H452" t="s">
        <v>15</v>
      </c>
      <c r="I452" t="s">
        <v>133</v>
      </c>
      <c r="J452" t="s">
        <v>28</v>
      </c>
      <c r="K452" t="s">
        <v>464</v>
      </c>
      <c r="L452">
        <v>38</v>
      </c>
      <c r="M452" t="s">
        <v>451</v>
      </c>
      <c r="N452" t="s">
        <v>451</v>
      </c>
      <c r="O452" t="s">
        <v>15</v>
      </c>
      <c r="P452" t="s">
        <v>451</v>
      </c>
      <c r="Q452" t="s">
        <v>451</v>
      </c>
      <c r="S452" t="s">
        <v>451</v>
      </c>
      <c r="T452" t="s">
        <v>19</v>
      </c>
      <c r="V452" t="s">
        <v>451</v>
      </c>
      <c r="W452" t="s">
        <v>18</v>
      </c>
      <c r="X452" t="s">
        <v>15</v>
      </c>
      <c r="Y452">
        <v>4.9000000953674299</v>
      </c>
      <c r="Z452">
        <v>3.9000000953674299</v>
      </c>
      <c r="AA452">
        <v>1.29999995231628</v>
      </c>
      <c r="AB452">
        <v>1</v>
      </c>
      <c r="AC452">
        <v>213.25836181640599</v>
      </c>
      <c r="AD452">
        <v>114</v>
      </c>
      <c r="AE452">
        <v>1.6900000572204501</v>
      </c>
      <c r="AF452">
        <v>27</v>
      </c>
      <c r="AG452">
        <v>47.400001525878899</v>
      </c>
      <c r="AH452">
        <v>12</v>
      </c>
      <c r="AI452">
        <v>11</v>
      </c>
      <c r="AJ452">
        <v>4.3099999427795401</v>
      </c>
      <c r="AK452">
        <v>9</v>
      </c>
      <c r="AL452">
        <v>6</v>
      </c>
      <c r="AM452">
        <v>7.9000000953674299</v>
      </c>
      <c r="AN452" t="s">
        <v>721</v>
      </c>
      <c r="AO452">
        <v>75</v>
      </c>
      <c r="AP452">
        <v>28.577960676726107</v>
      </c>
      <c r="AQ452" s="1">
        <v>40596</v>
      </c>
      <c r="AS452" s="1">
        <v>40357.263756053238</v>
      </c>
      <c r="AT452" s="1">
        <v>42180.797938854157</v>
      </c>
      <c r="AU452" s="1">
        <v>40124.262577118046</v>
      </c>
      <c r="AV452" s="1">
        <v>40124.262181678241</v>
      </c>
      <c r="AW452" s="1">
        <v>42306.626091238417</v>
      </c>
      <c r="AX452" s="1"/>
      <c r="AY452" t="s">
        <v>21</v>
      </c>
      <c r="AZ452">
        <v>127</v>
      </c>
      <c r="BA452">
        <v>69</v>
      </c>
      <c r="BB452" s="2">
        <v>3</v>
      </c>
      <c r="BC452">
        <f t="shared" si="26"/>
        <v>9.9119299781306491</v>
      </c>
      <c r="BD452">
        <v>125</v>
      </c>
      <c r="BE452">
        <v>4.5</v>
      </c>
      <c r="BF452">
        <v>3.7</v>
      </c>
      <c r="BG452">
        <v>9.1999999999999904</v>
      </c>
      <c r="BH452">
        <v>275</v>
      </c>
      <c r="BI452">
        <v>6.46999999999999</v>
      </c>
      <c r="BJ452">
        <v>8.8000000000000007</v>
      </c>
      <c r="BK452">
        <v>9</v>
      </c>
      <c r="BL452">
        <v>13.4</v>
      </c>
      <c r="BM452">
        <v>121.39</v>
      </c>
      <c r="BN452">
        <v>8.4</v>
      </c>
    </row>
    <row r="453" spans="1:66" x14ac:dyDescent="0.3">
      <c r="A453">
        <v>452</v>
      </c>
      <c r="B453" s="2" t="s">
        <v>430</v>
      </c>
      <c r="C453" s="2" t="s">
        <v>448</v>
      </c>
      <c r="D453">
        <v>78.801641586867007</v>
      </c>
      <c r="E453" s="3">
        <v>43229.444444444453</v>
      </c>
      <c r="F453" s="1">
        <v>43048</v>
      </c>
      <c r="G453" s="1">
        <v>43044.425335648149</v>
      </c>
      <c r="H453" t="s">
        <v>17</v>
      </c>
      <c r="I453" t="s">
        <v>15</v>
      </c>
      <c r="J453" t="s">
        <v>14</v>
      </c>
      <c r="L453">
        <v>45</v>
      </c>
      <c r="M453" t="s">
        <v>451</v>
      </c>
      <c r="N453" t="s">
        <v>451</v>
      </c>
      <c r="O453" t="s">
        <v>25</v>
      </c>
      <c r="P453" t="s">
        <v>75</v>
      </c>
      <c r="Q453" t="s">
        <v>29</v>
      </c>
      <c r="S453" t="s">
        <v>451</v>
      </c>
      <c r="T453" t="s">
        <v>29</v>
      </c>
      <c r="V453" t="s">
        <v>451</v>
      </c>
      <c r="W453" t="s">
        <v>19</v>
      </c>
      <c r="X453" t="s">
        <v>15</v>
      </c>
      <c r="Y453">
        <v>6</v>
      </c>
      <c r="Z453">
        <v>5.5</v>
      </c>
      <c r="AA453">
        <v>1.1000000238418499</v>
      </c>
      <c r="AB453">
        <v>1.20000004768371</v>
      </c>
      <c r="AC453">
        <v>296.61477661132801</v>
      </c>
      <c r="AD453">
        <v>159</v>
      </c>
      <c r="AE453">
        <v>1.5</v>
      </c>
      <c r="AF453">
        <v>34</v>
      </c>
      <c r="AG453">
        <v>131</v>
      </c>
      <c r="AN453" t="s">
        <v>722</v>
      </c>
      <c r="AO453">
        <v>73.5</v>
      </c>
      <c r="AP453">
        <v>24.558120886097097</v>
      </c>
      <c r="AR453" s="1">
        <v>43042</v>
      </c>
      <c r="AS453" s="1">
        <v>43042.935205590278</v>
      </c>
      <c r="AT453" s="1">
        <v>43042.935205590278</v>
      </c>
      <c r="AU453" s="1">
        <v>43015.016807638887</v>
      </c>
      <c r="AV453" s="1">
        <v>43042.935205590278</v>
      </c>
      <c r="AW453" s="1"/>
      <c r="AX453" s="1"/>
      <c r="AZ453">
        <v>153</v>
      </c>
      <c r="BA453">
        <v>62</v>
      </c>
      <c r="BB453" s="2">
        <v>3</v>
      </c>
      <c r="BC453">
        <f t="shared" si="26"/>
        <v>16.01880108036071</v>
      </c>
      <c r="BD453">
        <v>142</v>
      </c>
      <c r="BE453">
        <v>3.2999999999999901</v>
      </c>
      <c r="BF453">
        <v>3.3999999999999901</v>
      </c>
      <c r="BG453">
        <v>10.4</v>
      </c>
      <c r="BH453">
        <v>163</v>
      </c>
      <c r="BI453">
        <v>3.8999999999999901</v>
      </c>
      <c r="BJ453">
        <v>9.3000000000000007</v>
      </c>
      <c r="BK453">
        <v>4.2999999999999901</v>
      </c>
      <c r="BL453">
        <v>13.1999999999999</v>
      </c>
      <c r="BM453">
        <v>10.14</v>
      </c>
      <c r="BN453">
        <v>6.0999999999999899</v>
      </c>
    </row>
    <row r="454" spans="1:66" x14ac:dyDescent="0.3">
      <c r="A454">
        <v>453</v>
      </c>
      <c r="B454" s="2" t="s">
        <v>430</v>
      </c>
      <c r="C454" s="2" t="s">
        <v>449</v>
      </c>
      <c r="D454">
        <v>84.6238030095749</v>
      </c>
      <c r="E454" s="3">
        <v>45495.048611111109</v>
      </c>
      <c r="F454" s="1">
        <v>44154</v>
      </c>
      <c r="G454" s="1">
        <v>43866.495266203703</v>
      </c>
      <c r="H454" t="s">
        <v>15</v>
      </c>
      <c r="I454" t="s">
        <v>15</v>
      </c>
      <c r="J454" t="s">
        <v>30</v>
      </c>
      <c r="L454">
        <v>30</v>
      </c>
      <c r="M454" t="s">
        <v>451</v>
      </c>
      <c r="N454" t="s">
        <v>451</v>
      </c>
      <c r="O454" t="s">
        <v>17</v>
      </c>
      <c r="P454" t="s">
        <v>75</v>
      </c>
      <c r="S454" t="s">
        <v>451</v>
      </c>
      <c r="T454" t="s">
        <v>23</v>
      </c>
      <c r="V454" t="s">
        <v>451</v>
      </c>
      <c r="W454" t="s">
        <v>19</v>
      </c>
      <c r="X454" t="s">
        <v>90</v>
      </c>
      <c r="Y454">
        <v>4.8000001907348597</v>
      </c>
      <c r="Z454">
        <v>4.0999999046325604</v>
      </c>
      <c r="AA454">
        <v>1</v>
      </c>
      <c r="AB454">
        <v>0.69999998807907104</v>
      </c>
      <c r="AC454">
        <v>137.07545471191401</v>
      </c>
      <c r="AD454">
        <v>82</v>
      </c>
      <c r="AE454">
        <v>2.0599999427795401</v>
      </c>
      <c r="AF454">
        <v>60</v>
      </c>
      <c r="AG454">
        <v>117</v>
      </c>
      <c r="AH454">
        <v>2.4000000953674299</v>
      </c>
      <c r="AI454">
        <v>2.70000004768371</v>
      </c>
      <c r="AJ454">
        <v>43.330001831054602</v>
      </c>
      <c r="AK454">
        <v>3.7999999523162802</v>
      </c>
      <c r="AL454">
        <v>4.0999999046325604</v>
      </c>
      <c r="AM454">
        <v>28.540000915527301</v>
      </c>
      <c r="AN454" t="s">
        <v>723</v>
      </c>
      <c r="AO454">
        <v>66.799999999999898</v>
      </c>
      <c r="AP454">
        <v>27.80437044745053</v>
      </c>
      <c r="AR454" s="1">
        <v>38353</v>
      </c>
      <c r="AS454" s="1">
        <v>43111.423771215283</v>
      </c>
      <c r="AT454" s="1">
        <v>44146.312024039347</v>
      </c>
      <c r="AU454" s="1">
        <v>41892.920732951388</v>
      </c>
      <c r="AV454" s="1">
        <v>41892.920732951388</v>
      </c>
      <c r="AW454" s="1">
        <v>41892.920732951388</v>
      </c>
      <c r="AX454" s="1"/>
      <c r="AZ454">
        <v>150</v>
      </c>
      <c r="BA454">
        <v>62</v>
      </c>
      <c r="BB454" s="2">
        <v>7</v>
      </c>
      <c r="BC454">
        <f t="shared" si="26"/>
        <v>12.379953008568911</v>
      </c>
      <c r="BD454">
        <v>130</v>
      </c>
      <c r="BE454">
        <v>4.7999999999999901</v>
      </c>
      <c r="BF454">
        <v>3.7</v>
      </c>
      <c r="BG454">
        <v>7.5999999999999899</v>
      </c>
      <c r="BH454">
        <v>175</v>
      </c>
      <c r="BI454">
        <v>4.1500000000000004</v>
      </c>
      <c r="BJ454">
        <v>9.0999999999999908</v>
      </c>
      <c r="BK454">
        <v>8</v>
      </c>
      <c r="BL454">
        <v>11.9</v>
      </c>
      <c r="BM454">
        <v>138.56</v>
      </c>
      <c r="BN454">
        <v>6.5999999999999899</v>
      </c>
    </row>
    <row r="455" spans="1:66" x14ac:dyDescent="0.3">
      <c r="A455">
        <v>454</v>
      </c>
      <c r="B455" s="2" t="s">
        <v>434</v>
      </c>
      <c r="C455" s="2" t="s">
        <v>448</v>
      </c>
      <c r="D455">
        <v>79.1901504787959</v>
      </c>
      <c r="E455" s="3">
        <v>45256</v>
      </c>
      <c r="F455" s="1">
        <v>44286</v>
      </c>
      <c r="G455" s="1">
        <v>44266.547430555547</v>
      </c>
      <c r="H455" t="s">
        <v>15</v>
      </c>
      <c r="I455" t="s">
        <v>78</v>
      </c>
      <c r="J455" t="s">
        <v>15</v>
      </c>
      <c r="L455">
        <v>60</v>
      </c>
      <c r="M455" t="s">
        <v>451</v>
      </c>
      <c r="N455" t="s">
        <v>451</v>
      </c>
      <c r="O455" t="s">
        <v>25</v>
      </c>
      <c r="P455" t="s">
        <v>75</v>
      </c>
      <c r="Q455" t="s">
        <v>451</v>
      </c>
      <c r="S455" t="s">
        <v>451</v>
      </c>
      <c r="T455" t="s">
        <v>19</v>
      </c>
      <c r="U455" t="s">
        <v>147</v>
      </c>
      <c r="V455" t="s">
        <v>451</v>
      </c>
      <c r="W455" t="s">
        <v>23</v>
      </c>
      <c r="X455" t="s">
        <v>87</v>
      </c>
      <c r="Y455">
        <v>5</v>
      </c>
      <c r="Z455">
        <v>3.20000004768371</v>
      </c>
      <c r="AA455">
        <v>1.29999995231628</v>
      </c>
      <c r="AB455">
        <v>1.29999995231628</v>
      </c>
      <c r="AC455">
        <v>261.828033447265</v>
      </c>
      <c r="AD455">
        <v>124</v>
      </c>
      <c r="AE455">
        <v>1</v>
      </c>
      <c r="AF455">
        <v>59</v>
      </c>
      <c r="AG455">
        <v>163</v>
      </c>
      <c r="AH455">
        <v>6.0900001525878897</v>
      </c>
      <c r="AI455">
        <v>3.70000004768371</v>
      </c>
      <c r="AJ455">
        <v>44.049999237060497</v>
      </c>
      <c r="AK455">
        <v>6.6399998664855904</v>
      </c>
      <c r="AL455">
        <v>5.6599998474120996</v>
      </c>
      <c r="AM455">
        <v>28.799999237060501</v>
      </c>
      <c r="AN455" t="s">
        <v>724</v>
      </c>
      <c r="AO455">
        <v>95.5</v>
      </c>
      <c r="AP455">
        <v>36.389269928364577</v>
      </c>
      <c r="AS455" s="1">
        <v>44266.143221030092</v>
      </c>
      <c r="AT455" s="1"/>
      <c r="AU455" s="1">
        <v>40107.592774189812</v>
      </c>
      <c r="AV455" s="1">
        <v>40107.592614699082</v>
      </c>
      <c r="AW455" s="1">
        <v>44266.143221030092</v>
      </c>
      <c r="AX455" s="1"/>
      <c r="BB455" s="2">
        <v>1</v>
      </c>
      <c r="BC455">
        <f t="shared" si="26"/>
        <v>18.889346309117244</v>
      </c>
      <c r="BD455">
        <v>136</v>
      </c>
      <c r="BE455">
        <v>4.5999999999999899</v>
      </c>
      <c r="BF455">
        <v>3.5</v>
      </c>
      <c r="BG455">
        <v>9</v>
      </c>
      <c r="BH455">
        <v>128</v>
      </c>
      <c r="BI455">
        <v>4.2699999999999898</v>
      </c>
      <c r="BJ455">
        <v>8.3000000000000007</v>
      </c>
      <c r="BK455">
        <v>5.2</v>
      </c>
      <c r="BL455">
        <v>8.6999999999999904</v>
      </c>
      <c r="BM455">
        <v>48.439999999999898</v>
      </c>
      <c r="BN455">
        <v>5.4</v>
      </c>
    </row>
    <row r="456" spans="1:66" x14ac:dyDescent="0.3">
      <c r="A456">
        <v>455</v>
      </c>
      <c r="B456" s="2" t="s">
        <v>430</v>
      </c>
      <c r="C456" s="2" t="s">
        <v>448</v>
      </c>
      <c r="D456">
        <v>87.105335157317896</v>
      </c>
      <c r="E456" s="3">
        <v>44715.03125</v>
      </c>
      <c r="F456" s="1">
        <v>44431</v>
      </c>
      <c r="G456" s="1">
        <v>44284.455000000002</v>
      </c>
      <c r="H456" t="s">
        <v>451</v>
      </c>
      <c r="I456" t="s">
        <v>451</v>
      </c>
      <c r="J456" t="s">
        <v>451</v>
      </c>
      <c r="K456" t="s">
        <v>74</v>
      </c>
      <c r="L456">
        <v>50</v>
      </c>
      <c r="M456" t="s">
        <v>451</v>
      </c>
      <c r="N456" t="s">
        <v>451</v>
      </c>
      <c r="O456" t="s">
        <v>15</v>
      </c>
      <c r="P456" t="s">
        <v>75</v>
      </c>
      <c r="Q456" t="s">
        <v>18</v>
      </c>
      <c r="S456" t="s">
        <v>451</v>
      </c>
      <c r="T456" t="s">
        <v>18</v>
      </c>
      <c r="V456" t="s">
        <v>451</v>
      </c>
      <c r="W456" t="s">
        <v>18</v>
      </c>
      <c r="X456" t="s">
        <v>15</v>
      </c>
      <c r="Y456">
        <v>5.4000000953674299</v>
      </c>
      <c r="Z456">
        <v>3.7999999523162802</v>
      </c>
      <c r="AA456">
        <v>1.1000000238418499</v>
      </c>
      <c r="AB456">
        <v>0.69999998807907104</v>
      </c>
      <c r="AC456">
        <v>180.13229370117099</v>
      </c>
      <c r="AD456">
        <v>104</v>
      </c>
      <c r="AE456">
        <v>1</v>
      </c>
      <c r="AF456">
        <v>31</v>
      </c>
      <c r="AG456">
        <v>58.799999237060497</v>
      </c>
      <c r="AH456">
        <v>5.5500001907348597</v>
      </c>
      <c r="AI456">
        <v>3.3699998855590798</v>
      </c>
      <c r="AJ456">
        <v>17.4500007629394</v>
      </c>
      <c r="AK456">
        <v>4.7899999618530202</v>
      </c>
      <c r="AL456">
        <v>4.13000011444091</v>
      </c>
      <c r="AM456">
        <v>14.2399997711181</v>
      </c>
      <c r="AN456" t="s">
        <v>725</v>
      </c>
      <c r="AO456">
        <v>51</v>
      </c>
      <c r="AP456">
        <v>22.666666666666668</v>
      </c>
      <c r="AS456" s="1">
        <v>44286.614308564807</v>
      </c>
      <c r="AT456" s="1"/>
      <c r="AU456" s="1">
        <v>43880.807463043981</v>
      </c>
      <c r="AV456" s="1"/>
      <c r="AW456" s="1"/>
      <c r="AX456" s="1"/>
      <c r="AZ456">
        <v>158</v>
      </c>
      <c r="BA456">
        <v>60</v>
      </c>
      <c r="BB456" s="2">
        <v>6</v>
      </c>
      <c r="BC456">
        <f t="shared" si="26"/>
        <v>8.3445555152709332</v>
      </c>
      <c r="BD456">
        <v>137</v>
      </c>
      <c r="BE456">
        <v>4.9000000000000004</v>
      </c>
      <c r="BF456">
        <v>3.2999999999999901</v>
      </c>
      <c r="BG456">
        <v>10.3</v>
      </c>
      <c r="BH456">
        <v>160</v>
      </c>
      <c r="BI456">
        <v>4.49</v>
      </c>
      <c r="BJ456">
        <v>8.6999999999999904</v>
      </c>
      <c r="BK456">
        <v>4.0999999999999899</v>
      </c>
      <c r="BL456">
        <v>9.3000000000000007</v>
      </c>
      <c r="BM456">
        <v>17.850000000000001</v>
      </c>
      <c r="BN456">
        <v>5.0999999999999899</v>
      </c>
    </row>
    <row r="457" spans="1:66" x14ac:dyDescent="0.3">
      <c r="A457">
        <v>456</v>
      </c>
      <c r="B457" s="2" t="s">
        <v>430</v>
      </c>
      <c r="C457" s="2" t="s">
        <v>448</v>
      </c>
      <c r="D457">
        <v>87.493844049247102</v>
      </c>
      <c r="E457" s="3">
        <v>42302.399305555547</v>
      </c>
      <c r="F457" s="1">
        <v>42207</v>
      </c>
      <c r="G457" s="1">
        <v>41863.482847222222</v>
      </c>
      <c r="H457" t="s">
        <v>31</v>
      </c>
      <c r="I457" t="s">
        <v>15</v>
      </c>
      <c r="J457" t="s">
        <v>30</v>
      </c>
      <c r="L457">
        <v>30</v>
      </c>
      <c r="M457" t="s">
        <v>79</v>
      </c>
      <c r="N457" t="s">
        <v>451</v>
      </c>
      <c r="O457" t="s">
        <v>25</v>
      </c>
      <c r="P457" t="s">
        <v>75</v>
      </c>
      <c r="Q457" t="s">
        <v>23</v>
      </c>
      <c r="R457" t="s">
        <v>481</v>
      </c>
      <c r="S457" t="s">
        <v>451</v>
      </c>
      <c r="T457" t="s">
        <v>34</v>
      </c>
      <c r="U457" t="s">
        <v>96</v>
      </c>
      <c r="V457" t="s">
        <v>451</v>
      </c>
      <c r="W457" t="s">
        <v>23</v>
      </c>
      <c r="X457" t="s">
        <v>90</v>
      </c>
      <c r="Y457">
        <v>6.9000000953674299</v>
      </c>
      <c r="Z457">
        <v>5.6500000953674299</v>
      </c>
      <c r="AA457">
        <v>0.95999997854232699</v>
      </c>
      <c r="AB457">
        <v>0.89999997615814198</v>
      </c>
      <c r="AC457">
        <v>286.56869506835898</v>
      </c>
      <c r="AD457">
        <v>153</v>
      </c>
      <c r="AE457">
        <v>2.4400000572204501</v>
      </c>
      <c r="AF457">
        <v>60</v>
      </c>
      <c r="AG457">
        <v>137.75</v>
      </c>
      <c r="AH457">
        <v>6.4000000953674299</v>
      </c>
      <c r="AI457">
        <v>5.5</v>
      </c>
      <c r="AJ457">
        <v>25.049999237060501</v>
      </c>
      <c r="AK457">
        <v>4.5</v>
      </c>
      <c r="AL457">
        <v>6.4000000953674299</v>
      </c>
      <c r="AM457">
        <v>21.520000457763601</v>
      </c>
      <c r="AN457" t="s">
        <v>726</v>
      </c>
      <c r="AO457">
        <v>72</v>
      </c>
      <c r="AP457">
        <v>24.913494809688579</v>
      </c>
      <c r="AS457" s="1"/>
      <c r="AT457" s="1"/>
      <c r="AU457" s="1"/>
      <c r="AV457" s="1"/>
      <c r="AW457" s="1">
        <v>40379.624565428239</v>
      </c>
      <c r="AX457" s="1"/>
      <c r="BB457" s="5">
        <v>0</v>
      </c>
      <c r="BC457">
        <f t="shared" si="26"/>
        <v>11.616406183794915</v>
      </c>
      <c r="BD457">
        <v>137</v>
      </c>
      <c r="BE457">
        <v>4.2</v>
      </c>
      <c r="BF457">
        <v>3</v>
      </c>
      <c r="BG457">
        <v>11.1999999999999</v>
      </c>
      <c r="BH457">
        <v>217</v>
      </c>
      <c r="BI457">
        <v>4.5199999999999898</v>
      </c>
      <c r="BJ457">
        <v>8.4</v>
      </c>
      <c r="BK457">
        <v>5.0999999999999899</v>
      </c>
      <c r="BL457">
        <v>13.8</v>
      </c>
      <c r="BM457">
        <v>70.409999999999897</v>
      </c>
      <c r="BN457">
        <v>5</v>
      </c>
    </row>
    <row r="458" spans="1:66" x14ac:dyDescent="0.3">
      <c r="A458">
        <v>457</v>
      </c>
      <c r="B458" s="2" t="s">
        <v>430</v>
      </c>
      <c r="C458" s="2" t="s">
        <v>449</v>
      </c>
      <c r="D458">
        <v>78.196990424076006</v>
      </c>
      <c r="E458" s="3">
        <v>42995.46875</v>
      </c>
      <c r="F458" s="1">
        <v>42827</v>
      </c>
      <c r="G458" s="1">
        <v>42865.438900462963</v>
      </c>
      <c r="H458" t="s">
        <v>15</v>
      </c>
      <c r="I458" t="s">
        <v>451</v>
      </c>
      <c r="J458" t="s">
        <v>14</v>
      </c>
      <c r="K458" t="s">
        <v>139</v>
      </c>
      <c r="L458">
        <v>40</v>
      </c>
      <c r="M458" t="s">
        <v>451</v>
      </c>
      <c r="N458" t="s">
        <v>451</v>
      </c>
      <c r="O458" t="s">
        <v>17</v>
      </c>
      <c r="P458" t="s">
        <v>75</v>
      </c>
      <c r="Q458" t="s">
        <v>451</v>
      </c>
      <c r="S458" t="s">
        <v>451</v>
      </c>
      <c r="T458" t="s">
        <v>451</v>
      </c>
      <c r="V458" t="s">
        <v>451</v>
      </c>
      <c r="W458" t="s">
        <v>18</v>
      </c>
      <c r="X458" t="s">
        <v>15</v>
      </c>
      <c r="Y458">
        <v>4.5</v>
      </c>
      <c r="Z458">
        <v>3.0999999046325599</v>
      </c>
      <c r="AA458">
        <v>1.29999995231628</v>
      </c>
      <c r="AB458">
        <v>1</v>
      </c>
      <c r="AC458">
        <v>186.39141845703099</v>
      </c>
      <c r="AD458">
        <v>99</v>
      </c>
      <c r="AE458">
        <v>1</v>
      </c>
      <c r="AF458">
        <v>30</v>
      </c>
      <c r="AG458">
        <v>124</v>
      </c>
      <c r="AH458">
        <v>2</v>
      </c>
      <c r="AI458">
        <v>3</v>
      </c>
      <c r="AJ458">
        <v>41.330001831054602</v>
      </c>
      <c r="AK458">
        <v>8</v>
      </c>
      <c r="AL458">
        <v>6</v>
      </c>
      <c r="AM458">
        <v>20.670000076293899</v>
      </c>
      <c r="AN458" t="s">
        <v>727</v>
      </c>
      <c r="AO458">
        <v>80</v>
      </c>
      <c r="AP458">
        <v>31.25</v>
      </c>
      <c r="AQ458" s="1">
        <v>38718</v>
      </c>
      <c r="AR458" s="1">
        <v>38718</v>
      </c>
      <c r="AS458" s="1">
        <v>40365.650451886577</v>
      </c>
      <c r="AT458" s="1"/>
      <c r="AU458" s="1">
        <v>42300.786273958343</v>
      </c>
      <c r="AV458" s="1">
        <v>40365.652569594909</v>
      </c>
      <c r="AW458" s="1"/>
      <c r="AX458" s="1"/>
      <c r="AZ458">
        <v>133</v>
      </c>
      <c r="BA458">
        <v>63</v>
      </c>
      <c r="BB458" s="5">
        <v>0</v>
      </c>
      <c r="BC458">
        <f t="shared" si="26"/>
        <v>11.599663959445213</v>
      </c>
      <c r="BD458">
        <v>136</v>
      </c>
      <c r="BE458">
        <v>5.0999999999999899</v>
      </c>
      <c r="BF458">
        <v>2</v>
      </c>
      <c r="BG458">
        <v>9.0999999999999908</v>
      </c>
      <c r="BH458">
        <v>167</v>
      </c>
      <c r="BI458">
        <v>5.9199999999999902</v>
      </c>
      <c r="BJ458">
        <v>7.0999999999999899</v>
      </c>
      <c r="BK458">
        <v>3.2</v>
      </c>
      <c r="BL458">
        <v>4.7</v>
      </c>
      <c r="BM458">
        <v>136.27000000000001</v>
      </c>
      <c r="BN458">
        <v>7.4</v>
      </c>
    </row>
    <row r="459" spans="1:66" x14ac:dyDescent="0.3">
      <c r="A459">
        <v>458</v>
      </c>
      <c r="B459" s="2" t="s">
        <v>430</v>
      </c>
      <c r="C459" s="2" t="s">
        <v>449</v>
      </c>
      <c r="D459">
        <v>79.362517099862899</v>
      </c>
      <c r="E459" s="3">
        <v>41981.723611111112</v>
      </c>
      <c r="F459" s="1">
        <v>41793</v>
      </c>
      <c r="G459" s="1">
        <v>41751.419178240743</v>
      </c>
      <c r="H459" t="s">
        <v>15</v>
      </c>
      <c r="I459" t="s">
        <v>451</v>
      </c>
      <c r="J459" t="s">
        <v>22</v>
      </c>
      <c r="K459" t="s">
        <v>454</v>
      </c>
      <c r="L459">
        <v>40</v>
      </c>
      <c r="M459" t="s">
        <v>451</v>
      </c>
      <c r="N459" t="s">
        <v>451</v>
      </c>
      <c r="O459" t="s">
        <v>17</v>
      </c>
      <c r="P459" t="s">
        <v>75</v>
      </c>
      <c r="Q459" t="s">
        <v>18</v>
      </c>
      <c r="S459" t="s">
        <v>75</v>
      </c>
      <c r="T459" t="s">
        <v>19</v>
      </c>
      <c r="U459" t="s">
        <v>520</v>
      </c>
      <c r="V459" t="s">
        <v>451</v>
      </c>
      <c r="W459" t="s">
        <v>19</v>
      </c>
      <c r="X459" t="s">
        <v>15</v>
      </c>
      <c r="Y459">
        <v>5.42000007629394</v>
      </c>
      <c r="Z459">
        <v>3.5</v>
      </c>
      <c r="AA459">
        <v>1.33000004291534</v>
      </c>
      <c r="AB459">
        <v>1.03999996185302</v>
      </c>
      <c r="AC459">
        <v>261.43954467773398</v>
      </c>
      <c r="AD459">
        <v>151</v>
      </c>
      <c r="AE459">
        <v>1.6900000572204501</v>
      </c>
      <c r="AF459">
        <v>32</v>
      </c>
      <c r="AG459">
        <v>92.5</v>
      </c>
      <c r="AH459">
        <v>3</v>
      </c>
      <c r="AI459">
        <v>3</v>
      </c>
      <c r="AJ459">
        <v>30.829999923706001</v>
      </c>
      <c r="AK459">
        <v>5</v>
      </c>
      <c r="AL459">
        <v>4</v>
      </c>
      <c r="AM459">
        <v>23.120000839233299</v>
      </c>
      <c r="AN459" t="s">
        <v>728</v>
      </c>
      <c r="AO459">
        <v>72</v>
      </c>
      <c r="AP459">
        <v>25.510204081632651</v>
      </c>
      <c r="AQ459" s="1">
        <v>40179</v>
      </c>
      <c r="AS459" s="1">
        <v>40245.581310613423</v>
      </c>
      <c r="AT459" s="1">
        <v>41767.524657870374</v>
      </c>
      <c r="AU459" s="1">
        <v>40150.28597971065</v>
      </c>
      <c r="AV459" s="1"/>
      <c r="AW459" s="1"/>
      <c r="AX459" s="1"/>
      <c r="AZ459">
        <v>177</v>
      </c>
      <c r="BA459">
        <v>75</v>
      </c>
      <c r="BB459" s="2">
        <v>2</v>
      </c>
      <c r="BC459">
        <f t="shared" si="26"/>
        <v>9.9732702138383402</v>
      </c>
      <c r="BD459">
        <v>141</v>
      </c>
      <c r="BE459">
        <v>3.7</v>
      </c>
      <c r="BF459">
        <v>2.2000000000000002</v>
      </c>
      <c r="BG459">
        <v>10.6</v>
      </c>
      <c r="BH459">
        <v>149</v>
      </c>
      <c r="BI459">
        <v>6.08</v>
      </c>
      <c r="BJ459">
        <v>7.5999999999999899</v>
      </c>
      <c r="BK459">
        <v>6.2</v>
      </c>
      <c r="BL459">
        <v>16.899999999999899</v>
      </c>
      <c r="BM459">
        <v>72.659999999999897</v>
      </c>
      <c r="BN459">
        <v>5.0999999999999899</v>
      </c>
    </row>
    <row r="460" spans="1:66" x14ac:dyDescent="0.3">
      <c r="A460">
        <v>459</v>
      </c>
      <c r="B460" s="2" t="s">
        <v>430</v>
      </c>
      <c r="C460" s="2" t="s">
        <v>449</v>
      </c>
      <c r="D460">
        <v>80.013679890559999</v>
      </c>
      <c r="E460" s="3">
        <v>45016.779166666667</v>
      </c>
      <c r="F460" s="1">
        <v>42761</v>
      </c>
      <c r="G460" s="1">
        <v>42745.452384259261</v>
      </c>
      <c r="H460" t="s">
        <v>15</v>
      </c>
      <c r="I460" t="s">
        <v>78</v>
      </c>
      <c r="J460" t="s">
        <v>15</v>
      </c>
      <c r="L460">
        <v>60</v>
      </c>
      <c r="M460" t="s">
        <v>451</v>
      </c>
      <c r="N460" t="s">
        <v>451</v>
      </c>
      <c r="O460" t="s">
        <v>17</v>
      </c>
      <c r="P460" t="s">
        <v>75</v>
      </c>
      <c r="Q460" t="s">
        <v>18</v>
      </c>
      <c r="R460" t="s">
        <v>102</v>
      </c>
      <c r="S460" t="s">
        <v>451</v>
      </c>
      <c r="T460" t="s">
        <v>19</v>
      </c>
      <c r="U460" t="s">
        <v>96</v>
      </c>
      <c r="V460" t="s">
        <v>451</v>
      </c>
      <c r="W460" t="s">
        <v>29</v>
      </c>
      <c r="X460" t="s">
        <v>78</v>
      </c>
      <c r="Y460">
        <v>4.4299998283386204</v>
      </c>
      <c r="Z460">
        <v>2.9300000667571999</v>
      </c>
      <c r="AA460">
        <v>1.2799999713897701</v>
      </c>
      <c r="AB460">
        <v>1</v>
      </c>
      <c r="AC460">
        <v>179.624267578125</v>
      </c>
      <c r="AD460">
        <v>106</v>
      </c>
      <c r="AE460">
        <v>1</v>
      </c>
      <c r="AF460">
        <v>47</v>
      </c>
      <c r="AG460">
        <v>103</v>
      </c>
      <c r="AH460">
        <v>4.7600002288818297</v>
      </c>
      <c r="AI460">
        <v>6.0199999809265101</v>
      </c>
      <c r="AJ460">
        <v>17.110000610351499</v>
      </c>
      <c r="AK460">
        <v>5.6799998283386204</v>
      </c>
      <c r="AL460">
        <v>6.5199999809265101</v>
      </c>
      <c r="AM460">
        <v>15.800000190734799</v>
      </c>
      <c r="AN460" t="s">
        <v>729</v>
      </c>
      <c r="AO460">
        <v>75</v>
      </c>
      <c r="AP460">
        <v>32.461911357340718</v>
      </c>
      <c r="AS460" s="1"/>
      <c r="AT460" s="1"/>
      <c r="AU460" s="1">
        <v>40142.63068263889</v>
      </c>
      <c r="AV460" s="1">
        <v>40142.630094641201</v>
      </c>
      <c r="AW460" s="1"/>
      <c r="AX460" s="1"/>
      <c r="AZ460">
        <v>126</v>
      </c>
      <c r="BA460">
        <v>64</v>
      </c>
      <c r="BB460" s="2">
        <v>1</v>
      </c>
      <c r="BC460">
        <f t="shared" si="26"/>
        <v>10.46662480971526</v>
      </c>
      <c r="BD460">
        <v>125</v>
      </c>
      <c r="BE460">
        <v>4.5</v>
      </c>
      <c r="BF460">
        <v>3.1</v>
      </c>
      <c r="BG460">
        <v>11.5</v>
      </c>
      <c r="BH460">
        <v>282</v>
      </c>
      <c r="BI460">
        <v>5.96999999999999</v>
      </c>
      <c r="BJ460">
        <v>7.4</v>
      </c>
      <c r="BK460">
        <v>10.6</v>
      </c>
      <c r="BL460">
        <v>13.1999999999999</v>
      </c>
      <c r="BM460">
        <v>30.44</v>
      </c>
      <c r="BN460">
        <v>5.2999999999999901</v>
      </c>
    </row>
    <row r="461" spans="1:66" x14ac:dyDescent="0.3">
      <c r="A461">
        <v>460</v>
      </c>
      <c r="B461" s="2" t="s">
        <v>434</v>
      </c>
      <c r="C461" s="2" t="s">
        <v>448</v>
      </c>
      <c r="D461">
        <v>68.292749658001895</v>
      </c>
      <c r="E461" s="3">
        <v>41290</v>
      </c>
      <c r="F461" s="1">
        <v>40993</v>
      </c>
      <c r="G461" s="1">
        <v>40989.61041666667</v>
      </c>
      <c r="H461" t="s">
        <v>31</v>
      </c>
      <c r="I461" t="s">
        <v>78</v>
      </c>
      <c r="J461" t="s">
        <v>35</v>
      </c>
      <c r="L461">
        <v>15</v>
      </c>
      <c r="M461" t="s">
        <v>79</v>
      </c>
      <c r="N461" t="s">
        <v>28</v>
      </c>
      <c r="O461" t="s">
        <v>25</v>
      </c>
      <c r="P461" t="s">
        <v>451</v>
      </c>
      <c r="Q461" t="s">
        <v>451</v>
      </c>
      <c r="S461" t="s">
        <v>451</v>
      </c>
      <c r="T461" t="s">
        <v>19</v>
      </c>
      <c r="U461" t="s">
        <v>272</v>
      </c>
      <c r="V461" t="s">
        <v>451</v>
      </c>
      <c r="W461" t="s">
        <v>29</v>
      </c>
      <c r="X461" t="s">
        <v>90</v>
      </c>
      <c r="Y461">
        <v>7.5</v>
      </c>
      <c r="Z461">
        <v>7.5</v>
      </c>
      <c r="AA461">
        <v>1.20000004768371</v>
      </c>
      <c r="AB461">
        <v>1</v>
      </c>
      <c r="AC461">
        <v>408.94393920898398</v>
      </c>
      <c r="AD461">
        <v>213</v>
      </c>
      <c r="AE461">
        <v>1</v>
      </c>
      <c r="AF461">
        <v>61</v>
      </c>
      <c r="AN461" t="s">
        <v>730</v>
      </c>
      <c r="AO461">
        <v>74</v>
      </c>
      <c r="AP461">
        <v>23.095409007209511</v>
      </c>
      <c r="AR461" s="1">
        <v>40442</v>
      </c>
      <c r="AS461" s="1">
        <v>40442.533689236108</v>
      </c>
      <c r="AT461" s="1"/>
      <c r="AU461" s="1"/>
      <c r="AV461" s="1"/>
      <c r="AW461" s="1">
        <v>40442.533689236108</v>
      </c>
      <c r="AX461" s="1">
        <v>40442.533689236108</v>
      </c>
      <c r="BB461" s="2">
        <v>6</v>
      </c>
      <c r="BC461">
        <f t="shared" si="26"/>
        <v>58.030801895317808</v>
      </c>
      <c r="BD461">
        <v>124</v>
      </c>
      <c r="BE461">
        <v>4.5999999999999899</v>
      </c>
      <c r="BF461">
        <v>3.1</v>
      </c>
      <c r="BG461">
        <v>13.4</v>
      </c>
      <c r="BH461">
        <v>115</v>
      </c>
      <c r="BI461">
        <v>1.27</v>
      </c>
      <c r="BJ461">
        <v>7.2999999999999901</v>
      </c>
      <c r="BK461">
        <v>3.3999999999999901</v>
      </c>
      <c r="BL461">
        <v>8.9</v>
      </c>
      <c r="BM461">
        <v>11.56</v>
      </c>
      <c r="BN461">
        <v>5.7999999999999901</v>
      </c>
    </row>
    <row r="462" spans="1:66" x14ac:dyDescent="0.3">
      <c r="A462">
        <v>461</v>
      </c>
      <c r="B462" s="2" t="s">
        <v>430</v>
      </c>
      <c r="C462" s="2" t="s">
        <v>448</v>
      </c>
      <c r="D462">
        <v>72.866584967319895</v>
      </c>
      <c r="E462" s="3">
        <v>43634.203472222223</v>
      </c>
      <c r="F462" s="1">
        <v>42704.736805555563</v>
      </c>
      <c r="G462" s="1">
        <v>42423.682453703703</v>
      </c>
      <c r="H462" t="s">
        <v>15</v>
      </c>
      <c r="I462" t="s">
        <v>78</v>
      </c>
      <c r="J462" t="s">
        <v>15</v>
      </c>
      <c r="L462">
        <v>60</v>
      </c>
      <c r="M462" t="s">
        <v>451</v>
      </c>
      <c r="N462" t="s">
        <v>451</v>
      </c>
      <c r="O462" t="s">
        <v>15</v>
      </c>
      <c r="P462" t="s">
        <v>75</v>
      </c>
      <c r="Q462" t="s">
        <v>451</v>
      </c>
      <c r="S462" t="s">
        <v>451</v>
      </c>
      <c r="T462" t="s">
        <v>451</v>
      </c>
      <c r="V462" t="s">
        <v>451</v>
      </c>
      <c r="W462" t="s">
        <v>19</v>
      </c>
      <c r="X462" t="s">
        <v>15</v>
      </c>
      <c r="Y462">
        <v>4.5900001525878897</v>
      </c>
      <c r="Z462">
        <v>2.5899999141693102</v>
      </c>
      <c r="AA462">
        <v>1.21000003814697</v>
      </c>
      <c r="AB462">
        <v>1.0599999427795399</v>
      </c>
      <c r="AC462">
        <v>188.737060546875</v>
      </c>
      <c r="AD462">
        <v>85</v>
      </c>
      <c r="AE462">
        <v>1</v>
      </c>
      <c r="AF462">
        <v>29</v>
      </c>
      <c r="AG462">
        <v>54.299999237060497</v>
      </c>
      <c r="AH462">
        <v>8.0500001907348597</v>
      </c>
      <c r="AI462">
        <v>6.3099999427795401</v>
      </c>
      <c r="AJ462">
        <v>8.6099996566772408</v>
      </c>
      <c r="AK462">
        <v>5.9800000190734801</v>
      </c>
      <c r="AL462">
        <v>8.8100004196166903</v>
      </c>
      <c r="AM462">
        <v>6.1599998474120996</v>
      </c>
      <c r="AN462" t="s">
        <v>731</v>
      </c>
      <c r="AO462">
        <v>103.7</v>
      </c>
      <c r="AP462">
        <v>33.861224489795916</v>
      </c>
      <c r="AS462" s="1"/>
      <c r="AT462" s="1">
        <v>42063.433410069447</v>
      </c>
      <c r="AU462" s="1">
        <v>40609.867773379628</v>
      </c>
      <c r="AV462" s="1">
        <v>40609.867773379628</v>
      </c>
      <c r="AW462" s="1">
        <v>40610.070336689823</v>
      </c>
      <c r="AX462" s="1">
        <v>40610.070336689823</v>
      </c>
      <c r="AZ462">
        <v>108</v>
      </c>
      <c r="BA462">
        <v>33</v>
      </c>
      <c r="BB462" s="2">
        <v>6</v>
      </c>
      <c r="BC462">
        <f t="shared" si="26"/>
        <v>11.691749192007482</v>
      </c>
      <c r="BD462">
        <v>142</v>
      </c>
      <c r="BE462">
        <v>4.7999999999999901</v>
      </c>
      <c r="BF462">
        <v>3.2999999999999901</v>
      </c>
      <c r="BG462">
        <v>9.4</v>
      </c>
      <c r="BH462">
        <v>191</v>
      </c>
      <c r="BI462">
        <v>8.2699999999999907</v>
      </c>
      <c r="BJ462">
        <v>7.0999999999999899</v>
      </c>
      <c r="BK462">
        <v>8.1999999999999904</v>
      </c>
      <c r="BL462">
        <v>9.6999999999999904</v>
      </c>
      <c r="BM462">
        <v>176.74</v>
      </c>
      <c r="BN462">
        <v>7.2999999999999901</v>
      </c>
    </row>
    <row r="463" spans="1:66" x14ac:dyDescent="0.3">
      <c r="A463">
        <v>462</v>
      </c>
      <c r="B463" s="2" t="s">
        <v>434</v>
      </c>
      <c r="C463" s="2" t="s">
        <v>449</v>
      </c>
      <c r="D463">
        <v>69.409028727769893</v>
      </c>
      <c r="E463" s="3">
        <v>44868</v>
      </c>
      <c r="F463" s="1">
        <v>43647</v>
      </c>
      <c r="G463" s="1">
        <v>43566.418402777781</v>
      </c>
      <c r="H463" t="s">
        <v>17</v>
      </c>
      <c r="I463" t="s">
        <v>78</v>
      </c>
      <c r="J463" t="s">
        <v>15</v>
      </c>
      <c r="L463">
        <v>60</v>
      </c>
      <c r="M463" t="s">
        <v>451</v>
      </c>
      <c r="N463" t="s">
        <v>451</v>
      </c>
      <c r="O463" t="s">
        <v>25</v>
      </c>
      <c r="P463" t="s">
        <v>75</v>
      </c>
      <c r="Q463" t="s">
        <v>19</v>
      </c>
      <c r="S463" t="s">
        <v>75</v>
      </c>
      <c r="T463" t="s">
        <v>19</v>
      </c>
      <c r="U463" t="s">
        <v>96</v>
      </c>
      <c r="V463" t="s">
        <v>451</v>
      </c>
      <c r="W463" t="s">
        <v>18</v>
      </c>
      <c r="X463" t="s">
        <v>15</v>
      </c>
      <c r="Y463">
        <v>5.6599998474120996</v>
      </c>
      <c r="Z463">
        <v>3.6400001049041699</v>
      </c>
      <c r="AA463">
        <v>1.12999999523162</v>
      </c>
      <c r="AB463">
        <v>1.1900000572204501</v>
      </c>
      <c r="AC463">
        <v>272.53762817382801</v>
      </c>
      <c r="AD463">
        <v>169</v>
      </c>
      <c r="AE463">
        <v>1</v>
      </c>
      <c r="AF463">
        <v>32</v>
      </c>
      <c r="AG463">
        <v>84.589996337890597</v>
      </c>
      <c r="AH463">
        <v>7</v>
      </c>
      <c r="AI463">
        <v>4</v>
      </c>
      <c r="AJ463">
        <v>21.149999618530199</v>
      </c>
      <c r="AK463">
        <v>5</v>
      </c>
      <c r="AL463">
        <v>3</v>
      </c>
      <c r="AM463">
        <v>28.2000007629394</v>
      </c>
      <c r="AN463" t="s">
        <v>732</v>
      </c>
      <c r="AO463">
        <v>60.5</v>
      </c>
      <c r="AP463">
        <v>23.6328125</v>
      </c>
      <c r="AS463" s="1"/>
      <c r="AT463" s="1"/>
      <c r="AU463" s="1">
        <v>42526.428433333327</v>
      </c>
      <c r="AV463" s="1">
        <v>42528.430580011584</v>
      </c>
      <c r="AW463" s="1"/>
      <c r="AX463" s="1">
        <v>42516.460285416673</v>
      </c>
      <c r="BB463" s="2">
        <v>7</v>
      </c>
      <c r="BC463">
        <f t="shared" si="26"/>
        <v>17.601194205283225</v>
      </c>
      <c r="BD463">
        <v>141</v>
      </c>
      <c r="BE463">
        <v>5.0999999999999899</v>
      </c>
      <c r="BF463">
        <v>3.2999999999999901</v>
      </c>
      <c r="BG463">
        <v>10.3</v>
      </c>
      <c r="BH463">
        <v>226</v>
      </c>
      <c r="BI463">
        <v>3.37</v>
      </c>
      <c r="BJ463">
        <v>7.7999999999999901</v>
      </c>
      <c r="BK463">
        <v>3.7999999999999901</v>
      </c>
      <c r="BL463">
        <v>13.4</v>
      </c>
      <c r="BM463">
        <v>5.79</v>
      </c>
      <c r="BN463">
        <v>5.0999999999999899</v>
      </c>
    </row>
    <row r="464" spans="1:66" x14ac:dyDescent="0.3">
      <c r="A464">
        <v>463</v>
      </c>
      <c r="B464" s="2" t="s">
        <v>434</v>
      </c>
      <c r="C464" s="2" t="s">
        <v>448</v>
      </c>
      <c r="D464">
        <v>72.601915184678006</v>
      </c>
      <c r="E464" s="3"/>
      <c r="F464" s="1">
        <v>45026</v>
      </c>
      <c r="G464" s="1">
        <v>45029.410879629628</v>
      </c>
      <c r="H464" t="s">
        <v>15</v>
      </c>
      <c r="I464" t="s">
        <v>15</v>
      </c>
      <c r="J464" t="s">
        <v>453</v>
      </c>
      <c r="L464">
        <v>50</v>
      </c>
      <c r="M464" t="s">
        <v>451</v>
      </c>
      <c r="N464" t="s">
        <v>451</v>
      </c>
      <c r="O464" t="s">
        <v>15</v>
      </c>
      <c r="P464" t="s">
        <v>75</v>
      </c>
      <c r="Q464" t="s">
        <v>451</v>
      </c>
      <c r="S464" t="s">
        <v>451</v>
      </c>
      <c r="T464" t="s">
        <v>19</v>
      </c>
      <c r="V464" t="s">
        <v>451</v>
      </c>
      <c r="W464" t="s">
        <v>451</v>
      </c>
      <c r="Y464">
        <v>4.8000001907348597</v>
      </c>
      <c r="Z464">
        <v>3.4000000953674299</v>
      </c>
      <c r="AA464">
        <v>1.0700000524520801</v>
      </c>
      <c r="AB464">
        <v>0.95999997854232699</v>
      </c>
      <c r="AC464">
        <v>173.67262268066401</v>
      </c>
      <c r="AD464">
        <v>86</v>
      </c>
      <c r="AE464">
        <v>1.25</v>
      </c>
      <c r="AG464">
        <v>44.099998474121001</v>
      </c>
      <c r="AI464">
        <v>8.1199998855590803</v>
      </c>
      <c r="AJ464">
        <v>5.4299998283386204</v>
      </c>
      <c r="AK464">
        <v>6.7699999809265101</v>
      </c>
      <c r="AL464">
        <v>7.5399999618530202</v>
      </c>
      <c r="AM464">
        <v>5.8499999046325604</v>
      </c>
      <c r="AN464" t="s">
        <v>733</v>
      </c>
      <c r="AO464">
        <v>81.400000000000006</v>
      </c>
      <c r="AP464">
        <v>24.306488697781365</v>
      </c>
      <c r="AS464" s="1">
        <v>44539.237373842603</v>
      </c>
      <c r="AT464" s="1"/>
      <c r="AU464" s="1">
        <v>44539.533062962961</v>
      </c>
      <c r="AV464" s="1">
        <v>44539.533062962961</v>
      </c>
      <c r="AW464" s="1"/>
      <c r="AX464" s="1"/>
      <c r="AY464" t="s">
        <v>21</v>
      </c>
      <c r="AZ464">
        <v>160</v>
      </c>
      <c r="BA464">
        <v>80</v>
      </c>
      <c r="BB464" s="2">
        <v>4</v>
      </c>
      <c r="BC464">
        <f t="shared" si="26"/>
        <v>10.642078103598717</v>
      </c>
      <c r="BD464">
        <v>138</v>
      </c>
      <c r="BE464">
        <v>3.5</v>
      </c>
      <c r="BF464">
        <v>3.6</v>
      </c>
      <c r="BG464">
        <v>9.8000000000000007</v>
      </c>
      <c r="BH464">
        <v>337</v>
      </c>
      <c r="BI464">
        <v>7.16</v>
      </c>
      <c r="BJ464">
        <v>8.8000000000000007</v>
      </c>
      <c r="BK464">
        <v>7.9</v>
      </c>
      <c r="BL464">
        <v>7.7</v>
      </c>
      <c r="BM464">
        <v>7.75999999999999</v>
      </c>
      <c r="BN464">
        <v>6</v>
      </c>
    </row>
    <row r="465" spans="1:66" x14ac:dyDescent="0.3">
      <c r="A465">
        <v>464</v>
      </c>
      <c r="B465" s="2" t="s">
        <v>434</v>
      </c>
      <c r="C465" s="2" t="s">
        <v>448</v>
      </c>
      <c r="D465">
        <v>66.768809849521006</v>
      </c>
      <c r="E465" s="3">
        <v>43435.206944444442</v>
      </c>
      <c r="F465" s="1">
        <v>42823</v>
      </c>
      <c r="G465" s="1">
        <v>42797.514074074083</v>
      </c>
      <c r="H465" t="s">
        <v>451</v>
      </c>
      <c r="I465" t="s">
        <v>451</v>
      </c>
      <c r="J465" t="s">
        <v>451</v>
      </c>
      <c r="K465" t="s">
        <v>74</v>
      </c>
      <c r="L465">
        <v>55</v>
      </c>
      <c r="M465" t="s">
        <v>451</v>
      </c>
      <c r="N465" t="s">
        <v>451</v>
      </c>
      <c r="O465" t="s">
        <v>25</v>
      </c>
      <c r="P465" t="s">
        <v>75</v>
      </c>
      <c r="Q465" t="s">
        <v>451</v>
      </c>
      <c r="R465" t="s">
        <v>102</v>
      </c>
      <c r="S465" t="s">
        <v>451</v>
      </c>
      <c r="T465" t="s">
        <v>23</v>
      </c>
      <c r="V465" t="s">
        <v>451</v>
      </c>
      <c r="W465" t="s">
        <v>451</v>
      </c>
      <c r="Y465">
        <v>5.0799999237060502</v>
      </c>
      <c r="Z465">
        <v>3.5599999427795401</v>
      </c>
      <c r="AA465">
        <v>1.12000000476837</v>
      </c>
      <c r="AB465">
        <v>0.93000000715255704</v>
      </c>
      <c r="AC465">
        <v>193.100326538085</v>
      </c>
      <c r="AD465">
        <v>112</v>
      </c>
      <c r="AE465">
        <v>1</v>
      </c>
      <c r="AG465">
        <v>107</v>
      </c>
      <c r="AH465">
        <v>8.0500001907348597</v>
      </c>
      <c r="AI465">
        <v>4.5700001716613698</v>
      </c>
      <c r="AJ465">
        <v>23.409999847412099</v>
      </c>
      <c r="AK465">
        <v>6.96000003814697</v>
      </c>
      <c r="AL465">
        <v>8.6999998092651296</v>
      </c>
      <c r="AM465">
        <v>12.300000190734799</v>
      </c>
      <c r="AN465" t="s">
        <v>734</v>
      </c>
      <c r="AO465">
        <v>64.599999999999895</v>
      </c>
      <c r="AP465">
        <v>22.352941176470555</v>
      </c>
      <c r="AS465" s="1"/>
      <c r="AT465" s="1"/>
      <c r="AU465" s="1">
        <v>40604.845257175934</v>
      </c>
      <c r="AV465" s="1"/>
      <c r="AW465" s="1"/>
      <c r="AX465" s="1"/>
      <c r="AY465" t="s">
        <v>21</v>
      </c>
      <c r="BB465" s="2">
        <v>4</v>
      </c>
      <c r="BC465">
        <f t="shared" si="26"/>
        <v>7.2361950619813626</v>
      </c>
      <c r="BD465">
        <v>127.2</v>
      </c>
      <c r="BE465">
        <v>4.9299999999999899</v>
      </c>
      <c r="BF465">
        <v>2.7999999999999901</v>
      </c>
      <c r="BG465">
        <v>9.1999999999999904</v>
      </c>
      <c r="BH465">
        <v>233</v>
      </c>
      <c r="BI465">
        <v>9.08</v>
      </c>
      <c r="BJ465">
        <v>8.1999999999999904</v>
      </c>
      <c r="BK465">
        <v>9.0999999999999908</v>
      </c>
      <c r="BL465">
        <v>10.6999999999999</v>
      </c>
      <c r="BM465">
        <v>28.059999999999899</v>
      </c>
      <c r="BN465">
        <v>5.2999999999999901</v>
      </c>
    </row>
    <row r="466" spans="1:66" x14ac:dyDescent="0.3">
      <c r="A466">
        <v>465</v>
      </c>
      <c r="B466" s="2" t="s">
        <v>430</v>
      </c>
      <c r="C466" s="2" t="s">
        <v>448</v>
      </c>
      <c r="D466">
        <v>65.310533515730896</v>
      </c>
      <c r="E466" s="3">
        <v>42512.634027777778</v>
      </c>
      <c r="F466" s="1">
        <v>42394</v>
      </c>
      <c r="G466" s="1">
        <v>42121.324363425927</v>
      </c>
      <c r="H466" t="s">
        <v>15</v>
      </c>
      <c r="I466" t="s">
        <v>15</v>
      </c>
      <c r="J466" t="s">
        <v>15</v>
      </c>
      <c r="K466" t="s">
        <v>458</v>
      </c>
      <c r="L466">
        <v>55</v>
      </c>
      <c r="M466" t="s">
        <v>451</v>
      </c>
      <c r="N466" t="s">
        <v>451</v>
      </c>
      <c r="O466" t="s">
        <v>17</v>
      </c>
      <c r="P466" t="s">
        <v>451</v>
      </c>
      <c r="Q466" t="s">
        <v>451</v>
      </c>
      <c r="S466" t="s">
        <v>451</v>
      </c>
      <c r="T466" t="s">
        <v>18</v>
      </c>
      <c r="V466" t="s">
        <v>451</v>
      </c>
      <c r="W466" t="s">
        <v>18</v>
      </c>
      <c r="X466" t="s">
        <v>15</v>
      </c>
      <c r="Y466">
        <v>5.6100001335143999</v>
      </c>
      <c r="Z466">
        <v>3.46000003814697</v>
      </c>
      <c r="AA466">
        <v>1.1000000238418499</v>
      </c>
      <c r="AB466">
        <v>1.12000000476837</v>
      </c>
      <c r="AC466">
        <v>253.10385131835901</v>
      </c>
      <c r="AD466">
        <v>23</v>
      </c>
      <c r="AE466">
        <v>1</v>
      </c>
      <c r="AF466">
        <v>36</v>
      </c>
      <c r="AG466">
        <v>120</v>
      </c>
      <c r="AH466">
        <v>4.5999999046325604</v>
      </c>
      <c r="AI466">
        <v>6.63000011444091</v>
      </c>
      <c r="AJ466">
        <v>18.100000381469702</v>
      </c>
      <c r="AK466">
        <v>7.4899997711181596</v>
      </c>
      <c r="AL466">
        <v>9.2799997329711896</v>
      </c>
      <c r="AM466">
        <v>12.9300003051757</v>
      </c>
      <c r="AN466" t="s">
        <v>735</v>
      </c>
      <c r="AS466" s="1"/>
      <c r="AT466" s="1"/>
      <c r="AU466" s="1">
        <v>40350.801533483798</v>
      </c>
      <c r="AV466" s="1">
        <v>40350.801394178241</v>
      </c>
      <c r="AW466" s="1"/>
      <c r="AX466" s="1">
        <v>41952.527464733786</v>
      </c>
      <c r="AY466" t="s">
        <v>21</v>
      </c>
      <c r="AZ466">
        <v>100</v>
      </c>
      <c r="BA466">
        <v>64</v>
      </c>
      <c r="BB466" s="5">
        <v>0</v>
      </c>
      <c r="BC466">
        <v>4.5</v>
      </c>
      <c r="BD466">
        <v>139</v>
      </c>
      <c r="BE466">
        <v>4.7999999999999901</v>
      </c>
      <c r="BF466">
        <v>2.6</v>
      </c>
      <c r="BG466">
        <v>7.5999999999999899</v>
      </c>
      <c r="BH466">
        <v>317</v>
      </c>
      <c r="BI466">
        <v>11.48</v>
      </c>
      <c r="BJ466">
        <v>7.9</v>
      </c>
      <c r="BK466">
        <v>7</v>
      </c>
      <c r="BL466">
        <v>13.5</v>
      </c>
      <c r="BM466">
        <v>239.84</v>
      </c>
      <c r="BN466">
        <v>5.7999999999999901</v>
      </c>
    </row>
    <row r="467" spans="1:66" x14ac:dyDescent="0.3">
      <c r="A467">
        <v>466</v>
      </c>
      <c r="B467" s="2" t="s">
        <v>434</v>
      </c>
      <c r="C467" s="2" t="s">
        <v>448</v>
      </c>
      <c r="D467">
        <v>63.242134062927001</v>
      </c>
      <c r="E467" s="3">
        <v>42061.423611111109</v>
      </c>
      <c r="F467" s="1">
        <v>41655</v>
      </c>
      <c r="G467" s="1">
        <v>41319.626979166656</v>
      </c>
      <c r="H467" t="s">
        <v>17</v>
      </c>
      <c r="I467" t="s">
        <v>15</v>
      </c>
      <c r="J467" t="s">
        <v>35</v>
      </c>
      <c r="K467" t="s">
        <v>464</v>
      </c>
      <c r="L467">
        <v>25</v>
      </c>
      <c r="M467" t="s">
        <v>79</v>
      </c>
      <c r="N467" t="s">
        <v>14</v>
      </c>
      <c r="O467" t="s">
        <v>25</v>
      </c>
      <c r="P467" t="s">
        <v>126</v>
      </c>
      <c r="Q467" t="s">
        <v>451</v>
      </c>
      <c r="S467" t="s">
        <v>92</v>
      </c>
      <c r="T467" t="s">
        <v>29</v>
      </c>
      <c r="U467" t="s">
        <v>132</v>
      </c>
      <c r="V467" t="s">
        <v>451</v>
      </c>
      <c r="W467" t="s">
        <v>26</v>
      </c>
      <c r="X467" t="s">
        <v>78</v>
      </c>
      <c r="Y467">
        <v>6.25</v>
      </c>
      <c r="Z467">
        <v>5.3699998855590803</v>
      </c>
      <c r="AA467">
        <v>0.97000002861022905</v>
      </c>
      <c r="AB467">
        <v>1.04999995231628</v>
      </c>
      <c r="AC467">
        <v>268.061920166015</v>
      </c>
      <c r="AD467">
        <v>176</v>
      </c>
      <c r="AE467">
        <v>2.5599999427795401</v>
      </c>
      <c r="AF467">
        <v>44</v>
      </c>
      <c r="AG467">
        <v>135.25</v>
      </c>
      <c r="AH467">
        <v>3</v>
      </c>
      <c r="AI467">
        <v>3</v>
      </c>
      <c r="AJ467">
        <v>45.080001831054602</v>
      </c>
      <c r="AK467">
        <v>3</v>
      </c>
      <c r="AL467">
        <v>3</v>
      </c>
      <c r="AM467">
        <v>45.080001831054602</v>
      </c>
      <c r="AN467" t="s">
        <v>736</v>
      </c>
      <c r="AO467">
        <v>89.15</v>
      </c>
      <c r="AP467">
        <v>28.780346074380169</v>
      </c>
      <c r="AQ467" s="1">
        <v>35014</v>
      </c>
      <c r="AR467" s="1">
        <v>35014</v>
      </c>
      <c r="AS467" s="1">
        <v>40229.313520254633</v>
      </c>
      <c r="AT467" s="1">
        <v>40229.313844212957</v>
      </c>
      <c r="AU467" s="1">
        <v>40229.31342716435</v>
      </c>
      <c r="AV467" s="1">
        <v>40229.313330358797</v>
      </c>
      <c r="AW467" s="1"/>
      <c r="AX467" s="1"/>
      <c r="BB467" s="2">
        <v>4</v>
      </c>
      <c r="BC467">
        <f>(140-D467)*AO467/(72*BI467)</f>
        <v>26.473861607436081</v>
      </c>
      <c r="BD467">
        <v>140</v>
      </c>
      <c r="BE467">
        <v>4.0999999999999899</v>
      </c>
      <c r="BF467">
        <v>4</v>
      </c>
      <c r="BG467">
        <v>10.4</v>
      </c>
      <c r="BH467">
        <v>213</v>
      </c>
      <c r="BI467">
        <v>3.5899999999999901</v>
      </c>
      <c r="BJ467">
        <v>9.0999999999999908</v>
      </c>
      <c r="BK467">
        <v>3.6</v>
      </c>
      <c r="BL467">
        <v>9.9</v>
      </c>
      <c r="BM467">
        <v>5.1299999999999901</v>
      </c>
      <c r="BN467">
        <v>6.7</v>
      </c>
    </row>
    <row r="468" spans="1:66" x14ac:dyDescent="0.3">
      <c r="A468">
        <v>467</v>
      </c>
      <c r="B468" s="2" t="s">
        <v>434</v>
      </c>
      <c r="C468" s="2" t="s">
        <v>448</v>
      </c>
      <c r="D468">
        <v>61.318741450068003</v>
      </c>
      <c r="E468" s="3">
        <v>41404</v>
      </c>
      <c r="F468" s="1">
        <v>40991</v>
      </c>
      <c r="G468" s="1">
        <v>40682.53460648148</v>
      </c>
      <c r="H468" t="s">
        <v>17</v>
      </c>
      <c r="I468" t="s">
        <v>451</v>
      </c>
      <c r="J468" t="s">
        <v>35</v>
      </c>
      <c r="L468">
        <v>25</v>
      </c>
      <c r="M468" t="s">
        <v>79</v>
      </c>
      <c r="N468" t="s">
        <v>28</v>
      </c>
      <c r="O468" t="s">
        <v>17</v>
      </c>
      <c r="P468" t="s">
        <v>479</v>
      </c>
      <c r="Q468" t="s">
        <v>451</v>
      </c>
      <c r="S468" t="s">
        <v>451</v>
      </c>
      <c r="T468" t="s">
        <v>18</v>
      </c>
      <c r="V468" t="s">
        <v>451</v>
      </c>
      <c r="W468" t="s">
        <v>18</v>
      </c>
      <c r="X468" t="s">
        <v>78</v>
      </c>
      <c r="Y468">
        <v>5.5999999046325604</v>
      </c>
      <c r="Z468">
        <v>4.4000000953674299</v>
      </c>
      <c r="AA468">
        <v>1.1000000238418499</v>
      </c>
      <c r="AB468">
        <v>1</v>
      </c>
      <c r="AC468">
        <v>234.32293701171801</v>
      </c>
      <c r="AD468">
        <v>114</v>
      </c>
      <c r="AE468">
        <v>2.5</v>
      </c>
      <c r="AF468">
        <v>45</v>
      </c>
      <c r="AG468">
        <v>115</v>
      </c>
      <c r="AN468" t="s">
        <v>737</v>
      </c>
      <c r="AO468">
        <v>81</v>
      </c>
      <c r="AP468">
        <v>28.360351528307834</v>
      </c>
      <c r="AQ468" s="1">
        <v>38353</v>
      </c>
      <c r="AR468" s="1">
        <v>34335</v>
      </c>
      <c r="AS468" s="1">
        <v>39946.60258136574</v>
      </c>
      <c r="AT468" s="1"/>
      <c r="AU468" s="1">
        <v>39946.608412881942</v>
      </c>
      <c r="AV468" s="1">
        <v>39946.608208912039</v>
      </c>
      <c r="AW468" s="1">
        <v>39946.608993784721</v>
      </c>
      <c r="AX468" s="1"/>
      <c r="AZ468">
        <v>110</v>
      </c>
      <c r="BA468">
        <v>59</v>
      </c>
      <c r="BB468" s="5">
        <v>0</v>
      </c>
      <c r="BC468">
        <f>(140-D468)*AO468/(72*BI468)</f>
        <v>25.881992944056652</v>
      </c>
      <c r="BD468">
        <v>136</v>
      </c>
      <c r="BE468">
        <v>4.2</v>
      </c>
      <c r="BF468">
        <v>3.2</v>
      </c>
      <c r="BG468">
        <v>11.9</v>
      </c>
      <c r="BH468">
        <v>179</v>
      </c>
      <c r="BI468">
        <v>3.4199999999999902</v>
      </c>
      <c r="BJ468">
        <v>8.9</v>
      </c>
      <c r="BK468">
        <v>5.0999999999999899</v>
      </c>
      <c r="BL468">
        <v>13.1</v>
      </c>
      <c r="BM468">
        <v>40.1099999999999</v>
      </c>
      <c r="BN468">
        <v>10.6999999999999</v>
      </c>
    </row>
    <row r="469" spans="1:66" x14ac:dyDescent="0.3">
      <c r="A469">
        <v>468</v>
      </c>
      <c r="B469" s="2" t="s">
        <v>430</v>
      </c>
      <c r="C469" s="2" t="s">
        <v>448</v>
      </c>
      <c r="D469">
        <v>68.875512995896003</v>
      </c>
      <c r="E469" s="3"/>
      <c r="F469" s="1">
        <v>43856</v>
      </c>
      <c r="G469" s="1">
        <v>43795.498645833337</v>
      </c>
      <c r="H469" t="s">
        <v>15</v>
      </c>
      <c r="I469" t="s">
        <v>78</v>
      </c>
      <c r="J469" t="s">
        <v>15</v>
      </c>
      <c r="L469">
        <v>60</v>
      </c>
      <c r="M469" t="s">
        <v>17</v>
      </c>
      <c r="N469" t="s">
        <v>15</v>
      </c>
      <c r="O469" t="s">
        <v>17</v>
      </c>
      <c r="P469" t="s">
        <v>112</v>
      </c>
      <c r="S469" t="s">
        <v>451</v>
      </c>
      <c r="T469" t="s">
        <v>18</v>
      </c>
      <c r="U469" t="s">
        <v>96</v>
      </c>
      <c r="V469" t="s">
        <v>451</v>
      </c>
      <c r="W469" t="s">
        <v>18</v>
      </c>
      <c r="X469" t="s">
        <v>87</v>
      </c>
      <c r="Y469">
        <v>5.5999999046325604</v>
      </c>
      <c r="Z469">
        <v>3.2999999523162802</v>
      </c>
      <c r="AA469">
        <v>1.20000004768371</v>
      </c>
      <c r="AB469">
        <v>1.1000000238418499</v>
      </c>
      <c r="AC469">
        <v>264.69592285156199</v>
      </c>
      <c r="AD469">
        <v>124</v>
      </c>
      <c r="AE469">
        <v>1</v>
      </c>
      <c r="AF469">
        <v>51</v>
      </c>
      <c r="AG469">
        <v>127</v>
      </c>
      <c r="AH469">
        <v>5.1100001335143999</v>
      </c>
      <c r="AI469">
        <v>7.0700001716613698</v>
      </c>
      <c r="AJ469">
        <v>17.959999084472599</v>
      </c>
      <c r="AK469">
        <v>5</v>
      </c>
      <c r="AL469">
        <v>8.3800001144409109</v>
      </c>
      <c r="AM469">
        <v>15.1599998474121</v>
      </c>
      <c r="AN469" t="s">
        <v>738</v>
      </c>
      <c r="AQ469" s="1">
        <v>45001</v>
      </c>
      <c r="AS469" s="1"/>
      <c r="AT469" s="1">
        <v>40804.473437962974</v>
      </c>
      <c r="AU469" s="1">
        <v>40804.389648842603</v>
      </c>
      <c r="AV469" s="1"/>
      <c r="AW469" s="1"/>
      <c r="AX469" s="1"/>
      <c r="AZ469">
        <v>130</v>
      </c>
      <c r="BA469">
        <v>63</v>
      </c>
      <c r="BB469" s="2">
        <v>5</v>
      </c>
      <c r="BC469">
        <v>9.6999999999999993</v>
      </c>
      <c r="BD469">
        <v>133</v>
      </c>
      <c r="BE469">
        <v>6</v>
      </c>
      <c r="BF469">
        <v>3</v>
      </c>
      <c r="BG469">
        <v>7.9</v>
      </c>
      <c r="BH469">
        <v>329</v>
      </c>
      <c r="BI469">
        <v>5.9199999999999902</v>
      </c>
      <c r="BJ469">
        <v>8.0999999999999908</v>
      </c>
      <c r="BK469">
        <v>10.8</v>
      </c>
      <c r="BL469">
        <v>12</v>
      </c>
      <c r="BM469">
        <v>63.149999999999899</v>
      </c>
      <c r="BN469">
        <v>4.7999999999999901</v>
      </c>
    </row>
    <row r="470" spans="1:66" x14ac:dyDescent="0.3">
      <c r="A470">
        <v>469</v>
      </c>
      <c r="B470" s="2" t="s">
        <v>434</v>
      </c>
      <c r="C470" s="2" t="s">
        <v>448</v>
      </c>
      <c r="D470">
        <v>72.878248974008002</v>
      </c>
      <c r="E470" s="3"/>
      <c r="F470" s="1">
        <v>45699</v>
      </c>
      <c r="G470" s="1">
        <v>45370.348402777781</v>
      </c>
      <c r="H470" t="s">
        <v>17</v>
      </c>
      <c r="I470" t="s">
        <v>451</v>
      </c>
      <c r="J470" t="s">
        <v>22</v>
      </c>
      <c r="K470" t="s">
        <v>157</v>
      </c>
      <c r="L470">
        <v>45</v>
      </c>
      <c r="M470" t="s">
        <v>451</v>
      </c>
      <c r="N470" t="s">
        <v>451</v>
      </c>
      <c r="O470" t="s">
        <v>31</v>
      </c>
      <c r="P470" t="s">
        <v>75</v>
      </c>
      <c r="Q470" t="s">
        <v>19</v>
      </c>
      <c r="S470" t="s">
        <v>451</v>
      </c>
      <c r="T470" t="s">
        <v>23</v>
      </c>
      <c r="V470" t="s">
        <v>451</v>
      </c>
      <c r="W470" t="s">
        <v>34</v>
      </c>
      <c r="X470" t="s">
        <v>87</v>
      </c>
      <c r="Y470">
        <v>6.1999998092651296</v>
      </c>
      <c r="Z470">
        <v>4.2300000190734801</v>
      </c>
      <c r="AA470">
        <v>1.1000000238418499</v>
      </c>
      <c r="AB470">
        <v>1.1000000238418499</v>
      </c>
      <c r="AC470">
        <v>295.440826416015</v>
      </c>
      <c r="AD470">
        <v>143</v>
      </c>
      <c r="AE470">
        <v>1.5599999427795399</v>
      </c>
      <c r="AF470">
        <v>52</v>
      </c>
      <c r="AG470">
        <v>85.400001525878906</v>
      </c>
      <c r="AI470">
        <v>10.699999809265099</v>
      </c>
      <c r="AJ470">
        <v>7.9800000190734801</v>
      </c>
      <c r="AK470">
        <v>3.9400000572204501</v>
      </c>
      <c r="AL470">
        <v>12.399999618530201</v>
      </c>
      <c r="AM470">
        <v>6.8899998664855904</v>
      </c>
      <c r="AN470" t="s">
        <v>739</v>
      </c>
      <c r="AO470">
        <v>70.7</v>
      </c>
      <c r="AP470">
        <v>20.657414170927687</v>
      </c>
      <c r="AS470" s="1"/>
      <c r="AT470" s="1">
        <v>40813.671875</v>
      </c>
      <c r="AU470" s="1"/>
      <c r="AV470" s="1">
        <v>40274.664866203697</v>
      </c>
      <c r="AW470" s="1">
        <v>40274.687759606481</v>
      </c>
      <c r="AX470" s="1">
        <v>40274.674878124999</v>
      </c>
      <c r="AY470" t="s">
        <v>21</v>
      </c>
      <c r="BB470" s="5">
        <v>0</v>
      </c>
      <c r="BC470">
        <f t="shared" ref="BC470:BC482" si="27">(140-D470)*AO470/(72*BI470)</f>
        <v>16.395480229193083</v>
      </c>
      <c r="BD470">
        <v>145</v>
      </c>
      <c r="BE470">
        <v>5.2</v>
      </c>
      <c r="BF470">
        <v>3.1</v>
      </c>
      <c r="BG470">
        <v>8.5999999999999908</v>
      </c>
      <c r="BH470">
        <v>215</v>
      </c>
      <c r="BI470">
        <v>4.0199999999999898</v>
      </c>
      <c r="BJ470">
        <v>6.4</v>
      </c>
      <c r="BK470">
        <v>4.5</v>
      </c>
      <c r="BL470">
        <v>4.7</v>
      </c>
      <c r="BM470">
        <v>55.49</v>
      </c>
      <c r="BN470">
        <v>6.7</v>
      </c>
    </row>
    <row r="471" spans="1:66" x14ac:dyDescent="0.3">
      <c r="A471">
        <v>470</v>
      </c>
      <c r="B471" s="2" t="s">
        <v>430</v>
      </c>
      <c r="C471" s="2" t="s">
        <v>449</v>
      </c>
      <c r="D471">
        <v>62.735978112174898</v>
      </c>
      <c r="E471" s="3">
        <v>42875.911111111112</v>
      </c>
      <c r="F471" s="1">
        <v>41540</v>
      </c>
      <c r="G471" s="1">
        <v>41497.530763888892</v>
      </c>
      <c r="H471" t="s">
        <v>15</v>
      </c>
      <c r="I471" t="s">
        <v>451</v>
      </c>
      <c r="J471" t="s">
        <v>28</v>
      </c>
      <c r="K471" t="s">
        <v>464</v>
      </c>
      <c r="L471">
        <v>40</v>
      </c>
      <c r="M471" t="s">
        <v>15</v>
      </c>
      <c r="N471" t="s">
        <v>451</v>
      </c>
      <c r="O471" t="s">
        <v>15</v>
      </c>
      <c r="P471" t="s">
        <v>479</v>
      </c>
      <c r="Q471" t="s">
        <v>19</v>
      </c>
      <c r="S471" t="s">
        <v>451</v>
      </c>
      <c r="T471" t="s">
        <v>34</v>
      </c>
      <c r="U471" t="s">
        <v>132</v>
      </c>
      <c r="V471" t="s">
        <v>451</v>
      </c>
      <c r="W471" t="s">
        <v>19</v>
      </c>
      <c r="X471" t="s">
        <v>90</v>
      </c>
      <c r="Y471">
        <v>4.6999998092651296</v>
      </c>
      <c r="Z471">
        <v>2.9000000953674299</v>
      </c>
      <c r="AA471">
        <v>1</v>
      </c>
      <c r="AB471">
        <v>0.80000001192092796</v>
      </c>
      <c r="AC471">
        <v>142.707260131835</v>
      </c>
      <c r="AD471">
        <v>84</v>
      </c>
      <c r="AE471">
        <v>1.87999999523162</v>
      </c>
      <c r="AF471">
        <v>79</v>
      </c>
      <c r="AG471">
        <v>160</v>
      </c>
      <c r="AH471">
        <v>5.1999998092651296</v>
      </c>
      <c r="AI471">
        <v>4.1999998092651296</v>
      </c>
      <c r="AJ471">
        <v>38.099998474121001</v>
      </c>
      <c r="AK471">
        <v>5.5999999046325604</v>
      </c>
      <c r="AL471">
        <v>3.7999999523162802</v>
      </c>
      <c r="AM471">
        <v>42.110000610351499</v>
      </c>
      <c r="AN471" t="s">
        <v>279</v>
      </c>
      <c r="AO471">
        <v>59</v>
      </c>
      <c r="AP471">
        <v>21.671258034894397</v>
      </c>
      <c r="AS471" s="1">
        <v>41496.029881481481</v>
      </c>
      <c r="AT471" s="1"/>
      <c r="AU471" s="1"/>
      <c r="AV471" s="1">
        <v>40088.620589548613</v>
      </c>
      <c r="AW471" s="1"/>
      <c r="AX471" s="1"/>
      <c r="AZ471">
        <v>148</v>
      </c>
      <c r="BA471">
        <v>50</v>
      </c>
      <c r="BB471" s="2">
        <v>5</v>
      </c>
      <c r="BC471">
        <f t="shared" si="27"/>
        <v>17.204775405275061</v>
      </c>
      <c r="BD471">
        <v>134</v>
      </c>
      <c r="BE471">
        <v>5.2999999999999901</v>
      </c>
      <c r="BF471">
        <v>3.2</v>
      </c>
      <c r="BG471">
        <v>10</v>
      </c>
      <c r="BH471">
        <v>110</v>
      </c>
      <c r="BI471">
        <v>3.68</v>
      </c>
      <c r="BJ471">
        <v>8.6999999999999904</v>
      </c>
      <c r="BK471">
        <v>3.1</v>
      </c>
      <c r="BL471">
        <v>4.4000000000000004</v>
      </c>
      <c r="BN471">
        <v>6.7999999999999901</v>
      </c>
    </row>
    <row r="472" spans="1:66" x14ac:dyDescent="0.3">
      <c r="A472">
        <v>471</v>
      </c>
      <c r="B472" s="2" t="s">
        <v>430</v>
      </c>
      <c r="C472" s="2" t="s">
        <v>448</v>
      </c>
      <c r="D472">
        <v>64.335273217814006</v>
      </c>
      <c r="E472" s="3">
        <v>42676.75</v>
      </c>
      <c r="F472" s="1">
        <v>42052.542361111111</v>
      </c>
      <c r="G472" s="1">
        <v>41984.403854166667</v>
      </c>
      <c r="H472" t="s">
        <v>15</v>
      </c>
      <c r="I472" t="s">
        <v>87</v>
      </c>
      <c r="J472" t="s">
        <v>15</v>
      </c>
      <c r="L472">
        <v>65</v>
      </c>
      <c r="M472" t="s">
        <v>451</v>
      </c>
      <c r="N472" t="s">
        <v>451</v>
      </c>
      <c r="O472" t="s">
        <v>25</v>
      </c>
      <c r="P472" t="s">
        <v>75</v>
      </c>
      <c r="Q472" t="s">
        <v>451</v>
      </c>
      <c r="S472" t="s">
        <v>75</v>
      </c>
      <c r="T472" t="s">
        <v>29</v>
      </c>
      <c r="U472" t="s">
        <v>521</v>
      </c>
      <c r="V472" t="s">
        <v>451</v>
      </c>
      <c r="W472" t="s">
        <v>19</v>
      </c>
      <c r="X472" t="s">
        <v>90</v>
      </c>
      <c r="Y472">
        <v>5.3000001907348597</v>
      </c>
      <c r="Z472">
        <v>4.1999998092651296</v>
      </c>
      <c r="AA472">
        <v>1.5</v>
      </c>
      <c r="AB472">
        <v>1.29999995231628</v>
      </c>
      <c r="AC472">
        <v>318.89324951171801</v>
      </c>
      <c r="AD472">
        <v>131</v>
      </c>
      <c r="AE472">
        <v>1</v>
      </c>
      <c r="AF472">
        <v>67</v>
      </c>
      <c r="AG472">
        <v>205</v>
      </c>
      <c r="AH472">
        <v>7.0999999046325604</v>
      </c>
      <c r="AI472">
        <v>6.5</v>
      </c>
      <c r="AJ472">
        <v>31.540000915527301</v>
      </c>
      <c r="AK472">
        <v>7.5999999046325604</v>
      </c>
      <c r="AL472">
        <v>5.6999998092651296</v>
      </c>
      <c r="AM472">
        <v>35.959999084472599</v>
      </c>
      <c r="AN472" t="s">
        <v>740</v>
      </c>
      <c r="AO472">
        <v>117.5</v>
      </c>
      <c r="AP472">
        <v>36.26543209876543</v>
      </c>
      <c r="AS472" s="1"/>
      <c r="AT472" s="1"/>
      <c r="AU472" s="1">
        <v>39816.629211921303</v>
      </c>
      <c r="AV472" s="1">
        <v>39816.630138275461</v>
      </c>
      <c r="AW472" s="1"/>
      <c r="AX472" s="1"/>
      <c r="AY472" t="s">
        <v>21</v>
      </c>
      <c r="AZ472">
        <v>133</v>
      </c>
      <c r="BA472">
        <v>70</v>
      </c>
      <c r="BB472" s="2">
        <v>10</v>
      </c>
      <c r="BC472">
        <f t="shared" si="27"/>
        <v>30.793174691420326</v>
      </c>
      <c r="BD472">
        <v>139</v>
      </c>
      <c r="BE472">
        <v>4.4000000000000004</v>
      </c>
      <c r="BF472">
        <v>2.6</v>
      </c>
      <c r="BG472">
        <v>10.6</v>
      </c>
      <c r="BH472">
        <v>104</v>
      </c>
      <c r="BI472">
        <v>4.00999999999999</v>
      </c>
      <c r="BJ472">
        <v>7.7</v>
      </c>
      <c r="BK472">
        <v>5</v>
      </c>
      <c r="BL472">
        <v>6.4</v>
      </c>
      <c r="BM472">
        <v>93.87</v>
      </c>
      <c r="BN472">
        <v>6.2</v>
      </c>
    </row>
    <row r="473" spans="1:66" x14ac:dyDescent="0.3">
      <c r="A473">
        <v>472</v>
      </c>
      <c r="B473" s="2" t="s">
        <v>430</v>
      </c>
      <c r="C473" s="2" t="s">
        <v>449</v>
      </c>
      <c r="D473">
        <v>69.693570451436003</v>
      </c>
      <c r="E473" s="3">
        <v>44314</v>
      </c>
      <c r="F473" s="1">
        <v>44138</v>
      </c>
      <c r="G473" s="1">
        <v>44137.415682870371</v>
      </c>
      <c r="H473" t="s">
        <v>17</v>
      </c>
      <c r="I473" t="s">
        <v>451</v>
      </c>
      <c r="J473" t="s">
        <v>14</v>
      </c>
      <c r="L473">
        <v>50</v>
      </c>
      <c r="M473" t="s">
        <v>451</v>
      </c>
      <c r="N473" t="s">
        <v>451</v>
      </c>
      <c r="O473" t="s">
        <v>25</v>
      </c>
      <c r="P473" t="s">
        <v>75</v>
      </c>
      <c r="Q473" t="s">
        <v>451</v>
      </c>
      <c r="S473" t="s">
        <v>92</v>
      </c>
      <c r="T473" t="s">
        <v>34</v>
      </c>
      <c r="V473" t="s">
        <v>451</v>
      </c>
      <c r="W473" t="s">
        <v>29</v>
      </c>
      <c r="X473" t="s">
        <v>90</v>
      </c>
      <c r="Y473">
        <v>5.8099999427795401</v>
      </c>
      <c r="Z473">
        <v>3.9700000286102202</v>
      </c>
      <c r="AA473">
        <v>1.0900000333786</v>
      </c>
      <c r="AB473">
        <v>0.95999997854232699</v>
      </c>
      <c r="AC473">
        <v>241.434646606445</v>
      </c>
      <c r="AE473">
        <v>1.5</v>
      </c>
      <c r="AF473">
        <v>69</v>
      </c>
      <c r="AG473">
        <v>126</v>
      </c>
      <c r="AH473">
        <v>5.1399998664855904</v>
      </c>
      <c r="AI473">
        <v>6.6999998092651296</v>
      </c>
      <c r="AJ473">
        <v>18.809999465942301</v>
      </c>
      <c r="AK473">
        <v>6.6999998092651296</v>
      </c>
      <c r="AL473">
        <v>7.71000003814697</v>
      </c>
      <c r="AM473">
        <v>16.340000152587798</v>
      </c>
      <c r="AN473" t="s">
        <v>741</v>
      </c>
      <c r="AO473">
        <v>113</v>
      </c>
      <c r="AP473">
        <v>44.140624999999993</v>
      </c>
      <c r="AR473" s="1">
        <v>39661</v>
      </c>
      <c r="AS473" s="1">
        <v>41396.672396643517</v>
      </c>
      <c r="AT473" s="1"/>
      <c r="AU473" s="1">
        <v>41396.672396643517</v>
      </c>
      <c r="AV473" s="1">
        <v>43145.670227164352</v>
      </c>
      <c r="AW473" s="1"/>
      <c r="AX473" s="1"/>
      <c r="AZ473">
        <v>122</v>
      </c>
      <c r="BA473">
        <v>58</v>
      </c>
      <c r="BB473" s="2">
        <v>2</v>
      </c>
      <c r="BC473">
        <f t="shared" si="27"/>
        <v>32.645572563230424</v>
      </c>
      <c r="BD473">
        <v>136</v>
      </c>
      <c r="BE473">
        <v>5</v>
      </c>
      <c r="BF473">
        <v>3.2999999999999901</v>
      </c>
      <c r="BG473">
        <v>8.3000000000000007</v>
      </c>
      <c r="BH473">
        <v>300</v>
      </c>
      <c r="BI473">
        <v>3.3799999999999901</v>
      </c>
      <c r="BJ473">
        <v>8.1999999999999904</v>
      </c>
      <c r="BK473">
        <v>6.7</v>
      </c>
      <c r="BL473">
        <v>10.6999999999999</v>
      </c>
      <c r="BM473">
        <v>60.7</v>
      </c>
      <c r="BN473">
        <v>7.2999999999999901</v>
      </c>
    </row>
    <row r="474" spans="1:66" x14ac:dyDescent="0.3">
      <c r="A474">
        <v>473</v>
      </c>
      <c r="B474" s="2" t="s">
        <v>430</v>
      </c>
      <c r="C474" s="2" t="s">
        <v>449</v>
      </c>
      <c r="D474">
        <v>70.577291381668104</v>
      </c>
      <c r="E474" s="3">
        <v>44607</v>
      </c>
      <c r="F474" s="1">
        <v>44539</v>
      </c>
      <c r="G474" s="1">
        <v>44497.410219907397</v>
      </c>
      <c r="H474" t="s">
        <v>17</v>
      </c>
      <c r="I474" t="s">
        <v>78</v>
      </c>
      <c r="J474" t="s">
        <v>30</v>
      </c>
      <c r="L474">
        <v>30</v>
      </c>
      <c r="M474" t="s">
        <v>17</v>
      </c>
      <c r="N474" t="s">
        <v>15</v>
      </c>
      <c r="O474" t="s">
        <v>25</v>
      </c>
      <c r="P474" t="s">
        <v>126</v>
      </c>
      <c r="Q474" t="s">
        <v>451</v>
      </c>
      <c r="S474" t="s">
        <v>126</v>
      </c>
      <c r="T474" t="s">
        <v>451</v>
      </c>
      <c r="V474" t="s">
        <v>451</v>
      </c>
      <c r="W474" t="s">
        <v>29</v>
      </c>
      <c r="X474" t="s">
        <v>87</v>
      </c>
      <c r="Y474">
        <v>6.96000003814697</v>
      </c>
      <c r="Z474">
        <v>6.0300002098083398</v>
      </c>
      <c r="AA474">
        <v>1.2200000286102199</v>
      </c>
      <c r="AB474">
        <v>1.0700000524520801</v>
      </c>
      <c r="AC474">
        <v>378.57727050781199</v>
      </c>
      <c r="AD474">
        <v>188</v>
      </c>
      <c r="AE474">
        <v>2</v>
      </c>
      <c r="AF474">
        <v>56</v>
      </c>
      <c r="AN474" t="s">
        <v>742</v>
      </c>
      <c r="AO474">
        <v>97.599999999999895</v>
      </c>
      <c r="AS474" s="1">
        <v>40516.994752928244</v>
      </c>
      <c r="AT474" s="1">
        <v>40997.507084953701</v>
      </c>
      <c r="AU474" s="1">
        <v>40516.994752928244</v>
      </c>
      <c r="AV474" s="1">
        <v>41310.416906944447</v>
      </c>
      <c r="AW474" s="1">
        <v>40516.994752928244</v>
      </c>
      <c r="AX474" s="1"/>
      <c r="AZ474">
        <v>130</v>
      </c>
      <c r="BA474">
        <v>67</v>
      </c>
      <c r="BB474" s="5">
        <v>0</v>
      </c>
      <c r="BC474">
        <f t="shared" si="27"/>
        <v>13.088503247467905</v>
      </c>
      <c r="BD474">
        <v>138</v>
      </c>
      <c r="BE474">
        <v>5.2999999999999901</v>
      </c>
      <c r="BF474">
        <v>3</v>
      </c>
      <c r="BG474">
        <v>9.1999999999999904</v>
      </c>
      <c r="BH474">
        <v>280</v>
      </c>
      <c r="BI474">
        <v>7.19</v>
      </c>
      <c r="BJ474">
        <v>7.9</v>
      </c>
      <c r="BK474">
        <v>7.2</v>
      </c>
      <c r="BL474">
        <v>9.8000000000000007</v>
      </c>
      <c r="BM474">
        <v>119.52</v>
      </c>
      <c r="BN474">
        <v>7.2</v>
      </c>
    </row>
    <row r="475" spans="1:66" x14ac:dyDescent="0.3">
      <c r="A475">
        <v>474</v>
      </c>
      <c r="B475" s="2" t="s">
        <v>430</v>
      </c>
      <c r="C475" s="2" t="s">
        <v>449</v>
      </c>
      <c r="D475">
        <v>70.374829001367004</v>
      </c>
      <c r="E475" s="3">
        <v>44791.991666666669</v>
      </c>
      <c r="F475" s="1">
        <v>44703</v>
      </c>
      <c r="G475" s="1">
        <v>44495.639537037037</v>
      </c>
      <c r="H475" t="s">
        <v>15</v>
      </c>
      <c r="I475" t="s">
        <v>451</v>
      </c>
      <c r="J475" t="s">
        <v>15</v>
      </c>
      <c r="K475" t="s">
        <v>145</v>
      </c>
      <c r="L475">
        <v>60</v>
      </c>
      <c r="M475" t="s">
        <v>79</v>
      </c>
      <c r="N475" t="s">
        <v>14</v>
      </c>
      <c r="O475" t="s">
        <v>15</v>
      </c>
      <c r="P475" t="s">
        <v>124</v>
      </c>
      <c r="Q475" t="s">
        <v>19</v>
      </c>
      <c r="R475" t="s">
        <v>496</v>
      </c>
      <c r="S475" t="s">
        <v>451</v>
      </c>
      <c r="T475" t="s">
        <v>19</v>
      </c>
      <c r="V475" t="s">
        <v>451</v>
      </c>
      <c r="W475" t="s">
        <v>19</v>
      </c>
      <c r="X475" t="s">
        <v>90</v>
      </c>
      <c r="Y475">
        <v>4.0999999046325604</v>
      </c>
      <c r="Z475">
        <v>2.5999999046325599</v>
      </c>
      <c r="AA475">
        <v>1.3999999761581401</v>
      </c>
      <c r="AB475">
        <v>0.69999998807907104</v>
      </c>
      <c r="AC475">
        <v>141.546630859375</v>
      </c>
      <c r="AD475">
        <v>91</v>
      </c>
      <c r="AE475">
        <v>1</v>
      </c>
      <c r="AF475">
        <v>62</v>
      </c>
      <c r="AG475">
        <v>148</v>
      </c>
      <c r="AH475">
        <v>5.3299999237060502</v>
      </c>
      <c r="AI475">
        <v>7.8299999237060502</v>
      </c>
      <c r="AJ475">
        <v>18.899999618530199</v>
      </c>
      <c r="AK475">
        <v>6.96000003814697</v>
      </c>
      <c r="AL475">
        <v>11.199999809265099</v>
      </c>
      <c r="AM475">
        <v>13.2100000381469</v>
      </c>
      <c r="AN475" t="s">
        <v>743</v>
      </c>
      <c r="AO475">
        <v>58</v>
      </c>
      <c r="AP475">
        <v>21.303948576675847</v>
      </c>
      <c r="AS475" s="1"/>
      <c r="AT475" s="1">
        <v>43437.647565011583</v>
      </c>
      <c r="AU475" s="1">
        <v>43437.647565011583</v>
      </c>
      <c r="AV475" s="1">
        <v>43437.647565011583</v>
      </c>
      <c r="AW475" s="1"/>
      <c r="AX475" s="1"/>
      <c r="AZ475">
        <v>132</v>
      </c>
      <c r="BA475">
        <v>70</v>
      </c>
      <c r="BB475" s="5">
        <v>0</v>
      </c>
      <c r="BC475">
        <f t="shared" si="27"/>
        <v>16.163384237594915</v>
      </c>
      <c r="BD475">
        <v>140</v>
      </c>
      <c r="BE475">
        <v>5.2</v>
      </c>
      <c r="BF475">
        <v>2.8999999999999901</v>
      </c>
      <c r="BG475">
        <v>6.7999999999999901</v>
      </c>
      <c r="BH475">
        <v>350</v>
      </c>
      <c r="BI475">
        <v>3.47</v>
      </c>
      <c r="BJ475">
        <v>8.5</v>
      </c>
      <c r="BK475">
        <v>5.2</v>
      </c>
      <c r="BL475">
        <v>7.7</v>
      </c>
      <c r="BM475">
        <v>99.319999999999894</v>
      </c>
      <c r="BN475">
        <v>4.7999999999999901</v>
      </c>
    </row>
    <row r="476" spans="1:66" x14ac:dyDescent="0.3">
      <c r="A476">
        <v>475</v>
      </c>
      <c r="B476" s="2" t="s">
        <v>430</v>
      </c>
      <c r="C476" s="2" t="s">
        <v>448</v>
      </c>
      <c r="D476">
        <v>68.368838349293</v>
      </c>
      <c r="E476" s="3">
        <v>43839.7</v>
      </c>
      <c r="F476" s="1">
        <v>43835.810416666667</v>
      </c>
      <c r="G476" s="1">
        <v>43487.650694444441</v>
      </c>
      <c r="H476" t="s">
        <v>15</v>
      </c>
      <c r="I476" t="s">
        <v>78</v>
      </c>
      <c r="J476" t="s">
        <v>28</v>
      </c>
      <c r="L476">
        <v>35</v>
      </c>
      <c r="M476" t="s">
        <v>451</v>
      </c>
      <c r="N476" t="s">
        <v>451</v>
      </c>
      <c r="O476" t="s">
        <v>451</v>
      </c>
      <c r="P476" t="s">
        <v>75</v>
      </c>
      <c r="S476" t="s">
        <v>75</v>
      </c>
      <c r="T476" t="s">
        <v>19</v>
      </c>
      <c r="V476" t="s">
        <v>451</v>
      </c>
      <c r="W476" t="s">
        <v>19</v>
      </c>
      <c r="X476" t="s">
        <v>90</v>
      </c>
      <c r="Y476">
        <v>4.9000000953674299</v>
      </c>
      <c r="Z476">
        <v>3.7999999523162802</v>
      </c>
      <c r="AA476">
        <v>1.29999995231628</v>
      </c>
      <c r="AB476">
        <v>1.1000000238418499</v>
      </c>
      <c r="AC476">
        <v>226.378173828125</v>
      </c>
      <c r="AD476">
        <v>116</v>
      </c>
      <c r="AE476">
        <v>1.62000000476837</v>
      </c>
      <c r="AF476">
        <v>65</v>
      </c>
      <c r="AG476">
        <v>114</v>
      </c>
      <c r="AH476">
        <v>4</v>
      </c>
      <c r="AI476">
        <v>5</v>
      </c>
      <c r="AJ476">
        <v>22.799999237060501</v>
      </c>
      <c r="AK476">
        <v>6</v>
      </c>
      <c r="AL476">
        <v>11</v>
      </c>
      <c r="AM476">
        <v>10.3599996566772</v>
      </c>
      <c r="AN476" t="s">
        <v>744</v>
      </c>
      <c r="AO476">
        <v>84</v>
      </c>
      <c r="AP476">
        <v>25.925925925925924</v>
      </c>
      <c r="AQ476" s="1">
        <v>43322</v>
      </c>
      <c r="AS476" s="1">
        <v>40993.561323148147</v>
      </c>
      <c r="AT476" s="1">
        <v>41109.576018020831</v>
      </c>
      <c r="AU476" s="1">
        <v>40630.185713460647</v>
      </c>
      <c r="AV476" s="1">
        <v>40630.185713460647</v>
      </c>
      <c r="AW476" s="1">
        <v>40853.404222337973</v>
      </c>
      <c r="AX476" s="1"/>
      <c r="AY476" t="s">
        <v>21</v>
      </c>
      <c r="AZ476">
        <v>145</v>
      </c>
      <c r="BA476">
        <v>83</v>
      </c>
      <c r="BB476" s="5">
        <v>0</v>
      </c>
      <c r="BC476">
        <f t="shared" si="27"/>
        <v>13.37115017479864</v>
      </c>
      <c r="BD476">
        <v>137.80000000000001</v>
      </c>
      <c r="BE476">
        <v>4.99</v>
      </c>
      <c r="BF476">
        <v>2.6</v>
      </c>
      <c r="BG476">
        <v>8.5</v>
      </c>
      <c r="BH476">
        <v>342</v>
      </c>
      <c r="BI476">
        <v>6.25</v>
      </c>
      <c r="BJ476">
        <v>7.0999999999999899</v>
      </c>
      <c r="BK476">
        <v>5.2999999999999901</v>
      </c>
      <c r="BL476">
        <v>10.1999999999999</v>
      </c>
      <c r="BM476">
        <v>24.16</v>
      </c>
      <c r="BN476">
        <v>8.9</v>
      </c>
    </row>
    <row r="477" spans="1:66" x14ac:dyDescent="0.3">
      <c r="A477">
        <v>476</v>
      </c>
      <c r="B477" s="2" t="s">
        <v>430</v>
      </c>
      <c r="C477" s="2" t="s">
        <v>449</v>
      </c>
      <c r="D477">
        <v>72.437756497948001</v>
      </c>
      <c r="E477" s="3"/>
      <c r="F477" s="1">
        <v>45566</v>
      </c>
      <c r="G477" s="1">
        <v>45209.401342592602</v>
      </c>
      <c r="H477" t="s">
        <v>17</v>
      </c>
      <c r="I477" t="s">
        <v>78</v>
      </c>
      <c r="J477" t="s">
        <v>14</v>
      </c>
      <c r="K477" t="s">
        <v>157</v>
      </c>
      <c r="L477">
        <v>45</v>
      </c>
      <c r="M477" t="s">
        <v>451</v>
      </c>
      <c r="N477" t="s">
        <v>451</v>
      </c>
      <c r="O477" t="s">
        <v>17</v>
      </c>
      <c r="P477" t="s">
        <v>75</v>
      </c>
      <c r="Q477" t="s">
        <v>19</v>
      </c>
      <c r="R477" t="s">
        <v>98</v>
      </c>
      <c r="S477" t="s">
        <v>92</v>
      </c>
      <c r="T477" t="s">
        <v>23</v>
      </c>
      <c r="U477" t="s">
        <v>147</v>
      </c>
      <c r="V477" t="s">
        <v>15</v>
      </c>
      <c r="W477" t="s">
        <v>23</v>
      </c>
      <c r="X477" t="s">
        <v>87</v>
      </c>
      <c r="Y477">
        <v>6.13000011444091</v>
      </c>
      <c r="Z477">
        <v>3.7699999809265101</v>
      </c>
      <c r="AA477">
        <v>1.25</v>
      </c>
      <c r="AB477">
        <v>1.2799999713897701</v>
      </c>
      <c r="AC477">
        <v>349.304107666015</v>
      </c>
      <c r="AD477">
        <v>198</v>
      </c>
      <c r="AE477">
        <v>1.5599999427795399</v>
      </c>
      <c r="AF477">
        <v>53</v>
      </c>
      <c r="AG477">
        <v>117</v>
      </c>
      <c r="AI477">
        <v>3.3199999332427899</v>
      </c>
      <c r="AJ477">
        <v>35.240001678466697</v>
      </c>
      <c r="AK477">
        <v>5.8499999046325604</v>
      </c>
      <c r="AL477">
        <v>7.5999999046325604</v>
      </c>
      <c r="AM477">
        <v>15.390000343322701</v>
      </c>
      <c r="AN477" t="s">
        <v>745</v>
      </c>
      <c r="AO477">
        <v>60</v>
      </c>
      <c r="AP477">
        <v>20.761245674740486</v>
      </c>
      <c r="AQ477" s="1">
        <v>43511</v>
      </c>
      <c r="AS477" s="1">
        <v>40072.67077809028</v>
      </c>
      <c r="AT477" s="1">
        <v>44951.470227743062</v>
      </c>
      <c r="AU477" s="1">
        <v>42913.573074305546</v>
      </c>
      <c r="AV477" s="1">
        <v>40072.672555636571</v>
      </c>
      <c r="AW477" s="1">
        <v>45307.517327199072</v>
      </c>
      <c r="AX477" s="1">
        <v>45340.477036886572</v>
      </c>
      <c r="BA477">
        <v>71</v>
      </c>
      <c r="BB477" s="2">
        <v>2</v>
      </c>
      <c r="BC477">
        <f t="shared" si="27"/>
        <v>5.8223236385773935</v>
      </c>
      <c r="BD477">
        <v>134</v>
      </c>
      <c r="BE477">
        <v>3.8999999999999901</v>
      </c>
      <c r="BF477">
        <v>3.2999999999999901</v>
      </c>
      <c r="BG477">
        <v>8.1999999999999904</v>
      </c>
      <c r="BH477">
        <v>265</v>
      </c>
      <c r="BI477">
        <v>9.6699999999999893</v>
      </c>
      <c r="BJ477">
        <v>8.3000000000000007</v>
      </c>
      <c r="BK477">
        <v>5.7</v>
      </c>
      <c r="BL477">
        <v>12</v>
      </c>
      <c r="BM477">
        <v>17.469999999999899</v>
      </c>
      <c r="BN477">
        <v>4.7999999999999901</v>
      </c>
    </row>
    <row r="478" spans="1:66" x14ac:dyDescent="0.3">
      <c r="A478">
        <v>477</v>
      </c>
      <c r="B478" s="2" t="s">
        <v>430</v>
      </c>
      <c r="C478" s="2" t="s">
        <v>448</v>
      </c>
      <c r="D478">
        <v>67.318741450068003</v>
      </c>
      <c r="E478" s="3">
        <v>43950.229861111111</v>
      </c>
      <c r="F478" s="1">
        <v>43562</v>
      </c>
      <c r="G478" s="1">
        <v>43577.563483796293</v>
      </c>
      <c r="H478" t="s">
        <v>25</v>
      </c>
      <c r="I478" t="s">
        <v>15</v>
      </c>
      <c r="J478" t="s">
        <v>35</v>
      </c>
      <c r="L478">
        <v>21</v>
      </c>
      <c r="M478" t="s">
        <v>79</v>
      </c>
      <c r="N478" t="s">
        <v>28</v>
      </c>
      <c r="O478" t="s">
        <v>25</v>
      </c>
      <c r="P478" t="s">
        <v>451</v>
      </c>
      <c r="Q478" t="s">
        <v>451</v>
      </c>
      <c r="R478" t="s">
        <v>153</v>
      </c>
      <c r="S478" t="s">
        <v>451</v>
      </c>
      <c r="T478" t="s">
        <v>29</v>
      </c>
      <c r="V478" t="s">
        <v>451</v>
      </c>
      <c r="W478" t="s">
        <v>34</v>
      </c>
      <c r="X478" t="s">
        <v>87</v>
      </c>
      <c r="Y478">
        <v>6.17000007629394</v>
      </c>
      <c r="Z478">
        <v>4.8600001335143999</v>
      </c>
      <c r="AA478">
        <v>0.95999997854232699</v>
      </c>
      <c r="AB478">
        <v>0.99000000953674305</v>
      </c>
      <c r="AC478">
        <v>250.61784362792901</v>
      </c>
      <c r="AD478">
        <v>133</v>
      </c>
      <c r="AE478">
        <v>1</v>
      </c>
      <c r="AF478">
        <v>51</v>
      </c>
      <c r="AG478">
        <v>83.199996948242102</v>
      </c>
      <c r="AH478">
        <v>3</v>
      </c>
      <c r="AI478">
        <v>2</v>
      </c>
      <c r="AJ478">
        <v>41.599998474121001</v>
      </c>
      <c r="AK478">
        <v>5</v>
      </c>
      <c r="AL478">
        <v>5</v>
      </c>
      <c r="AM478">
        <v>16.639999389648398</v>
      </c>
      <c r="AN478" t="s">
        <v>746</v>
      </c>
      <c r="AO478">
        <v>86.799999999999898</v>
      </c>
      <c r="AP478">
        <v>30.034602076124532</v>
      </c>
      <c r="AQ478" s="1">
        <v>42644</v>
      </c>
      <c r="AR478" s="1">
        <v>42005</v>
      </c>
      <c r="AS478" s="1">
        <v>42077.190213194437</v>
      </c>
      <c r="AT478" s="1"/>
      <c r="AU478" s="1">
        <v>42077.244690624997</v>
      </c>
      <c r="AV478" s="1">
        <v>43545.433750810182</v>
      </c>
      <c r="AW478" s="1"/>
      <c r="AX478" s="1">
        <v>43506.9812815162</v>
      </c>
      <c r="AZ478">
        <v>131</v>
      </c>
      <c r="BA478">
        <v>66</v>
      </c>
      <c r="BB478" s="2">
        <v>1</v>
      </c>
      <c r="BC478">
        <f t="shared" si="27"/>
        <v>10.248104681829256</v>
      </c>
      <c r="BD478">
        <v>133</v>
      </c>
      <c r="BE478">
        <v>4</v>
      </c>
      <c r="BF478">
        <v>2.2999999999999901</v>
      </c>
      <c r="BG478">
        <v>8.3000000000000007</v>
      </c>
      <c r="BH478">
        <v>358</v>
      </c>
      <c r="BI478">
        <v>8.5500000000000007</v>
      </c>
      <c r="BJ478">
        <v>6.7</v>
      </c>
      <c r="BK478">
        <v>12.8</v>
      </c>
      <c r="BL478">
        <v>9.4</v>
      </c>
      <c r="BM478">
        <v>141.55000000000001</v>
      </c>
      <c r="BN478">
        <v>5.7999999999999901</v>
      </c>
    </row>
    <row r="479" spans="1:66" x14ac:dyDescent="0.3">
      <c r="A479">
        <v>478</v>
      </c>
      <c r="B479" s="2" t="s">
        <v>430</v>
      </c>
      <c r="C479" s="2" t="s">
        <v>448</v>
      </c>
      <c r="D479">
        <v>69.716522267821006</v>
      </c>
      <c r="E479" s="3"/>
      <c r="F479" s="1">
        <v>44628.388888888891</v>
      </c>
      <c r="G479" s="1">
        <v>44605.507627314822</v>
      </c>
      <c r="H479" t="s">
        <v>15</v>
      </c>
      <c r="I479" t="s">
        <v>15</v>
      </c>
      <c r="J479" t="s">
        <v>28</v>
      </c>
      <c r="L479">
        <v>30</v>
      </c>
      <c r="M479" t="s">
        <v>451</v>
      </c>
      <c r="N479" t="s">
        <v>451</v>
      </c>
      <c r="O479" t="s">
        <v>451</v>
      </c>
      <c r="P479" t="s">
        <v>75</v>
      </c>
      <c r="Q479" t="s">
        <v>18</v>
      </c>
      <c r="S479" t="s">
        <v>15</v>
      </c>
      <c r="T479" t="s">
        <v>34</v>
      </c>
      <c r="U479" t="s">
        <v>96</v>
      </c>
      <c r="V479" t="s">
        <v>15</v>
      </c>
      <c r="W479" t="s">
        <v>34</v>
      </c>
      <c r="X479" t="s">
        <v>90</v>
      </c>
      <c r="Y479">
        <v>5.1999998092651296</v>
      </c>
      <c r="Z479">
        <v>3.3900001049041699</v>
      </c>
      <c r="AA479">
        <v>0.80000001192092796</v>
      </c>
      <c r="AB479">
        <v>10</v>
      </c>
      <c r="AC479">
        <v>3291.48608398437</v>
      </c>
      <c r="AD479">
        <v>1881</v>
      </c>
      <c r="AE479">
        <v>1.8099999427795399</v>
      </c>
      <c r="AF479">
        <v>73</v>
      </c>
      <c r="AG479">
        <v>114</v>
      </c>
      <c r="AH479">
        <v>6.6199998855590803</v>
      </c>
      <c r="AI479">
        <v>5.2800002098083398</v>
      </c>
      <c r="AJ479">
        <v>21.590000152587798</v>
      </c>
      <c r="AK479">
        <v>8.2200002670287997</v>
      </c>
      <c r="AL479">
        <v>9.6899995803833008</v>
      </c>
      <c r="AM479">
        <v>11.7600002288818</v>
      </c>
      <c r="AN479" t="s">
        <v>747</v>
      </c>
      <c r="AO479">
        <v>58.2</v>
      </c>
      <c r="AP479">
        <v>22.734375000000004</v>
      </c>
      <c r="AQ479" s="1">
        <v>44562</v>
      </c>
      <c r="AR479" s="1">
        <v>44619</v>
      </c>
      <c r="AS479" s="1">
        <v>44617.859618055547</v>
      </c>
      <c r="AT479" s="1">
        <v>44617.863032407397</v>
      </c>
      <c r="AU479" s="1">
        <v>44581.164454363417</v>
      </c>
      <c r="AV479" s="1">
        <v>44581.164454363417</v>
      </c>
      <c r="AW479" s="1">
        <v>44581.164454363417</v>
      </c>
      <c r="AX479" s="1"/>
      <c r="AZ479">
        <v>117</v>
      </c>
      <c r="BA479">
        <v>47</v>
      </c>
      <c r="BB479" s="2">
        <v>2</v>
      </c>
      <c r="BC479">
        <f t="shared" si="27"/>
        <v>8.7269551203550595</v>
      </c>
      <c r="BD479">
        <v>140</v>
      </c>
      <c r="BE479">
        <v>4.2999999999999901</v>
      </c>
      <c r="BF479">
        <v>3.2</v>
      </c>
      <c r="BG479">
        <v>10.1</v>
      </c>
      <c r="BH479">
        <v>156</v>
      </c>
      <c r="BI479">
        <v>6.50999999999999</v>
      </c>
      <c r="BJ479">
        <v>8.6999999999999904</v>
      </c>
      <c r="BK479">
        <v>6.7</v>
      </c>
      <c r="BL479">
        <v>8.0999999999999908</v>
      </c>
      <c r="BM479">
        <v>132.509999999999</v>
      </c>
      <c r="BN479">
        <v>5.0999999999999899</v>
      </c>
    </row>
    <row r="480" spans="1:66" x14ac:dyDescent="0.3">
      <c r="A480">
        <v>479</v>
      </c>
      <c r="B480" s="2" t="s">
        <v>430</v>
      </c>
      <c r="C480" s="2" t="s">
        <v>448</v>
      </c>
      <c r="D480">
        <v>70.180574555402998</v>
      </c>
      <c r="E480" s="3">
        <v>45582.4375</v>
      </c>
      <c r="F480" s="1">
        <v>44889</v>
      </c>
      <c r="G480" s="1">
        <v>44626.326180555552</v>
      </c>
      <c r="H480" t="s">
        <v>15</v>
      </c>
      <c r="I480" t="s">
        <v>78</v>
      </c>
      <c r="J480" t="s">
        <v>15</v>
      </c>
      <c r="L480">
        <v>60</v>
      </c>
      <c r="M480" t="s">
        <v>451</v>
      </c>
      <c r="N480" t="s">
        <v>451</v>
      </c>
      <c r="O480" t="s">
        <v>17</v>
      </c>
      <c r="P480" t="s">
        <v>451</v>
      </c>
      <c r="Q480" t="s">
        <v>451</v>
      </c>
      <c r="S480" t="s">
        <v>451</v>
      </c>
      <c r="T480" t="s">
        <v>18</v>
      </c>
      <c r="V480" t="s">
        <v>451</v>
      </c>
      <c r="W480" t="s">
        <v>18</v>
      </c>
      <c r="Y480">
        <v>4.3000001907348597</v>
      </c>
      <c r="Z480">
        <v>2.70000004768371</v>
      </c>
      <c r="AA480">
        <v>1.20000004768371</v>
      </c>
      <c r="AB480">
        <v>1.3999999761581401</v>
      </c>
      <c r="AC480">
        <v>207.76966857910099</v>
      </c>
      <c r="AD480">
        <v>106</v>
      </c>
      <c r="AE480">
        <v>1</v>
      </c>
      <c r="AG480">
        <v>120</v>
      </c>
      <c r="AI480">
        <v>5.0300002098083398</v>
      </c>
      <c r="AJ480">
        <v>23.860000610351499</v>
      </c>
      <c r="AK480">
        <v>6.2899999618530202</v>
      </c>
      <c r="AL480">
        <v>8.1199998855590803</v>
      </c>
      <c r="AM480">
        <v>14.779999732971101</v>
      </c>
      <c r="AN480" t="s">
        <v>748</v>
      </c>
      <c r="AO480">
        <v>74.7</v>
      </c>
      <c r="AP480">
        <v>27.108433734939759</v>
      </c>
      <c r="AR480" s="1">
        <v>44787</v>
      </c>
      <c r="AS480" s="1">
        <v>41089.446945682866</v>
      </c>
      <c r="AT480" s="1">
        <v>44656.621550925927</v>
      </c>
      <c r="AU480" s="1">
        <v>41089.446945682866</v>
      </c>
      <c r="AV480" s="1">
        <v>41089.446945682866</v>
      </c>
      <c r="AW480" s="1"/>
      <c r="AX480" s="1"/>
      <c r="BA480">
        <v>76</v>
      </c>
      <c r="BB480" s="5">
        <v>0</v>
      </c>
      <c r="BC480">
        <f t="shared" si="27"/>
        <v>33.07655429167567</v>
      </c>
      <c r="BD480">
        <v>133</v>
      </c>
      <c r="BE480">
        <v>6.9</v>
      </c>
      <c r="BF480">
        <v>3.6</v>
      </c>
      <c r="BG480">
        <v>10.8</v>
      </c>
      <c r="BH480">
        <v>131</v>
      </c>
      <c r="BI480">
        <v>2.1899999999999902</v>
      </c>
      <c r="BJ480">
        <v>9.3000000000000007</v>
      </c>
      <c r="BK480">
        <v>4.9000000000000004</v>
      </c>
      <c r="BL480">
        <v>12.6999999999999</v>
      </c>
      <c r="BM480">
        <v>35.130000000000003</v>
      </c>
      <c r="BN480">
        <v>8</v>
      </c>
    </row>
    <row r="481" spans="1:66" x14ac:dyDescent="0.3">
      <c r="A481">
        <v>480</v>
      </c>
      <c r="B481" s="2" t="s">
        <v>434</v>
      </c>
      <c r="C481" s="2" t="s">
        <v>448</v>
      </c>
      <c r="D481">
        <v>62.254445964432001</v>
      </c>
      <c r="E481" s="3">
        <v>42106</v>
      </c>
      <c r="F481" s="1">
        <v>41792</v>
      </c>
      <c r="G481" s="1">
        <v>41772.385891203703</v>
      </c>
      <c r="H481" t="s">
        <v>15</v>
      </c>
      <c r="I481" t="s">
        <v>451</v>
      </c>
      <c r="J481" t="s">
        <v>28</v>
      </c>
      <c r="K481" t="s">
        <v>464</v>
      </c>
      <c r="L481">
        <v>35</v>
      </c>
      <c r="M481" t="s">
        <v>17</v>
      </c>
      <c r="N481" t="s">
        <v>28</v>
      </c>
      <c r="O481" t="s">
        <v>25</v>
      </c>
      <c r="P481" t="s">
        <v>451</v>
      </c>
      <c r="Q481" t="s">
        <v>451</v>
      </c>
      <c r="S481" t="s">
        <v>451</v>
      </c>
      <c r="T481" t="s">
        <v>19</v>
      </c>
      <c r="V481" t="s">
        <v>451</v>
      </c>
      <c r="W481" t="s">
        <v>34</v>
      </c>
      <c r="X481" t="s">
        <v>87</v>
      </c>
      <c r="Y481">
        <v>4.9000000953674299</v>
      </c>
      <c r="Z481">
        <v>3.7999999523162802</v>
      </c>
      <c r="AA481">
        <v>1</v>
      </c>
      <c r="AB481">
        <v>1</v>
      </c>
      <c r="AC481">
        <v>176.03552246093699</v>
      </c>
      <c r="AD481">
        <v>92</v>
      </c>
      <c r="AE481">
        <v>2.3099999427795401</v>
      </c>
      <c r="AF481">
        <v>55</v>
      </c>
      <c r="AG481">
        <v>57.5</v>
      </c>
      <c r="AH481">
        <v>4.4000000953674299</v>
      </c>
      <c r="AI481">
        <v>4.9000000953674299</v>
      </c>
      <c r="AJ481">
        <v>11.7299995422363</v>
      </c>
      <c r="AK481">
        <v>7.0999999046325604</v>
      </c>
      <c r="AL481">
        <v>6.0999999046325604</v>
      </c>
      <c r="AM481">
        <v>9.4300003051757795</v>
      </c>
      <c r="AN481" t="s">
        <v>749</v>
      </c>
      <c r="AO481">
        <v>79</v>
      </c>
      <c r="AP481">
        <v>27.990362811791385</v>
      </c>
      <c r="AS481" s="1"/>
      <c r="AT481" s="1">
        <v>40840.63754502315</v>
      </c>
      <c r="AU481" s="1"/>
      <c r="AV481" s="1"/>
      <c r="AW481" s="1"/>
      <c r="AX481" s="1"/>
      <c r="BB481" s="2">
        <v>8</v>
      </c>
      <c r="BC481">
        <f t="shared" si="27"/>
        <v>55.754346122093978</v>
      </c>
      <c r="BD481">
        <v>135</v>
      </c>
      <c r="BE481">
        <v>4.2</v>
      </c>
      <c r="BF481">
        <v>3.1</v>
      </c>
      <c r="BG481">
        <v>7.5</v>
      </c>
      <c r="BH481">
        <v>90</v>
      </c>
      <c r="BI481">
        <v>1.53</v>
      </c>
      <c r="BJ481">
        <v>8.5</v>
      </c>
      <c r="BK481">
        <v>3.2999999999999901</v>
      </c>
      <c r="BL481">
        <v>12.5</v>
      </c>
      <c r="BM481">
        <v>17.559999999999899</v>
      </c>
      <c r="BN481">
        <v>6.2</v>
      </c>
    </row>
    <row r="482" spans="1:66" x14ac:dyDescent="0.3">
      <c r="A482">
        <v>481</v>
      </c>
      <c r="B482" s="2" t="s">
        <v>430</v>
      </c>
      <c r="C482" s="2" t="s">
        <v>448</v>
      </c>
      <c r="D482">
        <v>65.912448700409897</v>
      </c>
      <c r="E482" s="3">
        <v>45259</v>
      </c>
      <c r="F482" s="1">
        <v>43276</v>
      </c>
      <c r="G482" s="1">
        <v>43254.429328703707</v>
      </c>
      <c r="H482" t="s">
        <v>15</v>
      </c>
      <c r="I482" t="s">
        <v>78</v>
      </c>
      <c r="J482" t="s">
        <v>14</v>
      </c>
      <c r="L482">
        <v>45</v>
      </c>
      <c r="M482" t="s">
        <v>451</v>
      </c>
      <c r="N482" t="s">
        <v>451</v>
      </c>
      <c r="O482" t="s">
        <v>17</v>
      </c>
      <c r="P482" t="s">
        <v>75</v>
      </c>
      <c r="Q482" t="s">
        <v>451</v>
      </c>
      <c r="S482" t="s">
        <v>451</v>
      </c>
      <c r="T482" t="s">
        <v>19</v>
      </c>
      <c r="U482" t="s">
        <v>96</v>
      </c>
      <c r="V482" t="s">
        <v>451</v>
      </c>
      <c r="W482" t="s">
        <v>18</v>
      </c>
      <c r="X482" t="s">
        <v>87</v>
      </c>
      <c r="Y482">
        <v>5.38000011444091</v>
      </c>
      <c r="Z482">
        <v>4.1199998855590803</v>
      </c>
      <c r="AA482">
        <v>1.29999995231628</v>
      </c>
      <c r="AB482">
        <v>0.93999999761581399</v>
      </c>
      <c r="AC482">
        <v>239.15924072265599</v>
      </c>
      <c r="AD482">
        <v>125</v>
      </c>
      <c r="AE482">
        <v>1</v>
      </c>
      <c r="AF482">
        <v>52</v>
      </c>
      <c r="AG482">
        <v>80.5</v>
      </c>
      <c r="AH482">
        <v>5.9499998092651296</v>
      </c>
      <c r="AI482">
        <v>5.75</v>
      </c>
      <c r="AJ482">
        <v>14</v>
      </c>
      <c r="AK482">
        <v>7.9000000953674299</v>
      </c>
      <c r="AL482">
        <v>6.8200001716613698</v>
      </c>
      <c r="AM482">
        <v>11.800000190734799</v>
      </c>
      <c r="AN482" t="s">
        <v>750</v>
      </c>
      <c r="AO482">
        <v>79</v>
      </c>
      <c r="AP482">
        <v>27.990362811791385</v>
      </c>
      <c r="AS482" s="1"/>
      <c r="AT482" s="1"/>
      <c r="AU482" s="1">
        <v>40037.572757372684</v>
      </c>
      <c r="AV482" s="1">
        <v>40027.891313043983</v>
      </c>
      <c r="AW482" s="1">
        <v>42973.212747569443</v>
      </c>
      <c r="AX482" s="1"/>
      <c r="AY482" t="s">
        <v>21</v>
      </c>
      <c r="AZ482">
        <v>154</v>
      </c>
      <c r="BA482">
        <v>71</v>
      </c>
      <c r="BB482" s="2">
        <v>2</v>
      </c>
      <c r="BC482">
        <f t="shared" si="27"/>
        <v>9.5523510782537304</v>
      </c>
      <c r="BD482">
        <v>144</v>
      </c>
      <c r="BE482">
        <v>4.2</v>
      </c>
      <c r="BF482">
        <v>3.2</v>
      </c>
      <c r="BG482">
        <v>9.1999999999999904</v>
      </c>
      <c r="BH482">
        <v>227</v>
      </c>
      <c r="BI482">
        <v>8.5099999999999891</v>
      </c>
      <c r="BJ482">
        <v>7.2</v>
      </c>
      <c r="BK482">
        <v>5.7999999999999901</v>
      </c>
      <c r="BL482">
        <v>7.2999999999999901</v>
      </c>
      <c r="BM482">
        <v>164.259999999999</v>
      </c>
      <c r="BN482">
        <v>5.5999999999999899</v>
      </c>
    </row>
    <row r="483" spans="1:66" x14ac:dyDescent="0.3">
      <c r="A483">
        <v>482</v>
      </c>
      <c r="B483" s="2" t="s">
        <v>430</v>
      </c>
      <c r="C483" s="2" t="s">
        <v>448</v>
      </c>
      <c r="D483">
        <v>70.871684526522898</v>
      </c>
      <c r="E483" s="3">
        <v>45278.848611111112</v>
      </c>
      <c r="F483" s="1">
        <v>44966.600694444453</v>
      </c>
      <c r="G483" s="1">
        <v>44929.446157407408</v>
      </c>
      <c r="H483" t="s">
        <v>17</v>
      </c>
      <c r="I483" t="s">
        <v>451</v>
      </c>
      <c r="J483" t="s">
        <v>14</v>
      </c>
      <c r="K483" t="s">
        <v>157</v>
      </c>
      <c r="L483">
        <v>45</v>
      </c>
      <c r="M483" t="s">
        <v>451</v>
      </c>
      <c r="N483" t="s">
        <v>451</v>
      </c>
      <c r="O483" t="s">
        <v>17</v>
      </c>
      <c r="P483" t="s">
        <v>75</v>
      </c>
      <c r="Q483" t="s">
        <v>19</v>
      </c>
      <c r="S483" t="s">
        <v>75</v>
      </c>
      <c r="T483" t="s">
        <v>23</v>
      </c>
      <c r="V483" t="s">
        <v>15</v>
      </c>
      <c r="W483" t="s">
        <v>19</v>
      </c>
      <c r="X483" t="s">
        <v>15</v>
      </c>
      <c r="Y483">
        <v>5.5700001716613698</v>
      </c>
      <c r="Z483">
        <v>3.2899999618530198</v>
      </c>
      <c r="AA483">
        <v>0.99000000953674305</v>
      </c>
      <c r="AB483">
        <v>1.0900000333786</v>
      </c>
      <c r="AC483">
        <v>229.30717468261699</v>
      </c>
      <c r="AD483">
        <v>113</v>
      </c>
      <c r="AE483">
        <v>1.62000000476837</v>
      </c>
      <c r="AF483">
        <v>26</v>
      </c>
      <c r="AG483">
        <v>151</v>
      </c>
      <c r="AI483">
        <v>7.1599998474120996</v>
      </c>
      <c r="AJ483">
        <v>21.090000152587798</v>
      </c>
      <c r="AK483">
        <v>6.0900001525878897</v>
      </c>
      <c r="AL483">
        <v>7.4499998092651296</v>
      </c>
      <c r="AM483">
        <v>20.270000457763601</v>
      </c>
      <c r="AN483" t="s">
        <v>751</v>
      </c>
      <c r="AQ483" s="1">
        <v>44958</v>
      </c>
      <c r="AS483" s="1">
        <v>44929.07021489583</v>
      </c>
      <c r="AT483" s="1"/>
      <c r="AU483" s="1"/>
      <c r="AV483" s="1">
        <v>44935.433147881937</v>
      </c>
      <c r="AW483" s="1"/>
      <c r="AX483" s="1"/>
      <c r="AZ483">
        <v>130</v>
      </c>
      <c r="BA483">
        <v>70</v>
      </c>
      <c r="BB483" s="2">
        <v>8</v>
      </c>
      <c r="BC483">
        <v>8.1999999999999993</v>
      </c>
      <c r="BD483">
        <v>126</v>
      </c>
      <c r="BE483">
        <v>3.7999999999999901</v>
      </c>
      <c r="BF483">
        <v>3</v>
      </c>
      <c r="BG483">
        <v>8.9</v>
      </c>
      <c r="BH483">
        <v>299</v>
      </c>
      <c r="BI483">
        <v>7.74</v>
      </c>
      <c r="BJ483">
        <v>7.5</v>
      </c>
      <c r="BK483">
        <v>4.7</v>
      </c>
      <c r="BL483">
        <v>13.4</v>
      </c>
      <c r="BM483">
        <v>12.6999999999999</v>
      </c>
      <c r="BN483">
        <v>7</v>
      </c>
    </row>
    <row r="484" spans="1:66" x14ac:dyDescent="0.3">
      <c r="A484">
        <v>483</v>
      </c>
      <c r="B484" s="2" t="s">
        <v>430</v>
      </c>
      <c r="C484" s="2" t="s">
        <v>448</v>
      </c>
      <c r="D484">
        <v>64.897400820792996</v>
      </c>
      <c r="E484" s="3">
        <v>43290</v>
      </c>
      <c r="F484" s="1">
        <v>42747</v>
      </c>
      <c r="G484" s="1">
        <v>42384.396562499998</v>
      </c>
      <c r="H484" t="s">
        <v>17</v>
      </c>
      <c r="I484" t="s">
        <v>78</v>
      </c>
      <c r="J484" t="s">
        <v>15</v>
      </c>
      <c r="L484">
        <v>55</v>
      </c>
      <c r="M484" t="s">
        <v>15</v>
      </c>
      <c r="N484" t="s">
        <v>15</v>
      </c>
      <c r="O484" t="s">
        <v>25</v>
      </c>
      <c r="P484" t="s">
        <v>479</v>
      </c>
      <c r="S484" t="s">
        <v>451</v>
      </c>
      <c r="T484" t="s">
        <v>18</v>
      </c>
      <c r="V484" t="s">
        <v>451</v>
      </c>
      <c r="W484" t="s">
        <v>18</v>
      </c>
      <c r="Y484">
        <v>5.9000000953674299</v>
      </c>
      <c r="Z484">
        <v>3.6800000667571999</v>
      </c>
      <c r="AA484">
        <v>1.20000004768371</v>
      </c>
      <c r="AB484">
        <v>0.980000019073486</v>
      </c>
      <c r="AC484">
        <v>268.61642456054602</v>
      </c>
      <c r="AD484">
        <v>125</v>
      </c>
      <c r="AE484">
        <v>1</v>
      </c>
      <c r="AG484">
        <v>64.699996948242102</v>
      </c>
      <c r="AH484">
        <v>6.42000007629394</v>
      </c>
      <c r="AI484">
        <v>4.0599999427795401</v>
      </c>
      <c r="AJ484">
        <v>15.939999580383301</v>
      </c>
      <c r="AK484">
        <v>6.7199997901916504</v>
      </c>
      <c r="AL484">
        <v>5.2600002288818297</v>
      </c>
      <c r="AM484">
        <v>12.300000190734799</v>
      </c>
      <c r="AN484" t="s">
        <v>752</v>
      </c>
      <c r="AO484">
        <v>100</v>
      </c>
      <c r="AP484">
        <v>338020.55164954031</v>
      </c>
      <c r="AS484" s="1"/>
      <c r="AT484" s="1"/>
      <c r="AU484" s="1"/>
      <c r="AV484" s="1"/>
      <c r="AW484" s="1"/>
      <c r="AX484" s="1"/>
      <c r="AY484" t="s">
        <v>21</v>
      </c>
      <c r="AZ484">
        <v>91</v>
      </c>
      <c r="BA484">
        <v>46</v>
      </c>
      <c r="BB484" s="5">
        <v>0</v>
      </c>
      <c r="BC484">
        <f>(140-D484)*AO484/(72*BI484)</f>
        <v>16.121973033489422</v>
      </c>
      <c r="BD484">
        <v>141</v>
      </c>
      <c r="BE484">
        <v>5.2999999999999901</v>
      </c>
      <c r="BF484">
        <v>2.7999999999999901</v>
      </c>
      <c r="BG484">
        <v>10.1</v>
      </c>
      <c r="BH484">
        <v>222</v>
      </c>
      <c r="BI484">
        <v>6.46999999999999</v>
      </c>
      <c r="BJ484">
        <v>6.2999999999999901</v>
      </c>
      <c r="BK484">
        <v>7.2</v>
      </c>
      <c r="BL484">
        <v>8.0999999999999908</v>
      </c>
      <c r="BM484">
        <v>8.9499999999999904</v>
      </c>
      <c r="BN484">
        <v>4.2</v>
      </c>
    </row>
    <row r="485" spans="1:66" x14ac:dyDescent="0.3">
      <c r="A485">
        <v>484</v>
      </c>
      <c r="B485" s="2" t="s">
        <v>430</v>
      </c>
      <c r="C485" s="2" t="s">
        <v>449</v>
      </c>
      <c r="D485">
        <v>60.290013679890002</v>
      </c>
      <c r="E485" s="3">
        <v>43931</v>
      </c>
      <c r="F485" s="1">
        <v>41123</v>
      </c>
      <c r="G485" s="1">
        <v>40941.299537037034</v>
      </c>
      <c r="H485" t="s">
        <v>15</v>
      </c>
      <c r="I485" t="s">
        <v>451</v>
      </c>
      <c r="J485" t="s">
        <v>35</v>
      </c>
      <c r="K485" t="s">
        <v>471</v>
      </c>
      <c r="L485">
        <v>30</v>
      </c>
      <c r="M485" t="s">
        <v>451</v>
      </c>
      <c r="N485" t="s">
        <v>451</v>
      </c>
      <c r="O485" t="s">
        <v>17</v>
      </c>
      <c r="P485" t="s">
        <v>75</v>
      </c>
      <c r="Q485" t="s">
        <v>451</v>
      </c>
      <c r="S485" t="s">
        <v>451</v>
      </c>
      <c r="T485" t="s">
        <v>19</v>
      </c>
      <c r="V485" t="s">
        <v>451</v>
      </c>
      <c r="W485" t="s">
        <v>18</v>
      </c>
      <c r="Y485">
        <v>5.0999999046325604</v>
      </c>
      <c r="Z485">
        <v>4.5999999046325604</v>
      </c>
      <c r="AA485">
        <v>1.29999995231628</v>
      </c>
      <c r="AB485">
        <v>0.89999997615814198</v>
      </c>
      <c r="AC485">
        <v>213.89651489257801</v>
      </c>
      <c r="AD485">
        <v>97</v>
      </c>
      <c r="AE485">
        <v>2.8099999427795401</v>
      </c>
      <c r="AG485">
        <v>124</v>
      </c>
      <c r="AH485">
        <v>4</v>
      </c>
      <c r="AI485">
        <v>5</v>
      </c>
      <c r="AJ485">
        <v>24.799999237060501</v>
      </c>
      <c r="AK485">
        <v>6</v>
      </c>
      <c r="AL485">
        <v>7</v>
      </c>
      <c r="AM485">
        <v>17.709999084472599</v>
      </c>
      <c r="AN485" t="s">
        <v>753</v>
      </c>
      <c r="AO485">
        <v>97</v>
      </c>
      <c r="AP485">
        <v>31.673469387755102</v>
      </c>
      <c r="AQ485" s="1">
        <v>36137</v>
      </c>
      <c r="AS485" s="1">
        <v>39882.787644097218</v>
      </c>
      <c r="AT485" s="1"/>
      <c r="AU485" s="1">
        <v>39882.788676192133</v>
      </c>
      <c r="AV485" s="1">
        <v>39882.788452858797</v>
      </c>
      <c r="AW485" s="1"/>
      <c r="AX485" s="1"/>
      <c r="AZ485">
        <v>104</v>
      </c>
      <c r="BA485">
        <v>60</v>
      </c>
      <c r="BB485" s="2">
        <v>1</v>
      </c>
      <c r="BC485">
        <f>(140-D485)*AO485/(72*BI485)</f>
        <v>35.676765748665076</v>
      </c>
      <c r="BD485">
        <v>129</v>
      </c>
      <c r="BE485">
        <v>4.7</v>
      </c>
      <c r="BF485">
        <v>3.6</v>
      </c>
      <c r="BG485">
        <v>10.6</v>
      </c>
      <c r="BH485">
        <v>158</v>
      </c>
      <c r="BI485">
        <v>3.00999999999999</v>
      </c>
      <c r="BJ485">
        <v>9.3000000000000007</v>
      </c>
      <c r="BK485">
        <v>4.7999999999999901</v>
      </c>
      <c r="BL485">
        <v>11</v>
      </c>
      <c r="BM485">
        <v>5.23</v>
      </c>
      <c r="BN485">
        <v>7.7999999999999901</v>
      </c>
    </row>
    <row r="486" spans="1:66" x14ac:dyDescent="0.3">
      <c r="A486">
        <v>485</v>
      </c>
      <c r="B486" s="2" t="s">
        <v>434</v>
      </c>
      <c r="C486" s="2" t="s">
        <v>449</v>
      </c>
      <c r="D486">
        <v>61.381668946647899</v>
      </c>
      <c r="E486" s="3">
        <v>42862</v>
      </c>
      <c r="F486" s="1">
        <v>41679</v>
      </c>
      <c r="G486" s="1">
        <v>41360.691377314812</v>
      </c>
      <c r="H486" t="s">
        <v>15</v>
      </c>
      <c r="I486" t="s">
        <v>78</v>
      </c>
      <c r="J486" t="s">
        <v>15</v>
      </c>
      <c r="L486">
        <v>60</v>
      </c>
      <c r="M486" t="s">
        <v>451</v>
      </c>
      <c r="N486" t="s">
        <v>451</v>
      </c>
      <c r="O486" t="s">
        <v>17</v>
      </c>
      <c r="P486" t="s">
        <v>451</v>
      </c>
      <c r="Q486" t="s">
        <v>18</v>
      </c>
      <c r="S486" t="s">
        <v>451</v>
      </c>
      <c r="T486" t="s">
        <v>18</v>
      </c>
      <c r="U486" t="s">
        <v>96</v>
      </c>
      <c r="V486" t="s">
        <v>451</v>
      </c>
      <c r="W486" t="s">
        <v>18</v>
      </c>
      <c r="X486" t="s">
        <v>78</v>
      </c>
      <c r="Y486">
        <v>5.38000011444091</v>
      </c>
      <c r="Z486">
        <v>3.5</v>
      </c>
      <c r="AA486">
        <v>1.20000004768371</v>
      </c>
      <c r="AB486">
        <v>1.00999999046325</v>
      </c>
      <c r="AC486">
        <v>234.82847595214801</v>
      </c>
      <c r="AD486">
        <v>127</v>
      </c>
      <c r="AE486">
        <v>1</v>
      </c>
      <c r="AF486">
        <v>45</v>
      </c>
      <c r="AG486">
        <v>56.099998474121001</v>
      </c>
      <c r="AH486">
        <v>6</v>
      </c>
      <c r="AI486">
        <v>4</v>
      </c>
      <c r="AJ486">
        <v>14.020000457763601</v>
      </c>
      <c r="AK486">
        <v>4</v>
      </c>
      <c r="AL486">
        <v>4</v>
      </c>
      <c r="AM486">
        <v>14.020000457763601</v>
      </c>
      <c r="AN486" t="s">
        <v>754</v>
      </c>
      <c r="AO486">
        <v>94.549999999999898</v>
      </c>
      <c r="AP486">
        <v>39.354838709677381</v>
      </c>
      <c r="AS486" s="1"/>
      <c r="AT486" s="1"/>
      <c r="AU486" s="1">
        <v>40052.962639502322</v>
      </c>
      <c r="AV486" s="1">
        <v>40052.962560960637</v>
      </c>
      <c r="AW486" s="1">
        <v>40866.990362303237</v>
      </c>
      <c r="AX486" s="1"/>
      <c r="AY486" t="s">
        <v>21</v>
      </c>
      <c r="BB486" s="2">
        <v>2</v>
      </c>
      <c r="BC486">
        <f>(140-D486)*AO486/(72*BI486)</f>
        <v>17.468892651566165</v>
      </c>
      <c r="BD486">
        <v>142</v>
      </c>
      <c r="BE486">
        <v>4.4000000000000004</v>
      </c>
      <c r="BF486">
        <v>3.2</v>
      </c>
      <c r="BG486">
        <v>9.4</v>
      </c>
      <c r="BH486">
        <v>134</v>
      </c>
      <c r="BI486">
        <v>5.91</v>
      </c>
      <c r="BJ486">
        <v>9.0999999999999908</v>
      </c>
      <c r="BK486">
        <v>5</v>
      </c>
      <c r="BL486">
        <v>8.3000000000000007</v>
      </c>
      <c r="BM486">
        <v>29.2899999999999</v>
      </c>
      <c r="BN486">
        <v>5.4</v>
      </c>
    </row>
    <row r="487" spans="1:66" x14ac:dyDescent="0.3">
      <c r="A487">
        <v>486</v>
      </c>
      <c r="B487" s="2" t="s">
        <v>430</v>
      </c>
      <c r="C487" s="2" t="s">
        <v>449</v>
      </c>
      <c r="D487">
        <v>61.655266757865</v>
      </c>
      <c r="E487" s="3">
        <v>42434</v>
      </c>
      <c r="F487" s="1">
        <v>41688</v>
      </c>
      <c r="G487" s="1">
        <v>41693.383981481478</v>
      </c>
      <c r="H487" t="s">
        <v>17</v>
      </c>
      <c r="I487" t="s">
        <v>15</v>
      </c>
      <c r="J487" t="s">
        <v>35</v>
      </c>
      <c r="K487" t="s">
        <v>268</v>
      </c>
      <c r="L487">
        <v>25</v>
      </c>
      <c r="M487" t="s">
        <v>15</v>
      </c>
      <c r="N487" t="s">
        <v>15</v>
      </c>
      <c r="O487" t="s">
        <v>17</v>
      </c>
      <c r="P487" t="s">
        <v>451</v>
      </c>
      <c r="Q487" t="s">
        <v>451</v>
      </c>
      <c r="S487" t="s">
        <v>451</v>
      </c>
      <c r="T487" t="s">
        <v>19</v>
      </c>
      <c r="V487" t="s">
        <v>451</v>
      </c>
      <c r="W487" t="s">
        <v>18</v>
      </c>
      <c r="X487" t="s">
        <v>87</v>
      </c>
      <c r="Y487">
        <v>5.6100001335143999</v>
      </c>
      <c r="Z487">
        <v>4.3000001907348597</v>
      </c>
      <c r="AA487">
        <v>0.730000019073486</v>
      </c>
      <c r="AB487">
        <v>1.0599999427795399</v>
      </c>
      <c r="AC487">
        <v>190.84971618652301</v>
      </c>
      <c r="AD487">
        <v>119</v>
      </c>
      <c r="AE487">
        <v>2</v>
      </c>
      <c r="AF487">
        <v>50</v>
      </c>
      <c r="AG487">
        <v>116</v>
      </c>
      <c r="AH487">
        <v>4</v>
      </c>
      <c r="AI487">
        <v>3</v>
      </c>
      <c r="AJ487">
        <v>38.669998168945298</v>
      </c>
      <c r="AK487">
        <v>5</v>
      </c>
      <c r="AL487">
        <v>4</v>
      </c>
      <c r="AM487">
        <v>29</v>
      </c>
      <c r="AN487" t="s">
        <v>755</v>
      </c>
      <c r="AO487">
        <v>60</v>
      </c>
      <c r="AP487">
        <v>24.034609838166961</v>
      </c>
      <c r="AQ487" s="1">
        <v>40544</v>
      </c>
      <c r="AS487" s="1">
        <v>40134.518944444448</v>
      </c>
      <c r="AT487" s="1"/>
      <c r="AU487" s="1">
        <v>40783.693004826389</v>
      </c>
      <c r="AV487" s="1">
        <v>40134.518581481483</v>
      </c>
      <c r="AW487" s="1">
        <v>40787.906679745371</v>
      </c>
      <c r="AX487" s="1"/>
      <c r="AZ487">
        <v>92</v>
      </c>
      <c r="BA487">
        <v>58</v>
      </c>
      <c r="BB487" s="2">
        <v>2</v>
      </c>
      <c r="BC487">
        <f>(140-D487)*AO487/(72*BI487)</f>
        <v>9.2083607477826881</v>
      </c>
      <c r="BD487">
        <v>136</v>
      </c>
      <c r="BE487">
        <v>3.6</v>
      </c>
      <c r="BF487">
        <v>2.8999999999999901</v>
      </c>
      <c r="BG487">
        <v>9.1999999999999904</v>
      </c>
      <c r="BH487">
        <v>226</v>
      </c>
      <c r="BI487">
        <v>7.0899999999999901</v>
      </c>
      <c r="BJ487">
        <v>5.7</v>
      </c>
      <c r="BK487">
        <v>7</v>
      </c>
      <c r="BL487">
        <v>7.7999999999999901</v>
      </c>
      <c r="BM487">
        <v>154.68</v>
      </c>
      <c r="BN487">
        <v>12.1</v>
      </c>
    </row>
    <row r="488" spans="1:66" x14ac:dyDescent="0.3">
      <c r="A488">
        <v>487</v>
      </c>
      <c r="B488" s="2" t="s">
        <v>434</v>
      </c>
      <c r="C488" s="2" t="s">
        <v>448</v>
      </c>
      <c r="D488">
        <v>64.426812585498894</v>
      </c>
      <c r="E488" s="3">
        <v>43014</v>
      </c>
      <c r="F488" s="1">
        <v>42750</v>
      </c>
      <c r="G488" s="1">
        <v>42390.364340277767</v>
      </c>
      <c r="H488" t="s">
        <v>25</v>
      </c>
      <c r="I488" t="s">
        <v>451</v>
      </c>
      <c r="J488" t="s">
        <v>30</v>
      </c>
      <c r="K488" t="s">
        <v>464</v>
      </c>
      <c r="L488">
        <v>30</v>
      </c>
      <c r="M488" t="s">
        <v>17</v>
      </c>
      <c r="N488" t="s">
        <v>28</v>
      </c>
      <c r="O488" t="s">
        <v>17</v>
      </c>
      <c r="P488" t="s">
        <v>451</v>
      </c>
      <c r="Q488" t="s">
        <v>23</v>
      </c>
      <c r="S488" t="s">
        <v>451</v>
      </c>
      <c r="T488" t="s">
        <v>29</v>
      </c>
      <c r="V488" t="s">
        <v>451</v>
      </c>
      <c r="W488" t="s">
        <v>19</v>
      </c>
      <c r="X488" t="s">
        <v>87</v>
      </c>
      <c r="Y488">
        <v>6.2699999809265101</v>
      </c>
      <c r="Z488">
        <v>5.1199998855590803</v>
      </c>
      <c r="AA488">
        <v>1.12000000476837</v>
      </c>
      <c r="AB488">
        <v>0.94999998807907104</v>
      </c>
      <c r="AC488">
        <v>278.15670776367102</v>
      </c>
      <c r="AD488">
        <v>139</v>
      </c>
      <c r="AE488">
        <v>2.25</v>
      </c>
      <c r="AF488">
        <v>55</v>
      </c>
      <c r="AG488">
        <v>147</v>
      </c>
      <c r="AH488">
        <v>4.3000001907348597</v>
      </c>
      <c r="AI488">
        <v>3.5</v>
      </c>
      <c r="AJ488">
        <v>42</v>
      </c>
      <c r="AK488">
        <v>5.4000000953674299</v>
      </c>
      <c r="AL488">
        <v>7.5</v>
      </c>
      <c r="AM488">
        <v>19.600000381469702</v>
      </c>
      <c r="AN488" t="s">
        <v>756</v>
      </c>
      <c r="AO488">
        <v>81.150000000000006</v>
      </c>
      <c r="AP488">
        <v>25.612296427218787</v>
      </c>
      <c r="AR488" s="1">
        <v>35796</v>
      </c>
      <c r="AS488" s="1">
        <v>42101.830734606483</v>
      </c>
      <c r="AT488" s="1"/>
      <c r="AU488" s="1">
        <v>42101.830734606483</v>
      </c>
      <c r="AV488" s="1">
        <v>41961.782319212973</v>
      </c>
      <c r="AW488" s="1"/>
      <c r="AX488" s="1"/>
      <c r="BB488" s="2">
        <v>5</v>
      </c>
      <c r="BC488">
        <f>(140-D488)*AO488/(72*BI488)</f>
        <v>23.859182067720131</v>
      </c>
      <c r="BD488">
        <v>140</v>
      </c>
      <c r="BE488">
        <v>3.6</v>
      </c>
      <c r="BF488">
        <v>2.7999999999999901</v>
      </c>
      <c r="BH488">
        <v>176</v>
      </c>
      <c r="BI488">
        <v>3.5699999999999901</v>
      </c>
      <c r="BJ488">
        <v>7.5999999999999899</v>
      </c>
      <c r="BK488">
        <v>5.4</v>
      </c>
      <c r="BL488">
        <v>13.3</v>
      </c>
      <c r="BM488">
        <v>36.590000000000003</v>
      </c>
      <c r="BN488">
        <v>6.2999999999999901</v>
      </c>
    </row>
    <row r="489" spans="1:66" x14ac:dyDescent="0.3">
      <c r="A489">
        <v>488</v>
      </c>
      <c r="B489" s="2" t="s">
        <v>430</v>
      </c>
      <c r="C489" s="2" t="s">
        <v>448</v>
      </c>
      <c r="D489">
        <v>68.8002165982669</v>
      </c>
      <c r="E489" s="3">
        <v>44755.350694444453</v>
      </c>
      <c r="F489" s="1">
        <v>44742.479166666657</v>
      </c>
      <c r="G489" s="1">
        <v>44732.580555555563</v>
      </c>
      <c r="H489" t="s">
        <v>17</v>
      </c>
      <c r="I489" t="s">
        <v>15</v>
      </c>
      <c r="J489" t="s">
        <v>35</v>
      </c>
      <c r="L489">
        <v>10</v>
      </c>
      <c r="M489" t="s">
        <v>79</v>
      </c>
      <c r="N489" t="s">
        <v>35</v>
      </c>
      <c r="O489" t="s">
        <v>15</v>
      </c>
      <c r="P489" t="s">
        <v>75</v>
      </c>
      <c r="Q489" t="s">
        <v>18</v>
      </c>
      <c r="S489" t="s">
        <v>451</v>
      </c>
      <c r="T489" t="s">
        <v>19</v>
      </c>
      <c r="V489" t="s">
        <v>451</v>
      </c>
      <c r="W489" t="s">
        <v>34</v>
      </c>
      <c r="Y489">
        <v>5.5999999046325604</v>
      </c>
      <c r="Z489">
        <v>4.9000000953674299</v>
      </c>
      <c r="AA489">
        <v>0.89999997615814198</v>
      </c>
      <c r="AB489">
        <v>0.89999997615814198</v>
      </c>
      <c r="AC489">
        <v>191.63385009765599</v>
      </c>
      <c r="AD489">
        <v>103</v>
      </c>
      <c r="AE489">
        <v>1</v>
      </c>
      <c r="AG489">
        <v>104</v>
      </c>
      <c r="AN489" t="s">
        <v>757</v>
      </c>
      <c r="AQ489" s="1">
        <v>41852</v>
      </c>
      <c r="AS489" s="1">
        <v>41929.826657210651</v>
      </c>
      <c r="AT489" s="1"/>
      <c r="AU489" s="1">
        <v>40628.997326354169</v>
      </c>
      <c r="AV489" s="1">
        <v>41929.826657210651</v>
      </c>
      <c r="AW489" s="1"/>
      <c r="AX489" s="1"/>
      <c r="BB489" s="5">
        <v>0</v>
      </c>
      <c r="BC489">
        <v>8.1</v>
      </c>
      <c r="BD489">
        <v>149</v>
      </c>
      <c r="BE489">
        <v>5</v>
      </c>
      <c r="BF489">
        <v>2.3999999999999901</v>
      </c>
      <c r="BG489">
        <v>8.5</v>
      </c>
      <c r="BH489">
        <v>212</v>
      </c>
      <c r="BI489">
        <v>6.82</v>
      </c>
      <c r="BJ489">
        <v>7.2999999999999901</v>
      </c>
      <c r="BK489">
        <v>6.2999999999999901</v>
      </c>
      <c r="BL489">
        <v>9.1999999999999904</v>
      </c>
      <c r="BM489">
        <v>53.52</v>
      </c>
      <c r="BN489">
        <v>6.2</v>
      </c>
    </row>
    <row r="490" spans="1:66" x14ac:dyDescent="0.3">
      <c r="A490">
        <v>489</v>
      </c>
      <c r="B490" s="2" t="s">
        <v>430</v>
      </c>
      <c r="C490" s="2" t="s">
        <v>448</v>
      </c>
      <c r="D490">
        <v>61.647058823529001</v>
      </c>
      <c r="E490" s="3">
        <v>44308.299305555563</v>
      </c>
      <c r="F490" s="1">
        <v>42054</v>
      </c>
      <c r="G490" s="1">
        <v>41717.449826388889</v>
      </c>
      <c r="H490" t="s">
        <v>15</v>
      </c>
      <c r="I490" t="s">
        <v>78</v>
      </c>
      <c r="J490" t="s">
        <v>15</v>
      </c>
      <c r="L490">
        <v>65</v>
      </c>
      <c r="M490" t="s">
        <v>15</v>
      </c>
      <c r="N490" t="s">
        <v>451</v>
      </c>
      <c r="O490" t="s">
        <v>451</v>
      </c>
      <c r="P490" t="s">
        <v>451</v>
      </c>
      <c r="Q490" t="s">
        <v>451</v>
      </c>
      <c r="S490" t="s">
        <v>451</v>
      </c>
      <c r="T490" t="s">
        <v>19</v>
      </c>
      <c r="V490" t="s">
        <v>451</v>
      </c>
      <c r="W490" t="s">
        <v>18</v>
      </c>
      <c r="X490" t="s">
        <v>15</v>
      </c>
      <c r="Y490">
        <v>4</v>
      </c>
      <c r="Z490">
        <v>2.5</v>
      </c>
      <c r="AA490">
        <v>1.1000000238418499</v>
      </c>
      <c r="AB490">
        <v>1.29999995231628</v>
      </c>
      <c r="AC490">
        <v>165.455810546875</v>
      </c>
      <c r="AD490">
        <v>90</v>
      </c>
      <c r="AE490">
        <v>1</v>
      </c>
      <c r="AF490">
        <v>30</v>
      </c>
      <c r="AG490">
        <v>107.51999664306599</v>
      </c>
      <c r="AH490">
        <v>8</v>
      </c>
      <c r="AI490">
        <v>8</v>
      </c>
      <c r="AJ490">
        <v>13.439999580383301</v>
      </c>
      <c r="AK490">
        <v>5</v>
      </c>
      <c r="AL490">
        <v>6</v>
      </c>
      <c r="AM490">
        <v>17.920000076293899</v>
      </c>
      <c r="AN490" t="s">
        <v>758</v>
      </c>
      <c r="AO490">
        <v>70</v>
      </c>
      <c r="AP490">
        <v>24.801587301587301</v>
      </c>
      <c r="AS490" s="1"/>
      <c r="AT490" s="1"/>
      <c r="AU490" s="1"/>
      <c r="AV490" s="1">
        <v>40324.505125347219</v>
      </c>
      <c r="AW490" s="1">
        <v>40324.505382060182</v>
      </c>
      <c r="AX490" s="1"/>
      <c r="AY490" t="s">
        <v>21</v>
      </c>
      <c r="AZ490">
        <v>115</v>
      </c>
      <c r="BA490">
        <v>51</v>
      </c>
      <c r="BB490" s="2">
        <v>2</v>
      </c>
      <c r="BC490">
        <f t="shared" ref="BC490:BC496" si="28">(140-D490)*AO490/(72*BI490)</f>
        <v>14.849214539617124</v>
      </c>
      <c r="BD490">
        <v>141.099999999999</v>
      </c>
      <c r="BE490">
        <v>5.94</v>
      </c>
      <c r="BF490">
        <v>4.2999999999999901</v>
      </c>
      <c r="BG490">
        <v>8.6999999999999904</v>
      </c>
      <c r="BH490">
        <v>153</v>
      </c>
      <c r="BI490">
        <v>5.1299999999999901</v>
      </c>
      <c r="BJ490">
        <v>8.5</v>
      </c>
      <c r="BK490">
        <v>4.7999999999999901</v>
      </c>
      <c r="BL490">
        <v>8.4</v>
      </c>
      <c r="BM490">
        <v>89.6099999999999</v>
      </c>
      <c r="BN490">
        <v>6.2999999999999901</v>
      </c>
    </row>
    <row r="491" spans="1:66" x14ac:dyDescent="0.3">
      <c r="A491">
        <v>490</v>
      </c>
      <c r="B491" s="2" t="s">
        <v>430</v>
      </c>
      <c r="C491" s="2" t="s">
        <v>448</v>
      </c>
      <c r="D491">
        <v>62.511627906976003</v>
      </c>
      <c r="E491" s="3">
        <v>42783.691666666673</v>
      </c>
      <c r="F491" s="1">
        <v>42155</v>
      </c>
      <c r="G491" s="1">
        <v>41935.426354166673</v>
      </c>
      <c r="H491" t="s">
        <v>15</v>
      </c>
      <c r="I491" t="s">
        <v>451</v>
      </c>
      <c r="J491" t="s">
        <v>28</v>
      </c>
      <c r="L491">
        <v>35</v>
      </c>
      <c r="M491" t="s">
        <v>15</v>
      </c>
      <c r="N491" t="s">
        <v>451</v>
      </c>
      <c r="O491" t="s">
        <v>17</v>
      </c>
      <c r="P491" t="s">
        <v>451</v>
      </c>
      <c r="Q491" t="s">
        <v>451</v>
      </c>
      <c r="S491" t="s">
        <v>451</v>
      </c>
      <c r="T491" t="s">
        <v>451</v>
      </c>
      <c r="V491" t="s">
        <v>451</v>
      </c>
      <c r="W491" t="s">
        <v>451</v>
      </c>
      <c r="Y491">
        <v>4.5700001716613698</v>
      </c>
      <c r="Z491">
        <v>2.7699999809265101</v>
      </c>
      <c r="AA491">
        <v>1.0900000333786</v>
      </c>
      <c r="AB491">
        <v>0.93999999761581399</v>
      </c>
      <c r="AC491">
        <v>160.38726806640599</v>
      </c>
      <c r="AD491">
        <v>86</v>
      </c>
      <c r="AE491">
        <v>1</v>
      </c>
      <c r="AG491">
        <v>43.650001525878899</v>
      </c>
      <c r="AH491">
        <v>7</v>
      </c>
      <c r="AI491">
        <v>4</v>
      </c>
      <c r="AJ491">
        <v>10.9099998474121</v>
      </c>
      <c r="AK491">
        <v>11</v>
      </c>
      <c r="AL491">
        <v>7</v>
      </c>
      <c r="AM491">
        <v>6.2399997711181596</v>
      </c>
      <c r="AN491" t="s">
        <v>759</v>
      </c>
      <c r="AO491">
        <v>71</v>
      </c>
      <c r="AP491">
        <v>23.450918219051395</v>
      </c>
      <c r="AQ491" s="1">
        <v>41895</v>
      </c>
      <c r="AS491" s="1">
        <v>39215.083751469909</v>
      </c>
      <c r="AT491" s="1"/>
      <c r="AU491" s="1">
        <v>39393.536174074077</v>
      </c>
      <c r="AV491" s="1">
        <v>39215.081814780089</v>
      </c>
      <c r="AW491" s="1">
        <v>40247.563621527777</v>
      </c>
      <c r="AX491" s="1">
        <v>40247.564034293981</v>
      </c>
      <c r="BB491" s="2">
        <v>3</v>
      </c>
      <c r="BC491">
        <f t="shared" si="28"/>
        <v>13.01740114188128</v>
      </c>
      <c r="BD491">
        <v>139</v>
      </c>
      <c r="BE491">
        <v>4.5999999999999899</v>
      </c>
      <c r="BF491">
        <v>3.3999999999999901</v>
      </c>
      <c r="BG491">
        <v>15.3</v>
      </c>
      <c r="BH491">
        <v>110</v>
      </c>
      <c r="BI491">
        <v>5.87</v>
      </c>
      <c r="BJ491">
        <v>8.4</v>
      </c>
      <c r="BK491">
        <v>7.7999999999999901</v>
      </c>
      <c r="BL491">
        <v>8.5999999999999908</v>
      </c>
      <c r="BM491">
        <v>184.69999999999899</v>
      </c>
      <c r="BN491">
        <v>6.7</v>
      </c>
    </row>
    <row r="492" spans="1:66" x14ac:dyDescent="0.3">
      <c r="A492">
        <v>491</v>
      </c>
      <c r="B492" s="2" t="s">
        <v>434</v>
      </c>
      <c r="C492" s="2" t="s">
        <v>448</v>
      </c>
      <c r="D492">
        <v>67.069767441859895</v>
      </c>
      <c r="E492" s="3">
        <v>43978.668055555558</v>
      </c>
      <c r="F492" s="1">
        <v>43906</v>
      </c>
      <c r="G492" s="1">
        <v>43769.328298611108</v>
      </c>
      <c r="H492" t="s">
        <v>25</v>
      </c>
      <c r="I492" t="s">
        <v>78</v>
      </c>
      <c r="J492" t="s">
        <v>35</v>
      </c>
      <c r="L492">
        <v>25</v>
      </c>
      <c r="M492" t="s">
        <v>17</v>
      </c>
      <c r="N492" t="s">
        <v>35</v>
      </c>
      <c r="O492" t="s">
        <v>25</v>
      </c>
      <c r="P492" t="s">
        <v>75</v>
      </c>
      <c r="Q492" t="s">
        <v>451</v>
      </c>
      <c r="S492" t="s">
        <v>451</v>
      </c>
      <c r="T492" t="s">
        <v>19</v>
      </c>
      <c r="V492" t="s">
        <v>451</v>
      </c>
      <c r="W492" t="s">
        <v>29</v>
      </c>
      <c r="X492" t="s">
        <v>87</v>
      </c>
      <c r="Y492">
        <v>5.9800000190734801</v>
      </c>
      <c r="Z492">
        <v>5.4499998092651296</v>
      </c>
      <c r="AA492">
        <v>1.15999996662139</v>
      </c>
      <c r="AB492">
        <v>0.97000002861022905</v>
      </c>
      <c r="AC492">
        <v>266.47769165039</v>
      </c>
      <c r="AD492">
        <v>121</v>
      </c>
      <c r="AE492">
        <v>2</v>
      </c>
      <c r="AF492">
        <v>56</v>
      </c>
      <c r="AG492">
        <v>98.5</v>
      </c>
      <c r="AH492">
        <v>3.1500000953674299</v>
      </c>
      <c r="AI492">
        <v>3.4900000095367401</v>
      </c>
      <c r="AJ492">
        <v>28.2199993133544</v>
      </c>
      <c r="AK492">
        <v>4.3299999237060502</v>
      </c>
      <c r="AL492">
        <v>8.2700004577636701</v>
      </c>
      <c r="AM492">
        <v>11.9099998474121</v>
      </c>
      <c r="AN492" t="s">
        <v>760</v>
      </c>
      <c r="AO492">
        <v>99.599999999999895</v>
      </c>
      <c r="AP492">
        <v>31.43542482009844</v>
      </c>
      <c r="AQ492" s="1">
        <v>33239</v>
      </c>
      <c r="AR492" s="1">
        <v>36892</v>
      </c>
      <c r="AS492" s="1">
        <v>39924.122686076393</v>
      </c>
      <c r="AT492" s="1">
        <v>43763.490708599536</v>
      </c>
      <c r="AU492" s="1">
        <v>39924.122978819447</v>
      </c>
      <c r="AV492" s="1">
        <v>39924.122888229169</v>
      </c>
      <c r="AW492" s="1"/>
      <c r="AX492" s="1">
        <v>42458.538987928237</v>
      </c>
      <c r="BB492" s="2">
        <v>1</v>
      </c>
      <c r="BC492">
        <f t="shared" si="28"/>
        <v>35.523528769516687</v>
      </c>
      <c r="BD492">
        <v>132</v>
      </c>
      <c r="BE492">
        <v>5.0999999999999899</v>
      </c>
      <c r="BF492">
        <v>2.8999999999999901</v>
      </c>
      <c r="BG492">
        <v>9.3000000000000007</v>
      </c>
      <c r="BH492">
        <v>244</v>
      </c>
      <c r="BI492">
        <v>2.8399999999999901</v>
      </c>
      <c r="BJ492">
        <v>8.5</v>
      </c>
      <c r="BK492">
        <v>5.7999999999999901</v>
      </c>
      <c r="BL492">
        <v>16.8</v>
      </c>
      <c r="BM492">
        <v>80.31</v>
      </c>
      <c r="BN492">
        <v>8.5999999999999908</v>
      </c>
    </row>
    <row r="493" spans="1:66" x14ac:dyDescent="0.3">
      <c r="A493">
        <v>492</v>
      </c>
      <c r="B493" s="2" t="s">
        <v>434</v>
      </c>
      <c r="C493" s="2" t="s">
        <v>448</v>
      </c>
      <c r="D493">
        <v>70.265389876879894</v>
      </c>
      <c r="E493" s="3">
        <v>45578.322916666657</v>
      </c>
      <c r="F493" s="1">
        <v>44986</v>
      </c>
      <c r="G493" s="1">
        <v>44882.36991898148</v>
      </c>
      <c r="H493" t="s">
        <v>17</v>
      </c>
      <c r="I493" t="s">
        <v>15</v>
      </c>
      <c r="J493" t="s">
        <v>35</v>
      </c>
      <c r="L493">
        <v>20</v>
      </c>
      <c r="M493" t="s">
        <v>15</v>
      </c>
      <c r="N493" t="s">
        <v>15</v>
      </c>
      <c r="O493" t="s">
        <v>25</v>
      </c>
      <c r="P493" t="s">
        <v>451</v>
      </c>
      <c r="Q493" t="s">
        <v>451</v>
      </c>
      <c r="S493" t="s">
        <v>451</v>
      </c>
      <c r="T493" t="s">
        <v>29</v>
      </c>
      <c r="U493" t="s">
        <v>522</v>
      </c>
      <c r="V493" t="s">
        <v>159</v>
      </c>
      <c r="W493" t="s">
        <v>23</v>
      </c>
      <c r="Y493">
        <v>6.3000001907348597</v>
      </c>
      <c r="Z493">
        <v>5.7300000190734801</v>
      </c>
      <c r="AA493">
        <v>0.79000002145767201</v>
      </c>
      <c r="AB493">
        <v>0.79000002145767201</v>
      </c>
      <c r="AC493">
        <v>199.66171264648401</v>
      </c>
      <c r="AD493">
        <v>94</v>
      </c>
      <c r="AE493">
        <v>2.25</v>
      </c>
      <c r="AF493">
        <v>54</v>
      </c>
      <c r="AN493" t="s">
        <v>761</v>
      </c>
      <c r="AO493">
        <v>90</v>
      </c>
      <c r="AP493">
        <v>30.421849648458629</v>
      </c>
      <c r="AQ493" s="1">
        <v>41733</v>
      </c>
      <c r="AR493" s="1">
        <v>43355</v>
      </c>
      <c r="AS493" s="1">
        <v>41752.631892361111</v>
      </c>
      <c r="AT493" s="1">
        <v>41752.631892361111</v>
      </c>
      <c r="AU493" s="1">
        <v>43558.548732557872</v>
      </c>
      <c r="AV493" s="1"/>
      <c r="AW493" s="1">
        <v>43528.971480706023</v>
      </c>
      <c r="AX493" s="1"/>
      <c r="BB493" s="5">
        <v>0</v>
      </c>
      <c r="BC493">
        <f t="shared" si="28"/>
        <v>21.956741222644865</v>
      </c>
      <c r="BD493">
        <v>136</v>
      </c>
      <c r="BE493">
        <v>4.0999999999999899</v>
      </c>
      <c r="BF493">
        <v>3.2</v>
      </c>
      <c r="BG493">
        <v>9</v>
      </c>
      <c r="BH493">
        <v>145</v>
      </c>
      <c r="BI493">
        <v>3.97</v>
      </c>
      <c r="BJ493">
        <v>8.4</v>
      </c>
      <c r="BK493">
        <v>5</v>
      </c>
      <c r="BL493">
        <v>15</v>
      </c>
      <c r="BM493">
        <v>6.25</v>
      </c>
      <c r="BN493">
        <v>5.2</v>
      </c>
    </row>
    <row r="494" spans="1:66" x14ac:dyDescent="0.3">
      <c r="A494">
        <v>493</v>
      </c>
      <c r="B494" s="2" t="s">
        <v>430</v>
      </c>
      <c r="C494" s="2" t="s">
        <v>448</v>
      </c>
      <c r="D494">
        <v>67.242134062926894</v>
      </c>
      <c r="E494" s="3">
        <v>44291</v>
      </c>
      <c r="F494" s="1">
        <v>43866</v>
      </c>
      <c r="G494" s="1">
        <v>43801.479537037027</v>
      </c>
      <c r="H494" t="s">
        <v>15</v>
      </c>
      <c r="I494" t="s">
        <v>451</v>
      </c>
      <c r="J494" t="s">
        <v>22</v>
      </c>
      <c r="K494" t="s">
        <v>145</v>
      </c>
      <c r="L494">
        <v>42</v>
      </c>
      <c r="M494" t="s">
        <v>17</v>
      </c>
      <c r="N494" t="s">
        <v>14</v>
      </c>
      <c r="O494" t="s">
        <v>25</v>
      </c>
      <c r="P494" t="s">
        <v>75</v>
      </c>
      <c r="Q494" t="s">
        <v>19</v>
      </c>
      <c r="S494" t="s">
        <v>451</v>
      </c>
      <c r="T494" t="s">
        <v>23</v>
      </c>
      <c r="U494" t="s">
        <v>96</v>
      </c>
      <c r="V494" t="s">
        <v>451</v>
      </c>
      <c r="W494" t="s">
        <v>23</v>
      </c>
      <c r="X494" t="s">
        <v>90</v>
      </c>
      <c r="Y494">
        <v>4.8000001907348597</v>
      </c>
      <c r="Z494">
        <v>3.0999999046325599</v>
      </c>
      <c r="AA494">
        <v>1.70000004768371</v>
      </c>
      <c r="AB494">
        <v>1.1000000238418499</v>
      </c>
      <c r="AC494">
        <v>273.81549072265602</v>
      </c>
      <c r="AD494">
        <v>155</v>
      </c>
      <c r="AE494">
        <v>1</v>
      </c>
      <c r="AF494">
        <v>65</v>
      </c>
      <c r="AG494">
        <v>124</v>
      </c>
      <c r="AH494">
        <v>3</v>
      </c>
      <c r="AI494">
        <v>4</v>
      </c>
      <c r="AJ494">
        <v>31</v>
      </c>
      <c r="AK494">
        <v>7</v>
      </c>
      <c r="AL494">
        <v>11</v>
      </c>
      <c r="AM494">
        <v>11.270000457763601</v>
      </c>
      <c r="AN494" t="s">
        <v>762</v>
      </c>
      <c r="AO494">
        <v>87.4</v>
      </c>
      <c r="AR494" s="1">
        <v>42736</v>
      </c>
      <c r="AS494" s="1">
        <v>42757.623300497682</v>
      </c>
      <c r="AT494" s="1">
        <v>42753.793692129628</v>
      </c>
      <c r="AU494" s="1">
        <v>42753.793692129628</v>
      </c>
      <c r="AV494" s="1">
        <v>42771.729502164351</v>
      </c>
      <c r="AW494" s="1">
        <v>42753.793692129628</v>
      </c>
      <c r="AX494" s="1"/>
      <c r="AZ494">
        <v>134</v>
      </c>
      <c r="BA494">
        <v>81</v>
      </c>
      <c r="BB494" s="5">
        <v>0</v>
      </c>
      <c r="BC494">
        <f t="shared" si="28"/>
        <v>18.399992716725126</v>
      </c>
      <c r="BD494">
        <v>140</v>
      </c>
      <c r="BE494">
        <v>4.7</v>
      </c>
      <c r="BF494">
        <v>3.1</v>
      </c>
      <c r="BG494">
        <v>12.6</v>
      </c>
      <c r="BH494">
        <v>294</v>
      </c>
      <c r="BI494">
        <v>4.7999999999999901</v>
      </c>
      <c r="BJ494">
        <v>7.7</v>
      </c>
      <c r="BK494">
        <v>5.5999999999999899</v>
      </c>
      <c r="BL494">
        <v>15.4</v>
      </c>
      <c r="BM494">
        <v>17.219999999999899</v>
      </c>
      <c r="BN494">
        <v>7</v>
      </c>
    </row>
    <row r="495" spans="1:66" x14ac:dyDescent="0.3">
      <c r="A495">
        <v>494</v>
      </c>
      <c r="B495" s="2" t="s">
        <v>434</v>
      </c>
      <c r="C495" s="2" t="s">
        <v>448</v>
      </c>
      <c r="D495">
        <v>69.562243502051004</v>
      </c>
      <c r="E495" s="3">
        <v>45532</v>
      </c>
      <c r="F495" s="1">
        <v>45019</v>
      </c>
      <c r="G495" s="1">
        <v>44805.633275462962</v>
      </c>
      <c r="H495" t="s">
        <v>31</v>
      </c>
      <c r="I495" t="s">
        <v>15</v>
      </c>
      <c r="J495" t="s">
        <v>35</v>
      </c>
      <c r="L495">
        <v>10</v>
      </c>
      <c r="M495" t="s">
        <v>15</v>
      </c>
      <c r="N495" t="s">
        <v>14</v>
      </c>
      <c r="O495" t="s">
        <v>17</v>
      </c>
      <c r="P495" t="s">
        <v>451</v>
      </c>
      <c r="Q495" t="s">
        <v>19</v>
      </c>
      <c r="S495" t="s">
        <v>451</v>
      </c>
      <c r="T495" t="s">
        <v>29</v>
      </c>
      <c r="V495" t="s">
        <v>451</v>
      </c>
      <c r="W495" t="s">
        <v>23</v>
      </c>
      <c r="X495" t="s">
        <v>78</v>
      </c>
      <c r="Y495">
        <v>7</v>
      </c>
      <c r="Z495">
        <v>6.3000001907348597</v>
      </c>
      <c r="AA495">
        <v>0.89999997615814198</v>
      </c>
      <c r="AB495">
        <v>0.69999998807907104</v>
      </c>
      <c r="AC495">
        <v>244.422592163085</v>
      </c>
      <c r="AD495">
        <v>143</v>
      </c>
      <c r="AE495">
        <v>2.4400000572204501</v>
      </c>
      <c r="AF495">
        <v>45</v>
      </c>
      <c r="AG495">
        <v>82.699996948242102</v>
      </c>
      <c r="AI495">
        <v>3.2300000190734801</v>
      </c>
      <c r="AJ495">
        <v>25.600000381469702</v>
      </c>
      <c r="AK495">
        <v>3.1500000953674299</v>
      </c>
      <c r="AL495">
        <v>3.5899999141693102</v>
      </c>
      <c r="AM495">
        <v>23.040000915527301</v>
      </c>
      <c r="AN495" t="s">
        <v>763</v>
      </c>
      <c r="AO495">
        <v>64.5</v>
      </c>
      <c r="AP495">
        <v>22.852891156462583</v>
      </c>
      <c r="AQ495" s="1">
        <v>42215</v>
      </c>
      <c r="AS495" s="1">
        <v>42233.494112349537</v>
      </c>
      <c r="AT495" s="1">
        <v>43671.402721412043</v>
      </c>
      <c r="AU495" s="1">
        <v>42233.487449884262</v>
      </c>
      <c r="AV495" s="1">
        <v>42233.487449884262</v>
      </c>
      <c r="AW495" s="1"/>
      <c r="AX495" s="1"/>
      <c r="BB495" s="5">
        <v>0</v>
      </c>
      <c r="BC495">
        <f t="shared" si="28"/>
        <v>17.576738216178132</v>
      </c>
      <c r="BD495">
        <v>141</v>
      </c>
      <c r="BE495">
        <v>4.7</v>
      </c>
      <c r="BF495">
        <v>3.2</v>
      </c>
      <c r="BG495">
        <v>9</v>
      </c>
      <c r="BH495">
        <v>323</v>
      </c>
      <c r="BI495">
        <v>3.5899999999999901</v>
      </c>
      <c r="BJ495">
        <v>8.6999999999999904</v>
      </c>
      <c r="BK495">
        <v>6.2</v>
      </c>
      <c r="BL495">
        <v>10.9</v>
      </c>
      <c r="BM495">
        <v>7.0199999999999898</v>
      </c>
      <c r="BN495">
        <v>7</v>
      </c>
    </row>
    <row r="496" spans="1:66" x14ac:dyDescent="0.3">
      <c r="A496">
        <v>495</v>
      </c>
      <c r="B496" s="2" t="s">
        <v>434</v>
      </c>
      <c r="C496" s="2" t="s">
        <v>448</v>
      </c>
      <c r="D496">
        <v>60.079343365253003</v>
      </c>
      <c r="E496" s="3">
        <v>42105</v>
      </c>
      <c r="F496" s="1">
        <v>41520</v>
      </c>
      <c r="G496" s="1">
        <v>41508.597766203697</v>
      </c>
      <c r="H496" t="s">
        <v>31</v>
      </c>
      <c r="I496" t="s">
        <v>451</v>
      </c>
      <c r="J496" t="s">
        <v>35</v>
      </c>
      <c r="L496">
        <v>7</v>
      </c>
      <c r="M496" t="s">
        <v>451</v>
      </c>
      <c r="N496" t="s">
        <v>35</v>
      </c>
      <c r="O496" t="s">
        <v>31</v>
      </c>
      <c r="P496" t="s">
        <v>451</v>
      </c>
      <c r="Q496" t="s">
        <v>451</v>
      </c>
      <c r="S496" t="s">
        <v>451</v>
      </c>
      <c r="T496" t="s">
        <v>26</v>
      </c>
      <c r="U496" t="s">
        <v>523</v>
      </c>
      <c r="V496" t="s">
        <v>451</v>
      </c>
      <c r="W496" t="s">
        <v>29</v>
      </c>
      <c r="X496" t="s">
        <v>78</v>
      </c>
      <c r="Y496">
        <v>8.6999998092651296</v>
      </c>
      <c r="Z496">
        <v>8.1000003814697195</v>
      </c>
      <c r="AA496">
        <v>0.80000001192092796</v>
      </c>
      <c r="AB496">
        <v>0.80000001192092796</v>
      </c>
      <c r="AC496">
        <v>361.87435913085898</v>
      </c>
      <c r="AD496">
        <v>202</v>
      </c>
      <c r="AE496">
        <v>2.75</v>
      </c>
      <c r="AF496">
        <v>44</v>
      </c>
      <c r="AN496" t="s">
        <v>764</v>
      </c>
      <c r="AO496">
        <v>69.599999999999895</v>
      </c>
      <c r="AP496">
        <v>24.659863945578195</v>
      </c>
      <c r="AS496" s="1">
        <v>40898.384059872682</v>
      </c>
      <c r="AT496" s="1"/>
      <c r="AU496" s="1">
        <v>40681.43656021991</v>
      </c>
      <c r="AV496" s="1"/>
      <c r="AW496" s="1">
        <v>40681.43656021991</v>
      </c>
      <c r="AX496" s="1">
        <v>41302.098619212957</v>
      </c>
      <c r="BB496" s="2">
        <v>2</v>
      </c>
      <c r="BC496">
        <f t="shared" si="28"/>
        <v>51.16333426948475</v>
      </c>
      <c r="BD496">
        <v>137</v>
      </c>
      <c r="BE496">
        <v>4.7</v>
      </c>
      <c r="BF496">
        <v>3.1</v>
      </c>
      <c r="BG496">
        <v>15.6</v>
      </c>
      <c r="BH496">
        <v>82</v>
      </c>
      <c r="BI496">
        <v>1.51</v>
      </c>
      <c r="BJ496">
        <v>9.1999999999999904</v>
      </c>
      <c r="BK496">
        <v>3.2999999999999901</v>
      </c>
      <c r="BL496">
        <v>9.6999999999999904</v>
      </c>
      <c r="BM496">
        <v>15.91</v>
      </c>
      <c r="BN496">
        <v>7</v>
      </c>
    </row>
    <row r="497" spans="1:66" x14ac:dyDescent="0.3">
      <c r="A497">
        <v>496</v>
      </c>
      <c r="B497" s="2" t="s">
        <v>430</v>
      </c>
      <c r="C497" s="2" t="s">
        <v>449</v>
      </c>
      <c r="D497">
        <v>65.554035567715005</v>
      </c>
      <c r="E497" s="3">
        <v>44459</v>
      </c>
      <c r="F497" s="1">
        <v>43606</v>
      </c>
      <c r="G497" s="1">
        <v>43369.554872685178</v>
      </c>
      <c r="H497" t="s">
        <v>451</v>
      </c>
      <c r="I497" t="s">
        <v>451</v>
      </c>
      <c r="J497" t="s">
        <v>451</v>
      </c>
      <c r="L497">
        <v>60</v>
      </c>
      <c r="M497" t="s">
        <v>451</v>
      </c>
      <c r="N497" t="s">
        <v>451</v>
      </c>
      <c r="O497" t="s">
        <v>451</v>
      </c>
      <c r="P497" t="s">
        <v>451</v>
      </c>
      <c r="Q497" t="s">
        <v>451</v>
      </c>
      <c r="S497" t="s">
        <v>451</v>
      </c>
      <c r="T497" t="s">
        <v>451</v>
      </c>
      <c r="V497" t="s">
        <v>451</v>
      </c>
      <c r="W497" t="s">
        <v>451</v>
      </c>
      <c r="AN497" t="s">
        <v>765</v>
      </c>
      <c r="AS497" s="1"/>
      <c r="AT497" s="1"/>
      <c r="AU497" s="1">
        <v>39591.256111111114</v>
      </c>
      <c r="AV497" s="1">
        <v>39600.615640856478</v>
      </c>
      <c r="AW497" s="1"/>
      <c r="AX497" s="1"/>
      <c r="AZ497">
        <v>180</v>
      </c>
      <c r="BA497">
        <v>118</v>
      </c>
      <c r="BB497" s="5">
        <v>0</v>
      </c>
      <c r="BC497">
        <v>13.2</v>
      </c>
      <c r="BD497">
        <v>140</v>
      </c>
      <c r="BE497">
        <v>6.0999999999999899</v>
      </c>
      <c r="BF497">
        <v>2.2000000000000002</v>
      </c>
      <c r="BG497">
        <v>6.4</v>
      </c>
      <c r="BH497">
        <v>393</v>
      </c>
      <c r="BI497">
        <v>3.49</v>
      </c>
      <c r="BJ497">
        <v>9.4</v>
      </c>
      <c r="BK497">
        <v>7.0999999999999899</v>
      </c>
      <c r="BL497">
        <v>14.1999999999999</v>
      </c>
      <c r="BM497">
        <v>144.91</v>
      </c>
      <c r="BN497">
        <v>4.4000000000000004</v>
      </c>
    </row>
    <row r="498" spans="1:66" x14ac:dyDescent="0.3">
      <c r="A498">
        <v>497</v>
      </c>
      <c r="B498" s="2" t="s">
        <v>430</v>
      </c>
      <c r="C498" s="2" t="s">
        <v>448</v>
      </c>
      <c r="D498">
        <v>62.467852257181001</v>
      </c>
      <c r="E498" s="3"/>
      <c r="F498" s="1">
        <v>42787</v>
      </c>
      <c r="G498" s="1">
        <v>42626.33834490741</v>
      </c>
      <c r="H498" t="s">
        <v>15</v>
      </c>
      <c r="I498" t="s">
        <v>78</v>
      </c>
      <c r="J498" t="s">
        <v>15</v>
      </c>
      <c r="L498">
        <v>57</v>
      </c>
      <c r="M498" t="s">
        <v>17</v>
      </c>
      <c r="N498" t="s">
        <v>14</v>
      </c>
      <c r="O498" t="s">
        <v>17</v>
      </c>
      <c r="P498" t="s">
        <v>451</v>
      </c>
      <c r="S498" t="s">
        <v>133</v>
      </c>
      <c r="T498" t="s">
        <v>34</v>
      </c>
      <c r="V498" t="s">
        <v>451</v>
      </c>
      <c r="W498" t="s">
        <v>26</v>
      </c>
      <c r="X498" t="s">
        <v>90</v>
      </c>
      <c r="Y498">
        <v>4.8000001907348597</v>
      </c>
      <c r="Z498">
        <v>3.2999999523162802</v>
      </c>
      <c r="AA498">
        <v>1.20000004768371</v>
      </c>
      <c r="AB498">
        <v>1.1000000238418499</v>
      </c>
      <c r="AC498">
        <v>206.36941528320301</v>
      </c>
      <c r="AD498">
        <v>102</v>
      </c>
      <c r="AE498">
        <v>1</v>
      </c>
      <c r="AF498">
        <v>73</v>
      </c>
      <c r="AG498">
        <v>154</v>
      </c>
      <c r="AH498">
        <v>7</v>
      </c>
      <c r="AI498">
        <v>9</v>
      </c>
      <c r="AJ498">
        <v>17.110000610351499</v>
      </c>
      <c r="AK498">
        <v>6</v>
      </c>
      <c r="AL498">
        <v>7</v>
      </c>
      <c r="AM498">
        <v>22</v>
      </c>
      <c r="AN498" t="s">
        <v>766</v>
      </c>
      <c r="AO498">
        <v>78</v>
      </c>
      <c r="AP498">
        <v>28.65013774104683</v>
      </c>
      <c r="AR498" s="1">
        <v>43101</v>
      </c>
      <c r="AS498" s="1">
        <v>41981.282890775467</v>
      </c>
      <c r="AT498" s="1"/>
      <c r="AU498" s="1">
        <v>42585.824466701393</v>
      </c>
      <c r="AV498" s="1">
        <v>41981.282890775467</v>
      </c>
      <c r="AW498" s="1">
        <v>41981.282890775467</v>
      </c>
      <c r="AX498" s="1"/>
      <c r="AZ498">
        <v>139</v>
      </c>
      <c r="BA498">
        <v>61</v>
      </c>
      <c r="BB498" s="2">
        <v>10</v>
      </c>
      <c r="BC498">
        <f>(140-D498)*AO498/(72*BI498)</f>
        <v>20.998290013680148</v>
      </c>
      <c r="BD498">
        <v>135</v>
      </c>
      <c r="BE498">
        <v>5</v>
      </c>
      <c r="BF498">
        <v>3.2999999999999901</v>
      </c>
      <c r="BH498">
        <v>240</v>
      </c>
      <c r="BI498">
        <v>4</v>
      </c>
      <c r="BJ498">
        <v>8</v>
      </c>
      <c r="BK498">
        <v>7.73</v>
      </c>
      <c r="BL498">
        <v>12.9</v>
      </c>
      <c r="BM498">
        <v>45.5</v>
      </c>
      <c r="BN498">
        <v>6.4</v>
      </c>
    </row>
    <row r="499" spans="1:66" x14ac:dyDescent="0.3">
      <c r="A499">
        <v>498</v>
      </c>
      <c r="B499" s="2" t="s">
        <v>430</v>
      </c>
      <c r="C499" s="2" t="s">
        <v>448</v>
      </c>
      <c r="D499">
        <v>69.187414500683005</v>
      </c>
      <c r="E499" s="3">
        <v>45012.224305555559</v>
      </c>
      <c r="F499" s="1">
        <v>44979</v>
      </c>
      <c r="G499" s="1">
        <v>44690.727210648147</v>
      </c>
      <c r="H499" t="s">
        <v>25</v>
      </c>
      <c r="I499" t="s">
        <v>15</v>
      </c>
      <c r="J499" t="s">
        <v>30</v>
      </c>
      <c r="L499">
        <v>30</v>
      </c>
      <c r="M499" t="s">
        <v>451</v>
      </c>
      <c r="N499" t="s">
        <v>451</v>
      </c>
      <c r="O499" t="s">
        <v>15</v>
      </c>
      <c r="P499" t="s">
        <v>451</v>
      </c>
      <c r="S499" t="s">
        <v>451</v>
      </c>
      <c r="T499" t="s">
        <v>23</v>
      </c>
      <c r="V499" t="s">
        <v>451</v>
      </c>
      <c r="W499" t="s">
        <v>19</v>
      </c>
      <c r="X499" t="s">
        <v>15</v>
      </c>
      <c r="Y499">
        <v>6.5</v>
      </c>
      <c r="Z499">
        <v>5.6999998092651296</v>
      </c>
      <c r="AA499">
        <v>0.80000001192092796</v>
      </c>
      <c r="AB499">
        <v>0.89999997615814198</v>
      </c>
      <c r="AC499">
        <v>230.850173950195</v>
      </c>
      <c r="AD499">
        <v>112</v>
      </c>
      <c r="AE499">
        <v>2.6199998855590798</v>
      </c>
      <c r="AF499">
        <v>28</v>
      </c>
      <c r="AG499">
        <v>66.099998474120994</v>
      </c>
      <c r="AI499">
        <v>3.38000011444091</v>
      </c>
      <c r="AJ499">
        <v>19.559999465942301</v>
      </c>
      <c r="AK499">
        <v>4.3499999046325604</v>
      </c>
      <c r="AL499">
        <v>6.96000003814697</v>
      </c>
      <c r="AM499">
        <v>9.5</v>
      </c>
      <c r="AN499" t="s">
        <v>767</v>
      </c>
      <c r="AQ499" s="1">
        <v>41300</v>
      </c>
      <c r="AS499" s="1">
        <v>41300.106790046288</v>
      </c>
      <c r="AT499" s="1">
        <v>44210.41812415509</v>
      </c>
      <c r="AU499" s="1"/>
      <c r="AV499" s="1">
        <v>39851.463517673612</v>
      </c>
      <c r="AW499" s="1"/>
      <c r="AX499" s="1">
        <v>44931.496407523147</v>
      </c>
      <c r="AY499" t="s">
        <v>21</v>
      </c>
      <c r="AZ499">
        <v>117</v>
      </c>
      <c r="BA499">
        <v>58</v>
      </c>
      <c r="BB499" s="5">
        <v>0</v>
      </c>
      <c r="BC499">
        <v>9.6999999999999993</v>
      </c>
      <c r="BD499">
        <v>136</v>
      </c>
      <c r="BE499">
        <v>4.5999999999999899</v>
      </c>
      <c r="BF499">
        <v>2.2000000000000002</v>
      </c>
      <c r="BG499">
        <v>8.0999999999999908</v>
      </c>
      <c r="BH499">
        <v>210</v>
      </c>
      <c r="BI499">
        <v>6.32</v>
      </c>
      <c r="BJ499">
        <v>6.7999999999999901</v>
      </c>
      <c r="BK499">
        <v>9.4</v>
      </c>
      <c r="BL499">
        <v>7.7999999999999901</v>
      </c>
      <c r="BM499">
        <v>100.599999999999</v>
      </c>
      <c r="BN499">
        <v>11.8</v>
      </c>
    </row>
    <row r="500" spans="1:66" x14ac:dyDescent="0.3">
      <c r="A500">
        <v>499</v>
      </c>
      <c r="B500" s="2" t="s">
        <v>430</v>
      </c>
      <c r="C500" s="2" t="s">
        <v>448</v>
      </c>
      <c r="D500">
        <v>65.8057455540349</v>
      </c>
      <c r="E500" s="3"/>
      <c r="F500" s="1">
        <v>44008</v>
      </c>
      <c r="G500" s="1">
        <v>44008.466585648152</v>
      </c>
      <c r="H500" t="s">
        <v>15</v>
      </c>
      <c r="I500" t="s">
        <v>87</v>
      </c>
      <c r="J500" t="s">
        <v>15</v>
      </c>
      <c r="L500">
        <v>60</v>
      </c>
      <c r="M500" t="s">
        <v>451</v>
      </c>
      <c r="N500" t="s">
        <v>451</v>
      </c>
      <c r="O500" t="s">
        <v>17</v>
      </c>
      <c r="P500" t="s">
        <v>451</v>
      </c>
      <c r="Q500" t="s">
        <v>451</v>
      </c>
      <c r="R500" t="s">
        <v>153</v>
      </c>
      <c r="S500" t="s">
        <v>451</v>
      </c>
      <c r="T500" t="s">
        <v>451</v>
      </c>
      <c r="U500" t="s">
        <v>241</v>
      </c>
      <c r="V500" t="s">
        <v>451</v>
      </c>
      <c r="W500" t="s">
        <v>451</v>
      </c>
      <c r="X500" t="s">
        <v>15</v>
      </c>
      <c r="Y500">
        <v>4.1199998855590803</v>
      </c>
      <c r="Z500">
        <v>3.2400000095367401</v>
      </c>
      <c r="AA500">
        <v>1.37999999523162</v>
      </c>
      <c r="AB500">
        <v>1.37999999523162</v>
      </c>
      <c r="AC500">
        <v>213.36415100097599</v>
      </c>
      <c r="AD500">
        <v>97</v>
      </c>
      <c r="AE500">
        <v>1</v>
      </c>
      <c r="AF500">
        <v>24</v>
      </c>
      <c r="AG500">
        <v>96</v>
      </c>
      <c r="AH500">
        <v>7.0700001716613698</v>
      </c>
      <c r="AI500">
        <v>9.1400003433227504</v>
      </c>
      <c r="AJ500">
        <v>10.5</v>
      </c>
      <c r="AK500">
        <v>6.0900001525878897</v>
      </c>
      <c r="AL500">
        <v>10</v>
      </c>
      <c r="AM500">
        <v>9.6000003814697195</v>
      </c>
      <c r="AN500" t="s">
        <v>768</v>
      </c>
      <c r="AO500">
        <v>111</v>
      </c>
      <c r="AP500">
        <v>35.834194214876035</v>
      </c>
      <c r="AQ500" s="1">
        <v>38385</v>
      </c>
      <c r="AS500" s="1">
        <v>40739.577504976849</v>
      </c>
      <c r="AT500" s="1">
        <v>40739.577504976849</v>
      </c>
      <c r="AU500" s="1">
        <v>40739.574867013893</v>
      </c>
      <c r="AV500" s="1">
        <v>40739.574867013893</v>
      </c>
      <c r="AW500" s="1"/>
      <c r="AX500" s="1"/>
      <c r="AZ500">
        <v>140</v>
      </c>
      <c r="BA500">
        <v>59</v>
      </c>
      <c r="BB500" s="2">
        <v>1</v>
      </c>
      <c r="BC500">
        <f>(140-D500)*AO500/(72*BI500)</f>
        <v>12.852001004216801</v>
      </c>
      <c r="BD500">
        <v>135</v>
      </c>
      <c r="BE500">
        <v>4.9000000000000004</v>
      </c>
      <c r="BF500">
        <v>4.2</v>
      </c>
      <c r="BG500">
        <v>10.6999999999999</v>
      </c>
      <c r="BH500">
        <v>120</v>
      </c>
      <c r="BI500">
        <v>8.9</v>
      </c>
      <c r="BJ500">
        <v>8.5</v>
      </c>
      <c r="BK500">
        <v>4.9000000000000004</v>
      </c>
      <c r="BL500">
        <v>6.7</v>
      </c>
      <c r="BM500">
        <v>15.27</v>
      </c>
      <c r="BN500">
        <v>6</v>
      </c>
    </row>
    <row r="501" spans="1:66" x14ac:dyDescent="0.3">
      <c r="A501">
        <v>500</v>
      </c>
      <c r="B501" s="2" t="s">
        <v>430</v>
      </c>
      <c r="C501" s="2" t="s">
        <v>449</v>
      </c>
      <c r="D501">
        <v>63.318741450068003</v>
      </c>
      <c r="E501" s="3">
        <v>44644.740972222222</v>
      </c>
      <c r="F501" s="1">
        <v>43040</v>
      </c>
      <c r="G501" s="1">
        <v>42716.578009259261</v>
      </c>
      <c r="H501" t="s">
        <v>17</v>
      </c>
      <c r="I501" t="s">
        <v>78</v>
      </c>
      <c r="J501" t="s">
        <v>15</v>
      </c>
      <c r="L501">
        <v>60</v>
      </c>
      <c r="M501" t="s">
        <v>451</v>
      </c>
      <c r="N501" t="s">
        <v>451</v>
      </c>
      <c r="O501" t="s">
        <v>17</v>
      </c>
      <c r="P501" t="s">
        <v>75</v>
      </c>
      <c r="S501" t="s">
        <v>451</v>
      </c>
      <c r="T501" t="s">
        <v>19</v>
      </c>
      <c r="U501" t="s">
        <v>96</v>
      </c>
      <c r="V501" t="s">
        <v>15</v>
      </c>
      <c r="W501" t="s">
        <v>18</v>
      </c>
      <c r="X501" t="s">
        <v>78</v>
      </c>
      <c r="Y501">
        <v>5.3000001907348597</v>
      </c>
      <c r="Z501">
        <v>3.9700000286102202</v>
      </c>
      <c r="AA501">
        <v>1.29999995231628</v>
      </c>
      <c r="AB501">
        <v>1.20000004768371</v>
      </c>
      <c r="AC501">
        <v>271.56161499023398</v>
      </c>
      <c r="AD501">
        <v>146</v>
      </c>
      <c r="AE501">
        <v>1</v>
      </c>
      <c r="AF501">
        <v>37</v>
      </c>
      <c r="AG501">
        <v>138</v>
      </c>
      <c r="AH501">
        <v>4.1799998283386204</v>
      </c>
      <c r="AI501">
        <v>5.7600002288818297</v>
      </c>
      <c r="AJ501">
        <v>23.959999084472599</v>
      </c>
      <c r="AK501">
        <v>9.0200004577636701</v>
      </c>
      <c r="AL501">
        <v>15.1000003814697</v>
      </c>
      <c r="AM501">
        <v>9.1400003433227504</v>
      </c>
      <c r="AN501" t="s">
        <v>769</v>
      </c>
      <c r="AO501">
        <v>96.099999999999895</v>
      </c>
      <c r="AP501">
        <v>38.495433424130702</v>
      </c>
      <c r="AS501" s="1"/>
      <c r="AT501" s="1"/>
      <c r="AU501" s="1">
        <v>42349.19039895833</v>
      </c>
      <c r="AV501" s="1">
        <v>42349.19039895833</v>
      </c>
      <c r="AW501" s="1">
        <v>42349.19039895833</v>
      </c>
      <c r="AX501" s="1">
        <v>42717.741202974539</v>
      </c>
      <c r="AZ501">
        <v>148</v>
      </c>
      <c r="BA501">
        <v>60</v>
      </c>
      <c r="BB501" s="2">
        <v>1</v>
      </c>
      <c r="BC501">
        <f>(140-D501)*AO501/(72*BI501)</f>
        <v>20.307178534635298</v>
      </c>
      <c r="BD501">
        <v>142</v>
      </c>
      <c r="BE501">
        <v>5.5</v>
      </c>
      <c r="BF501">
        <v>3.3999999999999901</v>
      </c>
      <c r="BG501">
        <v>5.0999999999999899</v>
      </c>
      <c r="BH501">
        <v>326</v>
      </c>
      <c r="BI501">
        <v>5.04</v>
      </c>
      <c r="BJ501">
        <v>7.2</v>
      </c>
      <c r="BK501">
        <v>7.7</v>
      </c>
      <c r="BL501">
        <v>11.6</v>
      </c>
      <c r="BM501">
        <v>21.42</v>
      </c>
      <c r="BN501">
        <v>7.0999999999999899</v>
      </c>
    </row>
    <row r="502" spans="1:66" x14ac:dyDescent="0.3">
      <c r="A502">
        <v>501</v>
      </c>
      <c r="B502" s="2" t="s">
        <v>430</v>
      </c>
      <c r="C502" s="2" t="s">
        <v>448</v>
      </c>
      <c r="D502">
        <v>65.616963064295007</v>
      </c>
      <c r="E502" s="3"/>
      <c r="F502" s="1">
        <v>44043</v>
      </c>
      <c r="G502" s="1">
        <v>44034.553124999999</v>
      </c>
      <c r="H502" t="s">
        <v>451</v>
      </c>
      <c r="I502" t="s">
        <v>451</v>
      </c>
      <c r="J502" t="s">
        <v>451</v>
      </c>
      <c r="K502" t="s">
        <v>74</v>
      </c>
      <c r="L502">
        <v>60</v>
      </c>
      <c r="M502" t="s">
        <v>451</v>
      </c>
      <c r="N502" t="s">
        <v>451</v>
      </c>
      <c r="O502" t="s">
        <v>15</v>
      </c>
      <c r="P502" t="s">
        <v>479</v>
      </c>
      <c r="Q502" t="s">
        <v>18</v>
      </c>
      <c r="S502" t="s">
        <v>451</v>
      </c>
      <c r="T502" t="s">
        <v>19</v>
      </c>
      <c r="V502" t="s">
        <v>451</v>
      </c>
      <c r="W502" t="s">
        <v>19</v>
      </c>
      <c r="X502" t="s">
        <v>15</v>
      </c>
      <c r="Y502">
        <v>4.6199998855590803</v>
      </c>
      <c r="Z502">
        <v>3.2300000190734801</v>
      </c>
      <c r="AA502">
        <v>1.12999999523162</v>
      </c>
      <c r="AB502">
        <v>1</v>
      </c>
      <c r="AC502">
        <v>174.43453979492099</v>
      </c>
      <c r="AE502">
        <v>1</v>
      </c>
      <c r="AF502">
        <v>30.440000534057599</v>
      </c>
      <c r="AG502">
        <v>132</v>
      </c>
      <c r="AH502">
        <v>8</v>
      </c>
      <c r="AI502">
        <v>7</v>
      </c>
      <c r="AJ502">
        <v>18.860000610351499</v>
      </c>
      <c r="AK502">
        <v>7</v>
      </c>
      <c r="AL502">
        <v>8</v>
      </c>
      <c r="AM502">
        <v>16.5</v>
      </c>
      <c r="AN502" t="s">
        <v>770</v>
      </c>
      <c r="AO502">
        <v>87.099999999999895</v>
      </c>
      <c r="AP502">
        <v>31.992653810835591</v>
      </c>
      <c r="AS502" s="1"/>
      <c r="AT502" s="1"/>
      <c r="AU502" s="1">
        <v>43970.680660185193</v>
      </c>
      <c r="AV502" s="1">
        <v>42738.919050428238</v>
      </c>
      <c r="AW502" s="1"/>
      <c r="AX502" s="1"/>
      <c r="AZ502">
        <v>153</v>
      </c>
      <c r="BA502">
        <v>77</v>
      </c>
      <c r="BB502" s="2">
        <v>4</v>
      </c>
      <c r="BC502">
        <f>(140-D502)*AO502/(72*BI502)</f>
        <v>16.632682576247426</v>
      </c>
      <c r="BD502">
        <v>132</v>
      </c>
      <c r="BE502">
        <v>3.6</v>
      </c>
      <c r="BF502">
        <v>3</v>
      </c>
      <c r="BG502">
        <v>12.1</v>
      </c>
      <c r="BH502">
        <v>248</v>
      </c>
      <c r="BI502">
        <v>5.41</v>
      </c>
      <c r="BJ502">
        <v>7.5</v>
      </c>
      <c r="BK502">
        <v>6.7999999999999901</v>
      </c>
      <c r="BL502">
        <v>11.1</v>
      </c>
      <c r="BM502">
        <v>155.94</v>
      </c>
      <c r="BN502">
        <v>7.5999999999999899</v>
      </c>
    </row>
    <row r="503" spans="1:66" x14ac:dyDescent="0.3">
      <c r="A503">
        <v>502</v>
      </c>
      <c r="B503" s="2" t="s">
        <v>430</v>
      </c>
      <c r="C503" s="2" t="s">
        <v>448</v>
      </c>
      <c r="D503">
        <v>66.246238030095</v>
      </c>
      <c r="E503" s="3">
        <v>44360</v>
      </c>
      <c r="F503" s="1">
        <v>44169</v>
      </c>
      <c r="G503" s="1">
        <v>44081.473217592589</v>
      </c>
      <c r="H503" t="s">
        <v>17</v>
      </c>
      <c r="I503" t="s">
        <v>87</v>
      </c>
      <c r="J503" t="s">
        <v>35</v>
      </c>
      <c r="K503" t="s">
        <v>161</v>
      </c>
      <c r="L503">
        <v>20</v>
      </c>
      <c r="M503" t="s">
        <v>451</v>
      </c>
      <c r="N503" t="s">
        <v>14</v>
      </c>
      <c r="O503" t="s">
        <v>25</v>
      </c>
      <c r="P503" t="s">
        <v>451</v>
      </c>
      <c r="Q503" t="s">
        <v>451</v>
      </c>
      <c r="R503" t="s">
        <v>153</v>
      </c>
      <c r="S503" t="s">
        <v>451</v>
      </c>
      <c r="T503" t="s">
        <v>23</v>
      </c>
      <c r="V503" t="s">
        <v>451</v>
      </c>
      <c r="W503" t="s">
        <v>451</v>
      </c>
      <c r="Y503">
        <v>5.6599998474120996</v>
      </c>
      <c r="Z503">
        <v>4.8400001525878897</v>
      </c>
      <c r="AA503">
        <v>1.46000003814697</v>
      </c>
      <c r="AB503">
        <v>1.29999995231628</v>
      </c>
      <c r="AC503">
        <v>346.40100097656199</v>
      </c>
      <c r="AE503">
        <v>2.25</v>
      </c>
      <c r="AG503">
        <v>89.300003051757798</v>
      </c>
      <c r="AH503">
        <v>5.2600002288818297</v>
      </c>
      <c r="AI503">
        <v>5.0700001716613698</v>
      </c>
      <c r="AJ503">
        <v>17.610000610351499</v>
      </c>
      <c r="AK503">
        <v>4.7800002098083398</v>
      </c>
      <c r="AL503">
        <v>7.21000003814697</v>
      </c>
      <c r="AM503">
        <v>12.390000343322701</v>
      </c>
      <c r="AN503" t="s">
        <v>771</v>
      </c>
      <c r="AQ503" s="1">
        <v>43952</v>
      </c>
      <c r="AR503" s="1">
        <v>43952</v>
      </c>
      <c r="AS503" s="1">
        <v>42036.463943784722</v>
      </c>
      <c r="AT503" s="1"/>
      <c r="AU503" s="1"/>
      <c r="AV503" s="1">
        <v>39369.618709872688</v>
      </c>
      <c r="AW503" s="1"/>
      <c r="AX503" s="1"/>
      <c r="AZ503">
        <v>132</v>
      </c>
      <c r="BA503">
        <v>76</v>
      </c>
      <c r="BB503" s="5">
        <v>0</v>
      </c>
      <c r="BC503">
        <v>16.7</v>
      </c>
      <c r="BD503">
        <v>135</v>
      </c>
      <c r="BE503">
        <v>4.2999999999999901</v>
      </c>
      <c r="BF503">
        <v>2.5</v>
      </c>
      <c r="BG503">
        <v>9.5999999999999908</v>
      </c>
      <c r="BH503">
        <v>85</v>
      </c>
      <c r="BI503">
        <v>3.6699999999999902</v>
      </c>
      <c r="BJ503">
        <v>8.3000000000000007</v>
      </c>
      <c r="BK503">
        <v>5</v>
      </c>
      <c r="BL503">
        <v>4.4000000000000004</v>
      </c>
      <c r="BM503">
        <v>176.41999999999899</v>
      </c>
      <c r="BN503">
        <v>6.5</v>
      </c>
    </row>
    <row r="504" spans="1:66" x14ac:dyDescent="0.3">
      <c r="A504">
        <v>503</v>
      </c>
      <c r="B504" s="2" t="s">
        <v>430</v>
      </c>
      <c r="C504" s="2" t="s">
        <v>448</v>
      </c>
      <c r="D504">
        <v>60.013679890559899</v>
      </c>
      <c r="E504" s="3">
        <v>43656.9375</v>
      </c>
      <c r="F504" s="1">
        <v>41976</v>
      </c>
      <c r="G504" s="1">
        <v>41625.39167824074</v>
      </c>
      <c r="H504" t="s">
        <v>15</v>
      </c>
      <c r="I504" t="s">
        <v>78</v>
      </c>
      <c r="J504" t="s">
        <v>22</v>
      </c>
      <c r="K504" t="s">
        <v>244</v>
      </c>
      <c r="L504">
        <v>55</v>
      </c>
      <c r="M504" t="s">
        <v>15</v>
      </c>
      <c r="N504" t="s">
        <v>15</v>
      </c>
      <c r="O504" t="s">
        <v>15</v>
      </c>
      <c r="P504" t="s">
        <v>75</v>
      </c>
      <c r="Q504" t="s">
        <v>19</v>
      </c>
      <c r="S504" t="s">
        <v>451</v>
      </c>
      <c r="T504" t="s">
        <v>19</v>
      </c>
      <c r="V504" t="s">
        <v>451</v>
      </c>
      <c r="W504" t="s">
        <v>19</v>
      </c>
      <c r="Y504">
        <v>4.4099998474120996</v>
      </c>
      <c r="Z504">
        <v>2.75</v>
      </c>
      <c r="AA504">
        <v>1.21000003814697</v>
      </c>
      <c r="AB504">
        <v>1.0700000524520801</v>
      </c>
      <c r="AC504">
        <v>178.358627319335</v>
      </c>
      <c r="AD504">
        <v>90</v>
      </c>
      <c r="AE504">
        <v>2</v>
      </c>
      <c r="AG504">
        <v>62.139999389648402</v>
      </c>
      <c r="AH504">
        <v>5</v>
      </c>
      <c r="AI504">
        <v>4</v>
      </c>
      <c r="AJ504">
        <v>15.539999961853001</v>
      </c>
      <c r="AK504">
        <v>6</v>
      </c>
      <c r="AL504">
        <v>6</v>
      </c>
      <c r="AM504">
        <v>10.3599996566772</v>
      </c>
      <c r="AN504" t="s">
        <v>772</v>
      </c>
      <c r="AO504">
        <v>85</v>
      </c>
      <c r="AP504">
        <v>27.755102040816329</v>
      </c>
      <c r="AQ504" s="1">
        <v>41214</v>
      </c>
      <c r="AS504" s="1">
        <v>41115.466446990737</v>
      </c>
      <c r="AT504" s="1"/>
      <c r="AU504" s="1">
        <v>41643.462247881936</v>
      </c>
      <c r="AV504" s="1">
        <v>41115.466446990737</v>
      </c>
      <c r="AW504" s="1"/>
      <c r="AX504" s="1"/>
      <c r="AZ504">
        <v>110</v>
      </c>
      <c r="BA504">
        <v>50</v>
      </c>
      <c r="BB504" s="5">
        <v>0</v>
      </c>
      <c r="BC504">
        <f t="shared" ref="BC504:BC510" si="29">(140-D504)*AO504/(72*BI504)</f>
        <v>13.337329742040192</v>
      </c>
      <c r="BD504">
        <v>140</v>
      </c>
      <c r="BE504">
        <v>4.4000000000000004</v>
      </c>
      <c r="BF504">
        <v>3.8999999999999901</v>
      </c>
      <c r="BG504">
        <v>8.4</v>
      </c>
      <c r="BH504">
        <v>246</v>
      </c>
      <c r="BI504">
        <v>7.08</v>
      </c>
      <c r="BJ504">
        <v>6.7999999999999901</v>
      </c>
      <c r="BK504">
        <v>6.0999999999999899</v>
      </c>
      <c r="BL504">
        <v>15.9</v>
      </c>
      <c r="BM504">
        <v>8.7100000000000009</v>
      </c>
      <c r="BN504">
        <v>9.9</v>
      </c>
    </row>
    <row r="505" spans="1:66" x14ac:dyDescent="0.3">
      <c r="A505">
        <v>504</v>
      </c>
      <c r="B505" s="2" t="s">
        <v>430</v>
      </c>
      <c r="C505" s="2" t="s">
        <v>448</v>
      </c>
      <c r="D505">
        <v>63.715458276333003</v>
      </c>
      <c r="E505" s="3">
        <v>44281</v>
      </c>
      <c r="F505" s="1">
        <v>43369</v>
      </c>
      <c r="G505" s="1">
        <v>43048.417187500003</v>
      </c>
      <c r="H505" t="s">
        <v>15</v>
      </c>
      <c r="I505" t="s">
        <v>451</v>
      </c>
      <c r="J505" t="s">
        <v>453</v>
      </c>
      <c r="L505">
        <v>50</v>
      </c>
      <c r="M505" t="s">
        <v>79</v>
      </c>
      <c r="N505" t="s">
        <v>14</v>
      </c>
      <c r="O505" t="s">
        <v>17</v>
      </c>
      <c r="P505" t="s">
        <v>75</v>
      </c>
      <c r="Q505" t="s">
        <v>451</v>
      </c>
      <c r="R505" t="s">
        <v>102</v>
      </c>
      <c r="S505" t="s">
        <v>451</v>
      </c>
      <c r="T505" t="s">
        <v>19</v>
      </c>
      <c r="U505" t="s">
        <v>96</v>
      </c>
      <c r="V505" t="s">
        <v>451</v>
      </c>
      <c r="W505" t="s">
        <v>29</v>
      </c>
      <c r="X505" t="s">
        <v>90</v>
      </c>
      <c r="Y505">
        <v>4.9499998092651296</v>
      </c>
      <c r="Z505">
        <v>3.75</v>
      </c>
      <c r="AA505">
        <v>1.1100000143051101</v>
      </c>
      <c r="AB505">
        <v>0.94999998807907104</v>
      </c>
      <c r="AC505">
        <v>186.28968811035099</v>
      </c>
      <c r="AD505">
        <v>82</v>
      </c>
      <c r="AE505">
        <v>1</v>
      </c>
      <c r="AF505">
        <v>80</v>
      </c>
      <c r="AG505">
        <v>144</v>
      </c>
      <c r="AH505">
        <v>6.4299998283386204</v>
      </c>
      <c r="AI505">
        <v>6.5199999809265101</v>
      </c>
      <c r="AJ505">
        <v>22.090000152587798</v>
      </c>
      <c r="AK505">
        <v>7.2699999809265101</v>
      </c>
      <c r="AL505">
        <v>5.4299998283386204</v>
      </c>
      <c r="AM505">
        <v>26.520000457763601</v>
      </c>
      <c r="AN505" t="s">
        <v>773</v>
      </c>
      <c r="AO505">
        <v>95</v>
      </c>
      <c r="AP505">
        <v>31.741788900397609</v>
      </c>
      <c r="AS505" s="1">
        <v>39780.061429745372</v>
      </c>
      <c r="AT505" s="1">
        <v>41812.961182673607</v>
      </c>
      <c r="AU505" s="1">
        <v>39776.671385567133</v>
      </c>
      <c r="AV505" s="1">
        <v>39776.667483101854</v>
      </c>
      <c r="AW505" s="1"/>
      <c r="AX505" s="1">
        <v>39833.462664432867</v>
      </c>
      <c r="AY505" t="s">
        <v>21</v>
      </c>
      <c r="AZ505">
        <v>100</v>
      </c>
      <c r="BA505">
        <v>24</v>
      </c>
      <c r="BB505" s="2">
        <v>7</v>
      </c>
      <c r="BC505">
        <f t="shared" si="29"/>
        <v>39.783879357424205</v>
      </c>
      <c r="BD505">
        <v>138</v>
      </c>
      <c r="BE505">
        <v>3.5</v>
      </c>
      <c r="BF505">
        <v>2.8999999999999901</v>
      </c>
      <c r="BG505">
        <v>12.3</v>
      </c>
      <c r="BH505">
        <v>212</v>
      </c>
      <c r="BI505">
        <v>2.52999999999999</v>
      </c>
      <c r="BJ505">
        <v>7.5</v>
      </c>
      <c r="BK505">
        <v>4.5</v>
      </c>
      <c r="BL505">
        <v>12.6</v>
      </c>
      <c r="BM505">
        <v>107.22</v>
      </c>
      <c r="BN505">
        <v>4.5</v>
      </c>
    </row>
    <row r="506" spans="1:66" x14ac:dyDescent="0.3">
      <c r="A506">
        <v>505</v>
      </c>
      <c r="B506" s="2" t="s">
        <v>430</v>
      </c>
      <c r="C506" s="2" t="s">
        <v>448</v>
      </c>
      <c r="D506">
        <v>69.736177610579006</v>
      </c>
      <c r="E506" s="3"/>
      <c r="F506" s="1">
        <v>45757.572916666657</v>
      </c>
      <c r="G506" s="1">
        <v>45645.513449074067</v>
      </c>
      <c r="H506" t="s">
        <v>17</v>
      </c>
      <c r="I506" t="s">
        <v>15</v>
      </c>
      <c r="J506" t="s">
        <v>35</v>
      </c>
      <c r="L506">
        <v>25</v>
      </c>
      <c r="M506" t="s">
        <v>15</v>
      </c>
      <c r="N506" t="s">
        <v>14</v>
      </c>
      <c r="O506" t="s">
        <v>17</v>
      </c>
      <c r="P506" t="s">
        <v>451</v>
      </c>
      <c r="Q506" t="s">
        <v>451</v>
      </c>
      <c r="R506" t="s">
        <v>497</v>
      </c>
      <c r="S506" t="s">
        <v>75</v>
      </c>
      <c r="T506" t="s">
        <v>26</v>
      </c>
      <c r="V506" t="s">
        <v>451</v>
      </c>
      <c r="W506" t="s">
        <v>19</v>
      </c>
      <c r="X506" t="s">
        <v>78</v>
      </c>
      <c r="Y506">
        <v>5.9000000953674299</v>
      </c>
      <c r="Z506">
        <v>5.1999998092651296</v>
      </c>
      <c r="AA506">
        <v>1</v>
      </c>
      <c r="AB506">
        <v>0.80000001192092796</v>
      </c>
      <c r="AC506">
        <v>209.560134887695</v>
      </c>
      <c r="AD506">
        <v>121</v>
      </c>
      <c r="AE506">
        <v>1</v>
      </c>
      <c r="AF506">
        <v>48</v>
      </c>
      <c r="AG506">
        <v>110</v>
      </c>
      <c r="AI506">
        <v>2.7999999523162802</v>
      </c>
      <c r="AJ506">
        <v>39.290000915527301</v>
      </c>
      <c r="AK506">
        <v>7.9299998283386204</v>
      </c>
      <c r="AL506">
        <v>5.8000001907348597</v>
      </c>
      <c r="AM506">
        <v>18.9699993133544</v>
      </c>
      <c r="AN506" t="s">
        <v>774</v>
      </c>
      <c r="AO506">
        <v>65</v>
      </c>
      <c r="AP506">
        <v>25.390625</v>
      </c>
      <c r="AR506" s="1">
        <v>44206</v>
      </c>
      <c r="AS506" s="1">
        <v>44179.004583333342</v>
      </c>
      <c r="AT506" s="1"/>
      <c r="AU506" s="1">
        <v>44179.004583333342</v>
      </c>
      <c r="AV506" s="1">
        <v>44179.042504895842</v>
      </c>
      <c r="AW506" s="1">
        <v>44179.004583333342</v>
      </c>
      <c r="AX506" s="1"/>
      <c r="AZ506">
        <v>114</v>
      </c>
      <c r="BA506">
        <v>78</v>
      </c>
      <c r="BB506" s="5">
        <v>0</v>
      </c>
      <c r="BC506">
        <f t="shared" si="29"/>
        <v>10.231067328208701</v>
      </c>
      <c r="BD506">
        <v>143</v>
      </c>
      <c r="BE506">
        <v>4.5999999999999899</v>
      </c>
      <c r="BF506">
        <v>3.6</v>
      </c>
      <c r="BG506">
        <v>9</v>
      </c>
      <c r="BH506">
        <v>219</v>
      </c>
      <c r="BI506">
        <v>6.2</v>
      </c>
      <c r="BJ506">
        <v>6.2</v>
      </c>
      <c r="BK506">
        <v>8.4</v>
      </c>
      <c r="BL506">
        <v>10.5</v>
      </c>
      <c r="BM506">
        <v>94.62</v>
      </c>
      <c r="BN506">
        <v>6</v>
      </c>
    </row>
    <row r="507" spans="1:66" x14ac:dyDescent="0.3">
      <c r="A507">
        <v>506</v>
      </c>
      <c r="B507" s="2" t="s">
        <v>430</v>
      </c>
      <c r="C507" s="2" t="s">
        <v>448</v>
      </c>
      <c r="D507">
        <v>68.145006839944998</v>
      </c>
      <c r="E507" s="3"/>
      <c r="F507" s="1">
        <v>45064</v>
      </c>
      <c r="G507" s="1">
        <v>45053.380324074067</v>
      </c>
      <c r="H507" t="s">
        <v>15</v>
      </c>
      <c r="I507" t="s">
        <v>15</v>
      </c>
      <c r="J507" t="s">
        <v>30</v>
      </c>
      <c r="L507">
        <v>33</v>
      </c>
      <c r="M507" t="s">
        <v>15</v>
      </c>
      <c r="N507" t="s">
        <v>451</v>
      </c>
      <c r="O507" t="s">
        <v>17</v>
      </c>
      <c r="P507" t="s">
        <v>75</v>
      </c>
      <c r="Q507" t="s">
        <v>451</v>
      </c>
      <c r="S507" t="s">
        <v>75</v>
      </c>
      <c r="T507" t="s">
        <v>29</v>
      </c>
      <c r="V507" t="s">
        <v>451</v>
      </c>
      <c r="W507" t="s">
        <v>23</v>
      </c>
      <c r="X507" t="s">
        <v>90</v>
      </c>
      <c r="Y507">
        <v>5.3899998664855904</v>
      </c>
      <c r="Z507">
        <v>4.0599999427795401</v>
      </c>
      <c r="AA507">
        <v>0.99000000953674305</v>
      </c>
      <c r="AB507">
        <v>1.00999999046325</v>
      </c>
      <c r="AC507">
        <v>206.09783935546801</v>
      </c>
      <c r="AD507">
        <v>116</v>
      </c>
      <c r="AE507">
        <v>2.4400000572204501</v>
      </c>
      <c r="AF507">
        <v>78</v>
      </c>
      <c r="AG507">
        <v>111</v>
      </c>
      <c r="AI507">
        <v>9.5699996948242099</v>
      </c>
      <c r="AJ507">
        <v>11.6000003814697</v>
      </c>
      <c r="AL507">
        <v>8.5900001525878906</v>
      </c>
      <c r="AM507">
        <v>12.920000076293899</v>
      </c>
      <c r="AN507" t="s">
        <v>775</v>
      </c>
      <c r="AO507">
        <v>68</v>
      </c>
      <c r="AP507">
        <v>21.461936624163616</v>
      </c>
      <c r="AS507" s="1"/>
      <c r="AT507" s="1"/>
      <c r="AU507" s="1">
        <v>43954.279434571763</v>
      </c>
      <c r="AV507" s="1">
        <v>39966.542001388887</v>
      </c>
      <c r="AW507" s="1">
        <v>43954.279434571763</v>
      </c>
      <c r="AX507" s="1"/>
      <c r="BA507">
        <v>76</v>
      </c>
      <c r="BB507" s="2">
        <v>1</v>
      </c>
      <c r="BC507">
        <f t="shared" si="29"/>
        <v>12.096800195295454</v>
      </c>
      <c r="BD507">
        <v>137</v>
      </c>
      <c r="BE507">
        <v>4.2999999999999901</v>
      </c>
      <c r="BF507">
        <v>3.5</v>
      </c>
      <c r="BG507">
        <v>10.3</v>
      </c>
      <c r="BH507">
        <v>163</v>
      </c>
      <c r="BI507">
        <v>5.61</v>
      </c>
      <c r="BJ507">
        <v>8.8000000000000007</v>
      </c>
      <c r="BK507">
        <v>5.5999999999999899</v>
      </c>
      <c r="BL507">
        <v>9</v>
      </c>
      <c r="BM507">
        <v>29.44</v>
      </c>
      <c r="BN507">
        <v>6.9</v>
      </c>
    </row>
    <row r="508" spans="1:66" x14ac:dyDescent="0.3">
      <c r="A508">
        <v>507</v>
      </c>
      <c r="B508" s="2" t="s">
        <v>430</v>
      </c>
      <c r="C508" s="2" t="s">
        <v>448</v>
      </c>
      <c r="D508">
        <v>65.794801641586105</v>
      </c>
      <c r="E508" s="3">
        <v>45105.115972222222</v>
      </c>
      <c r="F508" s="1">
        <v>44328</v>
      </c>
      <c r="G508" s="1">
        <v>44290.476805555547</v>
      </c>
      <c r="H508" t="s">
        <v>15</v>
      </c>
      <c r="I508" t="s">
        <v>451</v>
      </c>
      <c r="J508" t="s">
        <v>15</v>
      </c>
      <c r="K508" t="s">
        <v>145</v>
      </c>
      <c r="L508">
        <v>55</v>
      </c>
      <c r="M508" t="s">
        <v>451</v>
      </c>
      <c r="N508" t="s">
        <v>451</v>
      </c>
      <c r="O508" t="s">
        <v>17</v>
      </c>
      <c r="P508" t="s">
        <v>451</v>
      </c>
      <c r="Q508" t="s">
        <v>451</v>
      </c>
      <c r="S508" t="s">
        <v>451</v>
      </c>
      <c r="T508" t="s">
        <v>19</v>
      </c>
      <c r="V508" t="s">
        <v>451</v>
      </c>
      <c r="W508" t="s">
        <v>19</v>
      </c>
      <c r="X508" t="s">
        <v>78</v>
      </c>
      <c r="Y508">
        <v>4.8699998855590803</v>
      </c>
      <c r="Z508">
        <v>2.8099999427795401</v>
      </c>
      <c r="AA508">
        <v>1.3500000238418499</v>
      </c>
      <c r="AB508">
        <v>0.87999999523162797</v>
      </c>
      <c r="AC508">
        <v>202.28486633300699</v>
      </c>
      <c r="AD508">
        <v>100</v>
      </c>
      <c r="AE508">
        <v>1</v>
      </c>
      <c r="AF508">
        <v>42</v>
      </c>
      <c r="AG508">
        <v>121</v>
      </c>
      <c r="AH508">
        <v>6.0799999237060502</v>
      </c>
      <c r="AI508">
        <v>4.1399998664855904</v>
      </c>
      <c r="AJ508">
        <v>29.2299995422363</v>
      </c>
      <c r="AK508">
        <v>7.5399999618530202</v>
      </c>
      <c r="AL508">
        <v>5.7600002288818297</v>
      </c>
      <c r="AM508">
        <v>21.0100002288818</v>
      </c>
      <c r="AN508" t="s">
        <v>776</v>
      </c>
      <c r="AO508">
        <v>82</v>
      </c>
      <c r="AP508">
        <v>28.373702422145328</v>
      </c>
      <c r="AR508" s="1">
        <v>35796</v>
      </c>
      <c r="AS508" s="1">
        <v>43614.438933530088</v>
      </c>
      <c r="AT508" s="1"/>
      <c r="AU508" s="1">
        <v>43614.438933530088</v>
      </c>
      <c r="AV508" s="1">
        <v>43614.438933530088</v>
      </c>
      <c r="AW508" s="1">
        <v>43614.438933530088</v>
      </c>
      <c r="AX508" s="1"/>
      <c r="AZ508">
        <v>181</v>
      </c>
      <c r="BA508">
        <v>72</v>
      </c>
      <c r="BB508" s="5">
        <v>0</v>
      </c>
      <c r="BC508">
        <f t="shared" si="29"/>
        <v>14.251513643877528</v>
      </c>
      <c r="BD508">
        <v>132</v>
      </c>
      <c r="BE508">
        <v>4.9000000000000004</v>
      </c>
      <c r="BF508">
        <v>3.2</v>
      </c>
      <c r="BG508">
        <v>10.1999999999999</v>
      </c>
      <c r="BH508">
        <v>240</v>
      </c>
      <c r="BI508">
        <v>5.9299999999999899</v>
      </c>
      <c r="BJ508">
        <v>8.5999999999999908</v>
      </c>
      <c r="BK508">
        <v>4</v>
      </c>
      <c r="BL508">
        <v>11</v>
      </c>
      <c r="BM508">
        <v>24.6099999999999</v>
      </c>
      <c r="BN508">
        <v>5.2999999999999901</v>
      </c>
    </row>
    <row r="509" spans="1:66" x14ac:dyDescent="0.3">
      <c r="A509">
        <v>508</v>
      </c>
      <c r="B509" s="2" t="s">
        <v>434</v>
      </c>
      <c r="C509" s="2" t="s">
        <v>448</v>
      </c>
      <c r="D509">
        <v>64.9849521203829</v>
      </c>
      <c r="E509" s="3">
        <v>44467.23333333333</v>
      </c>
      <c r="F509" s="1">
        <v>44049</v>
      </c>
      <c r="G509" s="1">
        <v>43844.706412037027</v>
      </c>
      <c r="H509" t="s">
        <v>15</v>
      </c>
      <c r="I509" t="s">
        <v>87</v>
      </c>
      <c r="J509" t="s">
        <v>35</v>
      </c>
      <c r="L509">
        <v>25</v>
      </c>
      <c r="M509" t="s">
        <v>15</v>
      </c>
      <c r="N509" t="s">
        <v>14</v>
      </c>
      <c r="O509" t="s">
        <v>25</v>
      </c>
      <c r="P509" t="s">
        <v>451</v>
      </c>
      <c r="Q509" t="s">
        <v>19</v>
      </c>
      <c r="S509" t="s">
        <v>451</v>
      </c>
      <c r="T509" t="s">
        <v>23</v>
      </c>
      <c r="V509" t="s">
        <v>451</v>
      </c>
      <c r="W509" t="s">
        <v>23</v>
      </c>
      <c r="X509" t="s">
        <v>78</v>
      </c>
      <c r="Y509">
        <v>5.0700001716613698</v>
      </c>
      <c r="Z509">
        <v>4.1199998855590803</v>
      </c>
      <c r="AA509">
        <v>1.9299999475479099</v>
      </c>
      <c r="AB509">
        <v>1.20000004768371</v>
      </c>
      <c r="AC509">
        <v>350.90875244140602</v>
      </c>
      <c r="AD509">
        <v>204</v>
      </c>
      <c r="AE509">
        <v>2</v>
      </c>
      <c r="AF509">
        <v>45</v>
      </c>
      <c r="AG509">
        <v>56</v>
      </c>
      <c r="AH509">
        <v>3.4800000190734801</v>
      </c>
      <c r="AI509">
        <v>4.0300002098083398</v>
      </c>
      <c r="AJ509">
        <v>13.899999618530201</v>
      </c>
      <c r="AK509">
        <v>3.92000007629394</v>
      </c>
      <c r="AL509">
        <v>5.1100001335143999</v>
      </c>
      <c r="AM509">
        <v>10.9600000381469</v>
      </c>
      <c r="AN509" t="s">
        <v>777</v>
      </c>
      <c r="AO509">
        <v>47.299999999999898</v>
      </c>
      <c r="AP509">
        <v>15.44489795918364</v>
      </c>
      <c r="AS509" s="1">
        <v>41285.063495983799</v>
      </c>
      <c r="AT509" s="1">
        <v>43273.477523182868</v>
      </c>
      <c r="AU509" s="1">
        <v>40519.253163969908</v>
      </c>
      <c r="AV509" s="1">
        <v>40519.253163969908</v>
      </c>
      <c r="AW509" s="1"/>
      <c r="AX509" s="1"/>
      <c r="AZ509">
        <v>113</v>
      </c>
      <c r="BA509">
        <v>45</v>
      </c>
      <c r="BB509" s="5">
        <v>0</v>
      </c>
      <c r="BC509">
        <f t="shared" si="29"/>
        <v>18.809434715361963</v>
      </c>
      <c r="BD509">
        <v>131</v>
      </c>
      <c r="BE509">
        <v>3.6</v>
      </c>
      <c r="BF509">
        <v>3.5</v>
      </c>
      <c r="BG509">
        <v>8.3000000000000007</v>
      </c>
      <c r="BH509">
        <v>344</v>
      </c>
      <c r="BI509">
        <v>2.62</v>
      </c>
      <c r="BJ509">
        <v>7</v>
      </c>
      <c r="BK509">
        <v>5.5999999999999899</v>
      </c>
      <c r="BL509">
        <v>9.0999999999999908</v>
      </c>
      <c r="BM509">
        <v>13.23</v>
      </c>
      <c r="BN509">
        <v>6.2</v>
      </c>
    </row>
    <row r="510" spans="1:66" x14ac:dyDescent="0.3">
      <c r="A510">
        <v>509</v>
      </c>
      <c r="B510" s="2" t="s">
        <v>430</v>
      </c>
      <c r="C510" s="2" t="s">
        <v>448</v>
      </c>
      <c r="D510">
        <v>64.465116279068994</v>
      </c>
      <c r="E510" s="3">
        <v>44751</v>
      </c>
      <c r="F510" s="1">
        <v>44040</v>
      </c>
      <c r="G510" s="1">
        <v>43999.701168981483</v>
      </c>
      <c r="H510" t="s">
        <v>17</v>
      </c>
      <c r="I510" t="s">
        <v>451</v>
      </c>
      <c r="J510" t="s">
        <v>35</v>
      </c>
      <c r="L510">
        <v>25</v>
      </c>
      <c r="M510" t="s">
        <v>79</v>
      </c>
      <c r="N510" t="s">
        <v>28</v>
      </c>
      <c r="O510" t="s">
        <v>17</v>
      </c>
      <c r="P510" t="s">
        <v>75</v>
      </c>
      <c r="Q510" t="s">
        <v>19</v>
      </c>
      <c r="S510" t="s">
        <v>92</v>
      </c>
      <c r="T510" t="s">
        <v>23</v>
      </c>
      <c r="V510" t="s">
        <v>451</v>
      </c>
      <c r="W510" t="s">
        <v>26</v>
      </c>
      <c r="X510" t="s">
        <v>90</v>
      </c>
      <c r="Y510">
        <v>6.0100002288818297</v>
      </c>
      <c r="Z510">
        <v>5.3200001716613698</v>
      </c>
      <c r="AA510">
        <v>1.12000000476837</v>
      </c>
      <c r="AB510">
        <v>0.77999997138976995</v>
      </c>
      <c r="AC510">
        <v>231.75611877441401</v>
      </c>
      <c r="AD510">
        <v>124</v>
      </c>
      <c r="AE510">
        <v>2.6199998855590798</v>
      </c>
      <c r="AF510">
        <v>78</v>
      </c>
      <c r="AG510">
        <v>105</v>
      </c>
      <c r="AH510">
        <v>5.1100001335143999</v>
      </c>
      <c r="AI510">
        <v>4.13000011444091</v>
      </c>
      <c r="AJ510">
        <v>25.420000076293899</v>
      </c>
      <c r="AK510">
        <v>6.8499999046325604</v>
      </c>
      <c r="AL510">
        <v>8.92000007629394</v>
      </c>
      <c r="AM510">
        <v>11.770000457763601</v>
      </c>
      <c r="AN510" t="s">
        <v>778</v>
      </c>
      <c r="AO510">
        <v>65</v>
      </c>
      <c r="AP510">
        <v>21.971335857220122</v>
      </c>
      <c r="AQ510" s="1">
        <v>38718</v>
      </c>
      <c r="AR510" s="1">
        <v>38718</v>
      </c>
      <c r="AS510" s="1">
        <v>42291.290345636568</v>
      </c>
      <c r="AT510" s="1"/>
      <c r="AU510" s="1">
        <v>42291.290345636568</v>
      </c>
      <c r="AV510" s="1">
        <v>42291.290345636568</v>
      </c>
      <c r="AW510" s="1">
        <v>42604.443058831021</v>
      </c>
      <c r="AX510" s="1">
        <v>43562.363562384257</v>
      </c>
      <c r="BB510" s="5">
        <v>0</v>
      </c>
      <c r="BC510">
        <f t="shared" si="29"/>
        <v>12.628002679682396</v>
      </c>
      <c r="BD510">
        <v>142</v>
      </c>
      <c r="BE510">
        <v>5</v>
      </c>
      <c r="BF510">
        <v>3</v>
      </c>
      <c r="BG510">
        <v>10.3</v>
      </c>
      <c r="BH510">
        <v>191</v>
      </c>
      <c r="BI510">
        <v>5.4</v>
      </c>
      <c r="BJ510">
        <v>8.9</v>
      </c>
      <c r="BK510">
        <v>5</v>
      </c>
      <c r="BL510">
        <v>8</v>
      </c>
      <c r="BM510">
        <v>38.06</v>
      </c>
      <c r="BN510">
        <v>7.7</v>
      </c>
    </row>
    <row r="511" spans="1:66" x14ac:dyDescent="0.3">
      <c r="A511">
        <v>510</v>
      </c>
      <c r="B511" s="2" t="s">
        <v>430</v>
      </c>
      <c r="C511" s="2" t="s">
        <v>448</v>
      </c>
      <c r="D511">
        <v>62.659370725034002</v>
      </c>
      <c r="E511" s="3">
        <v>43474</v>
      </c>
      <c r="F511" s="1">
        <v>43380</v>
      </c>
      <c r="G511" s="1">
        <v>43331.599444444437</v>
      </c>
      <c r="H511" t="s">
        <v>17</v>
      </c>
      <c r="I511" t="s">
        <v>78</v>
      </c>
      <c r="J511" t="s">
        <v>15</v>
      </c>
      <c r="L511">
        <v>53</v>
      </c>
      <c r="M511" t="s">
        <v>451</v>
      </c>
      <c r="N511" t="s">
        <v>451</v>
      </c>
      <c r="O511" t="s">
        <v>31</v>
      </c>
      <c r="P511" t="s">
        <v>75</v>
      </c>
      <c r="Q511" t="s">
        <v>29</v>
      </c>
      <c r="R511" t="s">
        <v>98</v>
      </c>
      <c r="S511" t="s">
        <v>92</v>
      </c>
      <c r="T511" t="s">
        <v>23</v>
      </c>
      <c r="V511" t="s">
        <v>15</v>
      </c>
      <c r="W511" t="s">
        <v>29</v>
      </c>
      <c r="X511" t="s">
        <v>87</v>
      </c>
      <c r="Y511">
        <v>6.0999999046325604</v>
      </c>
      <c r="Z511">
        <v>3.0399999618530198</v>
      </c>
      <c r="AA511">
        <v>1.4400000572204501</v>
      </c>
      <c r="AB511">
        <v>1.12999999523162</v>
      </c>
      <c r="AC511">
        <v>353.97814941406199</v>
      </c>
      <c r="AD511">
        <v>200</v>
      </c>
      <c r="AE511">
        <v>1</v>
      </c>
      <c r="AF511">
        <v>55</v>
      </c>
      <c r="AG511">
        <v>109</v>
      </c>
      <c r="AH511">
        <v>5.4299998283386204</v>
      </c>
      <c r="AI511">
        <v>7.0199999809265101</v>
      </c>
      <c r="AJ511">
        <v>15.529999732971101</v>
      </c>
      <c r="AK511">
        <v>6.5999999046325604</v>
      </c>
      <c r="AL511">
        <v>9.6899995803833008</v>
      </c>
      <c r="AM511">
        <v>11.25</v>
      </c>
      <c r="AN511" t="s">
        <v>779</v>
      </c>
      <c r="AS511" s="1"/>
      <c r="AT511" s="1"/>
      <c r="AU511" s="1">
        <v>40603.456649340267</v>
      </c>
      <c r="AV511" s="1"/>
      <c r="AW511" s="1"/>
      <c r="AX511" s="1"/>
      <c r="AZ511">
        <v>103</v>
      </c>
      <c r="BA511">
        <v>50</v>
      </c>
      <c r="BB511" s="5">
        <v>0</v>
      </c>
      <c r="BC511">
        <v>13.6</v>
      </c>
      <c r="BD511">
        <v>141.19999999999899</v>
      </c>
      <c r="BE511">
        <v>4.1699999999999902</v>
      </c>
      <c r="BF511">
        <v>2.2000000000000002</v>
      </c>
      <c r="BH511">
        <v>276</v>
      </c>
      <c r="BI511">
        <v>4.1799999999999899</v>
      </c>
      <c r="BJ511">
        <v>8.5999999999999908</v>
      </c>
      <c r="BK511">
        <v>7.2999999999999901</v>
      </c>
      <c r="BL511">
        <v>8.6999999999999904</v>
      </c>
      <c r="BM511">
        <v>238.53</v>
      </c>
      <c r="BN511">
        <v>5.2</v>
      </c>
    </row>
    <row r="512" spans="1:66" x14ac:dyDescent="0.3">
      <c r="A512">
        <v>511</v>
      </c>
      <c r="B512" s="2" t="s">
        <v>430</v>
      </c>
      <c r="C512" s="2" t="s">
        <v>448</v>
      </c>
      <c r="D512">
        <v>57.357045143637897</v>
      </c>
      <c r="E512" s="3">
        <v>41582.655555555553</v>
      </c>
      <c r="F512" s="1">
        <v>41527</v>
      </c>
      <c r="G512" s="1">
        <v>41525.406030092592</v>
      </c>
      <c r="H512" t="s">
        <v>17</v>
      </c>
      <c r="I512" t="s">
        <v>15</v>
      </c>
      <c r="J512" t="s">
        <v>35</v>
      </c>
      <c r="K512" t="s">
        <v>268</v>
      </c>
      <c r="L512">
        <v>28</v>
      </c>
      <c r="M512" t="s">
        <v>17</v>
      </c>
      <c r="N512" t="s">
        <v>14</v>
      </c>
      <c r="O512" t="s">
        <v>25</v>
      </c>
      <c r="P512" t="s">
        <v>479</v>
      </c>
      <c r="Q512" t="s">
        <v>18</v>
      </c>
      <c r="S512" t="s">
        <v>92</v>
      </c>
      <c r="T512" t="s">
        <v>23</v>
      </c>
      <c r="V512" t="s">
        <v>451</v>
      </c>
      <c r="W512" t="s">
        <v>19</v>
      </c>
      <c r="X512" t="s">
        <v>78</v>
      </c>
      <c r="Y512">
        <v>6</v>
      </c>
      <c r="Z512">
        <v>4.5</v>
      </c>
      <c r="AA512">
        <v>1</v>
      </c>
      <c r="AB512">
        <v>1</v>
      </c>
      <c r="AC512">
        <v>246.87199401855401</v>
      </c>
      <c r="AD512">
        <v>124</v>
      </c>
      <c r="AE512">
        <v>2.1900000572204501</v>
      </c>
      <c r="AF512">
        <v>48</v>
      </c>
      <c r="AG512">
        <v>87</v>
      </c>
      <c r="AH512">
        <v>5</v>
      </c>
      <c r="AI512">
        <v>5</v>
      </c>
      <c r="AJ512">
        <v>17.399999618530199</v>
      </c>
      <c r="AK512">
        <v>5</v>
      </c>
      <c r="AL512">
        <v>4</v>
      </c>
      <c r="AM512">
        <v>21.75</v>
      </c>
      <c r="AN512" t="s">
        <v>780</v>
      </c>
      <c r="AO512">
        <v>80.099999999999895</v>
      </c>
      <c r="AP512">
        <v>22.188365650969502</v>
      </c>
      <c r="AQ512" s="1">
        <v>40394</v>
      </c>
      <c r="AR512" s="1">
        <v>40123</v>
      </c>
      <c r="AS512" s="1">
        <v>40122.580694444441</v>
      </c>
      <c r="AT512" s="1"/>
      <c r="AU512" s="1">
        <v>40122.580972222233</v>
      </c>
      <c r="AV512" s="1">
        <v>40122.580694444441</v>
      </c>
      <c r="AW512" s="1">
        <v>40394.411309803239</v>
      </c>
      <c r="AX512" s="1">
        <v>41387.693949502318</v>
      </c>
      <c r="AZ512">
        <v>125</v>
      </c>
      <c r="BA512">
        <v>80</v>
      </c>
      <c r="BB512" s="5">
        <v>0</v>
      </c>
      <c r="BC512">
        <f t="shared" ref="BC512:BC517" si="30">(140-D512)*AO512/(72*BI512)</f>
        <v>16.625730068300673</v>
      </c>
      <c r="BD512">
        <v>131</v>
      </c>
      <c r="BE512">
        <v>4.5999999999999899</v>
      </c>
      <c r="BF512">
        <v>3</v>
      </c>
      <c r="BG512">
        <v>10.4</v>
      </c>
      <c r="BH512">
        <v>215</v>
      </c>
      <c r="BI512">
        <v>5.53</v>
      </c>
      <c r="BJ512">
        <v>9.4</v>
      </c>
      <c r="BK512">
        <v>6.4</v>
      </c>
      <c r="BL512">
        <v>11.1999999999999</v>
      </c>
      <c r="BM512">
        <v>158.25</v>
      </c>
      <c r="BN512">
        <v>7.9</v>
      </c>
    </row>
    <row r="513" spans="1:66" x14ac:dyDescent="0.3">
      <c r="A513">
        <v>512</v>
      </c>
      <c r="B513" s="2" t="s">
        <v>430</v>
      </c>
      <c r="C513" s="2" t="s">
        <v>449</v>
      </c>
      <c r="D513">
        <v>67.219284845721006</v>
      </c>
      <c r="E513" s="3"/>
      <c r="F513" s="1">
        <v>45756.648611111108</v>
      </c>
      <c r="G513" s="1">
        <v>45651.539467592593</v>
      </c>
      <c r="H513" t="s">
        <v>15</v>
      </c>
      <c r="I513" t="s">
        <v>15</v>
      </c>
      <c r="J513" t="s">
        <v>453</v>
      </c>
      <c r="L513">
        <v>50</v>
      </c>
      <c r="M513" t="s">
        <v>451</v>
      </c>
      <c r="N513" t="s">
        <v>451</v>
      </c>
      <c r="O513" t="s">
        <v>17</v>
      </c>
      <c r="P513" t="s">
        <v>451</v>
      </c>
      <c r="Q513" t="s">
        <v>451</v>
      </c>
      <c r="R513" t="s">
        <v>153</v>
      </c>
      <c r="S513" t="s">
        <v>92</v>
      </c>
      <c r="T513" t="s">
        <v>19</v>
      </c>
      <c r="V513" t="s">
        <v>451</v>
      </c>
      <c r="W513" t="s">
        <v>19</v>
      </c>
      <c r="X513" t="s">
        <v>78</v>
      </c>
      <c r="Y513">
        <v>3.9700000286102202</v>
      </c>
      <c r="Z513">
        <v>3.1400001049041699</v>
      </c>
      <c r="AA513">
        <v>0.92000001668929998</v>
      </c>
      <c r="AB513">
        <v>0.86000001430511397</v>
      </c>
      <c r="AC513">
        <v>106.712120056152</v>
      </c>
      <c r="AD513">
        <v>69</v>
      </c>
      <c r="AE513">
        <v>1.0700000524520801</v>
      </c>
      <c r="AF513">
        <v>37</v>
      </c>
      <c r="AG513">
        <v>107</v>
      </c>
      <c r="AI513">
        <v>4.2399997711181596</v>
      </c>
      <c r="AJ513">
        <v>25.2399997711181</v>
      </c>
      <c r="AK513">
        <v>5.6599998474120996</v>
      </c>
      <c r="AL513">
        <v>6.1999998092651296</v>
      </c>
      <c r="AM513">
        <v>17.2600002288818</v>
      </c>
      <c r="AN513" t="s">
        <v>781</v>
      </c>
      <c r="AO513">
        <v>80</v>
      </c>
      <c r="AP513">
        <v>31.25</v>
      </c>
      <c r="AS513" s="1"/>
      <c r="AT513" s="1"/>
      <c r="AU513" s="1">
        <v>45651.220862499998</v>
      </c>
      <c r="AV513" s="1">
        <v>45651.220862499998</v>
      </c>
      <c r="AW513" s="1">
        <v>45651.220862499998</v>
      </c>
      <c r="AX513" s="1"/>
      <c r="AZ513">
        <v>173</v>
      </c>
      <c r="BA513">
        <v>68</v>
      </c>
      <c r="BB513" s="5">
        <v>0</v>
      </c>
      <c r="BC513">
        <f t="shared" si="30"/>
        <v>13.894752797685946</v>
      </c>
      <c r="BD513">
        <v>141</v>
      </c>
      <c r="BE513">
        <v>4.5999999999999899</v>
      </c>
      <c r="BF513">
        <v>2.2999999999999901</v>
      </c>
      <c r="BG513">
        <v>9.3000000000000007</v>
      </c>
      <c r="BH513">
        <v>284</v>
      </c>
      <c r="BI513">
        <v>5.82</v>
      </c>
      <c r="BJ513">
        <v>8.0999999999999908</v>
      </c>
      <c r="BK513">
        <v>9.4</v>
      </c>
      <c r="BL513">
        <v>4.9000000000000004</v>
      </c>
      <c r="BM513">
        <v>59.02</v>
      </c>
      <c r="BN513">
        <v>5.5999999999999899</v>
      </c>
    </row>
    <row r="514" spans="1:66" x14ac:dyDescent="0.3">
      <c r="A514">
        <v>513</v>
      </c>
      <c r="B514" s="2" t="s">
        <v>434</v>
      </c>
      <c r="C514" s="2" t="s">
        <v>449</v>
      </c>
      <c r="D514">
        <v>56.303693570451003</v>
      </c>
      <c r="E514" s="3">
        <v>41770</v>
      </c>
      <c r="F514" s="1">
        <v>41316</v>
      </c>
      <c r="G514" s="1">
        <v>41318.661261574067</v>
      </c>
      <c r="H514" t="s">
        <v>15</v>
      </c>
      <c r="I514" t="s">
        <v>451</v>
      </c>
      <c r="J514" t="s">
        <v>15</v>
      </c>
      <c r="L514">
        <v>60</v>
      </c>
      <c r="M514" t="s">
        <v>15</v>
      </c>
      <c r="N514" t="s">
        <v>15</v>
      </c>
      <c r="O514" t="s">
        <v>31</v>
      </c>
      <c r="P514" t="s">
        <v>75</v>
      </c>
      <c r="Q514" t="s">
        <v>19</v>
      </c>
      <c r="R514" t="s">
        <v>481</v>
      </c>
      <c r="S514" t="s">
        <v>126</v>
      </c>
      <c r="T514" t="s">
        <v>19</v>
      </c>
      <c r="U514" t="s">
        <v>524</v>
      </c>
      <c r="V514" t="s">
        <v>451</v>
      </c>
      <c r="W514" t="s">
        <v>19</v>
      </c>
      <c r="X514" t="s">
        <v>90</v>
      </c>
      <c r="Y514">
        <v>5.38000011444091</v>
      </c>
      <c r="Z514">
        <v>2.63000011444091</v>
      </c>
      <c r="AA514">
        <v>1.0599999427795399</v>
      </c>
      <c r="AB514">
        <v>0.86000001430511397</v>
      </c>
      <c r="AC514">
        <v>194.702377319335</v>
      </c>
      <c r="AD514">
        <v>95</v>
      </c>
      <c r="AE514">
        <v>1</v>
      </c>
      <c r="AF514">
        <v>82</v>
      </c>
      <c r="AN514" t="s">
        <v>782</v>
      </c>
      <c r="AO514">
        <v>95</v>
      </c>
      <c r="AP514">
        <v>33.659297052154194</v>
      </c>
      <c r="AS514" s="1"/>
      <c r="AT514" s="1">
        <v>39971.765236886567</v>
      </c>
      <c r="AU514" s="1"/>
      <c r="AV514" s="1"/>
      <c r="AW514" s="1"/>
      <c r="AX514" s="1"/>
      <c r="AZ514">
        <v>123</v>
      </c>
      <c r="BA514">
        <v>78</v>
      </c>
      <c r="BB514" s="2">
        <v>7</v>
      </c>
      <c r="BC514">
        <f t="shared" si="30"/>
        <v>43.997062366130955</v>
      </c>
      <c r="BD514">
        <v>134</v>
      </c>
      <c r="BE514">
        <v>5.0999999999999899</v>
      </c>
      <c r="BF514">
        <v>3.2</v>
      </c>
      <c r="BG514">
        <v>9.1999999999999904</v>
      </c>
      <c r="BH514">
        <v>142</v>
      </c>
      <c r="BI514">
        <v>2.50999999999999</v>
      </c>
      <c r="BJ514">
        <v>8.5</v>
      </c>
      <c r="BK514">
        <v>4.0999999999999899</v>
      </c>
      <c r="BL514">
        <v>9.8000000000000007</v>
      </c>
      <c r="BM514">
        <v>8.82</v>
      </c>
    </row>
    <row r="515" spans="1:66" x14ac:dyDescent="0.3">
      <c r="A515">
        <v>514</v>
      </c>
      <c r="B515" s="2" t="s">
        <v>430</v>
      </c>
      <c r="C515" s="2" t="s">
        <v>448</v>
      </c>
      <c r="D515">
        <v>59.499316005471101</v>
      </c>
      <c r="E515" s="3">
        <v>42881</v>
      </c>
      <c r="F515" s="1">
        <v>42816</v>
      </c>
      <c r="G515" s="1">
        <v>42764.512233796297</v>
      </c>
      <c r="H515" t="s">
        <v>17</v>
      </c>
      <c r="I515" t="s">
        <v>15</v>
      </c>
      <c r="J515" t="s">
        <v>22</v>
      </c>
      <c r="L515">
        <v>43</v>
      </c>
      <c r="M515" t="s">
        <v>79</v>
      </c>
      <c r="N515" t="s">
        <v>28</v>
      </c>
      <c r="O515" t="s">
        <v>17</v>
      </c>
      <c r="P515" t="s">
        <v>451</v>
      </c>
      <c r="Q515" t="s">
        <v>451</v>
      </c>
      <c r="S515" t="s">
        <v>451</v>
      </c>
      <c r="T515" t="s">
        <v>19</v>
      </c>
      <c r="V515" t="s">
        <v>451</v>
      </c>
      <c r="W515" t="s">
        <v>29</v>
      </c>
      <c r="X515" t="s">
        <v>87</v>
      </c>
      <c r="Y515">
        <v>5.7199997901916504</v>
      </c>
      <c r="Z515">
        <v>3.5699999332427899</v>
      </c>
      <c r="AA515">
        <v>0.93000000715255704</v>
      </c>
      <c r="AB515">
        <v>0.87999999523162797</v>
      </c>
      <c r="AC515">
        <v>200.12069702148401</v>
      </c>
      <c r="AD515">
        <v>77</v>
      </c>
      <c r="AE515">
        <v>1</v>
      </c>
      <c r="AF515">
        <v>55</v>
      </c>
      <c r="AG515">
        <v>94.769996643066406</v>
      </c>
      <c r="AH515">
        <v>6</v>
      </c>
      <c r="AI515">
        <v>6</v>
      </c>
      <c r="AJ515">
        <v>15.800000190734799</v>
      </c>
      <c r="AK515">
        <v>7</v>
      </c>
      <c r="AL515">
        <v>9</v>
      </c>
      <c r="AM515">
        <v>10.529999732971101</v>
      </c>
      <c r="AN515" t="s">
        <v>783</v>
      </c>
      <c r="AO515">
        <v>129.099999999999</v>
      </c>
      <c r="AQ515" s="1">
        <v>37622</v>
      </c>
      <c r="AS515" s="1">
        <v>42638.694147604168</v>
      </c>
      <c r="AT515" s="1">
        <v>41971.495914317129</v>
      </c>
      <c r="AU515" s="1">
        <v>42638.694147604168</v>
      </c>
      <c r="AV515" s="1">
        <v>42033.397203206019</v>
      </c>
      <c r="AW515" s="1">
        <v>42638.694147604168</v>
      </c>
      <c r="AX515" s="1">
        <v>42795.534043437503</v>
      </c>
      <c r="AZ515">
        <v>115</v>
      </c>
      <c r="BA515">
        <v>62</v>
      </c>
      <c r="BB515" s="5">
        <v>0</v>
      </c>
      <c r="BC515">
        <f t="shared" si="30"/>
        <v>24.886585976277821</v>
      </c>
      <c r="BD515">
        <v>128</v>
      </c>
      <c r="BE515">
        <v>4.4000000000000004</v>
      </c>
      <c r="BF515">
        <v>2.3999999999999901</v>
      </c>
      <c r="BG515">
        <v>10.5</v>
      </c>
      <c r="BH515">
        <v>280</v>
      </c>
      <c r="BI515">
        <v>5.7999999999999901</v>
      </c>
      <c r="BJ515">
        <v>5.7</v>
      </c>
      <c r="BK515">
        <v>6.5999999999999899</v>
      </c>
      <c r="BL515">
        <v>14.3</v>
      </c>
      <c r="BM515">
        <v>123.69</v>
      </c>
      <c r="BN515">
        <v>10.1999999999999</v>
      </c>
    </row>
    <row r="516" spans="1:66" x14ac:dyDescent="0.3">
      <c r="A516">
        <v>515</v>
      </c>
      <c r="B516" s="2" t="s">
        <v>430</v>
      </c>
      <c r="C516" s="2" t="s">
        <v>448</v>
      </c>
      <c r="D516">
        <v>65.766833865329005</v>
      </c>
      <c r="E516" s="3"/>
      <c r="F516" s="1">
        <v>45214.777777777781</v>
      </c>
      <c r="G516" s="1">
        <v>45049.49863425926</v>
      </c>
      <c r="H516" t="s">
        <v>15</v>
      </c>
      <c r="I516" t="s">
        <v>78</v>
      </c>
      <c r="J516" t="s">
        <v>453</v>
      </c>
      <c r="L516">
        <v>55</v>
      </c>
      <c r="M516" t="s">
        <v>17</v>
      </c>
      <c r="N516" t="s">
        <v>35</v>
      </c>
      <c r="O516" t="s">
        <v>17</v>
      </c>
      <c r="P516" t="s">
        <v>75</v>
      </c>
      <c r="Q516" t="s">
        <v>451</v>
      </c>
      <c r="R516" t="s">
        <v>98</v>
      </c>
      <c r="S516" t="s">
        <v>451</v>
      </c>
      <c r="T516" t="s">
        <v>18</v>
      </c>
      <c r="V516" t="s">
        <v>451</v>
      </c>
      <c r="W516" t="s">
        <v>19</v>
      </c>
      <c r="X516" t="s">
        <v>90</v>
      </c>
      <c r="Y516">
        <v>4.6999998092651296</v>
      </c>
      <c r="Z516">
        <v>3</v>
      </c>
      <c r="AA516">
        <v>1.29999995231628</v>
      </c>
      <c r="AB516">
        <v>1.29999995231628</v>
      </c>
      <c r="AC516">
        <v>237.88140869140599</v>
      </c>
      <c r="AD516">
        <v>105</v>
      </c>
      <c r="AE516">
        <v>1</v>
      </c>
      <c r="AF516">
        <v>63</v>
      </c>
      <c r="AG516">
        <v>88</v>
      </c>
      <c r="AN516" t="s">
        <v>784</v>
      </c>
      <c r="AO516">
        <v>86.2</v>
      </c>
      <c r="AP516">
        <v>33.671875</v>
      </c>
      <c r="AS516" s="1"/>
      <c r="AT516" s="1">
        <v>44923.926676504627</v>
      </c>
      <c r="AU516" s="1">
        <v>44923.926676504627</v>
      </c>
      <c r="AV516" s="1">
        <v>44923.926676504627</v>
      </c>
      <c r="AW516" s="1">
        <v>44923.926676504627</v>
      </c>
      <c r="AX516" s="1"/>
      <c r="AZ516">
        <v>152</v>
      </c>
      <c r="BA516">
        <v>92</v>
      </c>
      <c r="BB516" s="5">
        <v>0</v>
      </c>
      <c r="BC516">
        <f t="shared" si="30"/>
        <v>28.855063676085138</v>
      </c>
      <c r="BD516">
        <v>139</v>
      </c>
      <c r="BE516">
        <v>4</v>
      </c>
      <c r="BF516">
        <v>2.6</v>
      </c>
      <c r="BG516">
        <v>11.4</v>
      </c>
      <c r="BH516">
        <v>152</v>
      </c>
      <c r="BI516">
        <v>3.08</v>
      </c>
      <c r="BJ516">
        <v>7.9</v>
      </c>
      <c r="BK516">
        <v>2.7</v>
      </c>
      <c r="BL516">
        <v>7.0999999999999899</v>
      </c>
      <c r="BM516">
        <v>56.27</v>
      </c>
      <c r="BN516">
        <v>7.5</v>
      </c>
    </row>
    <row r="517" spans="1:66" x14ac:dyDescent="0.3">
      <c r="A517">
        <v>516</v>
      </c>
      <c r="B517" s="2" t="s">
        <v>430</v>
      </c>
      <c r="C517" s="2" t="s">
        <v>448</v>
      </c>
      <c r="D517">
        <v>64.073871409028001</v>
      </c>
      <c r="E517" s="3"/>
      <c r="F517" s="1">
        <v>44299</v>
      </c>
      <c r="G517" s="1">
        <v>44000.657013888893</v>
      </c>
      <c r="H517" t="s">
        <v>17</v>
      </c>
      <c r="I517" t="s">
        <v>15</v>
      </c>
      <c r="J517" t="s">
        <v>28</v>
      </c>
      <c r="L517">
        <v>35</v>
      </c>
      <c r="M517" t="s">
        <v>451</v>
      </c>
      <c r="N517" t="s">
        <v>451</v>
      </c>
      <c r="O517" t="s">
        <v>17</v>
      </c>
      <c r="P517" t="s">
        <v>75</v>
      </c>
      <c r="Q517" t="s">
        <v>18</v>
      </c>
      <c r="S517" t="s">
        <v>451</v>
      </c>
      <c r="T517" t="s">
        <v>18</v>
      </c>
      <c r="V517" t="s">
        <v>451</v>
      </c>
      <c r="W517" t="s">
        <v>18</v>
      </c>
      <c r="Y517">
        <v>6.0599999427795401</v>
      </c>
      <c r="Z517">
        <v>4.8400001525878897</v>
      </c>
      <c r="AA517">
        <v>1.00999999046325</v>
      </c>
      <c r="AB517">
        <v>0.87999999523162797</v>
      </c>
      <c r="AC517">
        <v>233.489166259765</v>
      </c>
      <c r="AD517">
        <v>111</v>
      </c>
      <c r="AE517">
        <v>2</v>
      </c>
      <c r="AG517">
        <v>94.599998474120994</v>
      </c>
      <c r="AH517">
        <v>7.0700001716613698</v>
      </c>
      <c r="AI517">
        <v>4.6799998283386204</v>
      </c>
      <c r="AJ517">
        <v>20.209999084472599</v>
      </c>
      <c r="AK517">
        <v>7.8299999237060502</v>
      </c>
      <c r="AL517">
        <v>7.9400000572204501</v>
      </c>
      <c r="AM517">
        <v>11.9099998474121</v>
      </c>
      <c r="AN517" t="s">
        <v>785</v>
      </c>
      <c r="AO517">
        <v>63.7</v>
      </c>
      <c r="AP517">
        <v>20.104784749400331</v>
      </c>
      <c r="AR517" s="1">
        <v>43831</v>
      </c>
      <c r="AS517" s="1">
        <v>43853.838333564818</v>
      </c>
      <c r="AT517" s="1"/>
      <c r="AU517" s="1">
        <v>42518.476125578702</v>
      </c>
      <c r="AV517" s="1">
        <v>41641.493481516212</v>
      </c>
      <c r="AW517" s="1">
        <v>42518.476125578702</v>
      </c>
      <c r="AX517" s="1"/>
      <c r="BB517" s="2">
        <v>2</v>
      </c>
      <c r="BC517">
        <f t="shared" si="30"/>
        <v>10.382308069819945</v>
      </c>
      <c r="BD517">
        <v>141</v>
      </c>
      <c r="BE517">
        <v>4</v>
      </c>
      <c r="BF517">
        <v>3.7999999999999901</v>
      </c>
      <c r="BG517">
        <v>10.1999999999999</v>
      </c>
      <c r="BH517">
        <v>179</v>
      </c>
      <c r="BI517">
        <v>6.46999999999999</v>
      </c>
      <c r="BJ517">
        <v>7</v>
      </c>
      <c r="BK517">
        <v>5.7</v>
      </c>
      <c r="BL517">
        <v>9.5999999999999908</v>
      </c>
      <c r="BM517">
        <v>0.76</v>
      </c>
      <c r="BN517">
        <v>6.2</v>
      </c>
    </row>
    <row r="518" spans="1:66" x14ac:dyDescent="0.3">
      <c r="A518">
        <v>517</v>
      </c>
      <c r="B518" s="2" t="s">
        <v>430</v>
      </c>
      <c r="C518" s="2" t="s">
        <v>448</v>
      </c>
      <c r="D518">
        <v>64.656634746921895</v>
      </c>
      <c r="E518" s="3">
        <v>45007.03125</v>
      </c>
      <c r="F518" s="1">
        <v>44749</v>
      </c>
      <c r="G518" s="1">
        <v>44712.483923611107</v>
      </c>
      <c r="H518" t="s">
        <v>451</v>
      </c>
      <c r="I518" t="s">
        <v>451</v>
      </c>
      <c r="J518" t="s">
        <v>451</v>
      </c>
      <c r="K518" t="s">
        <v>472</v>
      </c>
      <c r="L518">
        <v>60</v>
      </c>
      <c r="M518" t="s">
        <v>451</v>
      </c>
      <c r="N518" t="s">
        <v>451</v>
      </c>
      <c r="O518" t="s">
        <v>17</v>
      </c>
      <c r="P518" t="s">
        <v>75</v>
      </c>
      <c r="Q518" t="s">
        <v>451</v>
      </c>
      <c r="S518" t="s">
        <v>133</v>
      </c>
      <c r="T518" t="s">
        <v>23</v>
      </c>
      <c r="V518" t="s">
        <v>451</v>
      </c>
      <c r="W518" t="s">
        <v>18</v>
      </c>
      <c r="X518" t="s">
        <v>15</v>
      </c>
      <c r="Y518">
        <v>4.5</v>
      </c>
      <c r="Z518">
        <v>3.7999999523162802</v>
      </c>
      <c r="AA518">
        <v>1.3999999761581401</v>
      </c>
      <c r="AB518">
        <v>0.69999998807907104</v>
      </c>
      <c r="AC518">
        <v>163.98066711425699</v>
      </c>
      <c r="AD518">
        <v>83</v>
      </c>
      <c r="AE518">
        <v>1</v>
      </c>
      <c r="AF518">
        <v>30</v>
      </c>
      <c r="AG518">
        <v>99</v>
      </c>
      <c r="AN518" t="s">
        <v>786</v>
      </c>
      <c r="AS518" s="1">
        <v>44718.508478090283</v>
      </c>
      <c r="AT518" s="1"/>
      <c r="AU518" s="1"/>
      <c r="AV518" s="1">
        <v>40289.608777893518</v>
      </c>
      <c r="AW518" s="1"/>
      <c r="AX518" s="1"/>
      <c r="AZ518">
        <v>141</v>
      </c>
      <c r="BA518">
        <v>46</v>
      </c>
      <c r="BB518" s="5">
        <v>0</v>
      </c>
      <c r="BC518">
        <v>15</v>
      </c>
      <c r="BD518">
        <v>139</v>
      </c>
      <c r="BE518">
        <v>4.2999999999999901</v>
      </c>
      <c r="BF518">
        <v>1.8999999999999899</v>
      </c>
      <c r="BG518">
        <v>7.4</v>
      </c>
      <c r="BH518">
        <v>148</v>
      </c>
      <c r="BI518">
        <v>4.04</v>
      </c>
      <c r="BJ518">
        <v>7.2999999999999901</v>
      </c>
      <c r="BK518">
        <v>4.5</v>
      </c>
      <c r="BL518">
        <v>5.2999999999999901</v>
      </c>
      <c r="BM518">
        <v>34.009999999999899</v>
      </c>
      <c r="BN518">
        <v>9.1999999999999904</v>
      </c>
    </row>
    <row r="519" spans="1:66" x14ac:dyDescent="0.3">
      <c r="A519">
        <v>518</v>
      </c>
      <c r="B519" s="2" t="s">
        <v>430</v>
      </c>
      <c r="C519" s="2" t="s">
        <v>448</v>
      </c>
      <c r="D519">
        <v>63.537619699041898</v>
      </c>
      <c r="E519" s="3">
        <v>45510</v>
      </c>
      <c r="F519" s="1">
        <v>44393</v>
      </c>
      <c r="G519" s="1">
        <v>44207.544398148151</v>
      </c>
      <c r="H519" t="s">
        <v>17</v>
      </c>
      <c r="I519" t="s">
        <v>15</v>
      </c>
      <c r="J519" t="s">
        <v>453</v>
      </c>
      <c r="L519">
        <v>50</v>
      </c>
      <c r="M519" t="s">
        <v>15</v>
      </c>
      <c r="N519" t="s">
        <v>15</v>
      </c>
      <c r="O519" t="s">
        <v>17</v>
      </c>
      <c r="P519" t="s">
        <v>75</v>
      </c>
      <c r="Q519" t="s">
        <v>18</v>
      </c>
      <c r="S519" t="s">
        <v>451</v>
      </c>
      <c r="T519" t="s">
        <v>18</v>
      </c>
      <c r="V519" t="s">
        <v>451</v>
      </c>
      <c r="W519" t="s">
        <v>29</v>
      </c>
      <c r="X519" t="s">
        <v>90</v>
      </c>
      <c r="Y519">
        <v>6.1999998092651296</v>
      </c>
      <c r="Z519">
        <v>4.1999998092651296</v>
      </c>
      <c r="AA519">
        <v>1.00999999046325</v>
      </c>
      <c r="AB519">
        <v>0.80000001192092796</v>
      </c>
      <c r="AC519">
        <v>229.89454650878901</v>
      </c>
      <c r="AD519">
        <v>95</v>
      </c>
      <c r="AE519">
        <v>1.3099999427795399</v>
      </c>
      <c r="AF519">
        <v>62</v>
      </c>
      <c r="AG519">
        <v>130</v>
      </c>
      <c r="AH519">
        <v>6.8200001716613698</v>
      </c>
      <c r="AI519">
        <v>11.800000190734799</v>
      </c>
      <c r="AJ519">
        <v>11.020000457763601</v>
      </c>
      <c r="AK519">
        <v>8.3800001144409109</v>
      </c>
      <c r="AL519">
        <v>15.1000003814697</v>
      </c>
      <c r="AM519">
        <v>8.6099996566772408</v>
      </c>
      <c r="AN519" t="s">
        <v>787</v>
      </c>
      <c r="AO519">
        <v>120</v>
      </c>
      <c r="AP519">
        <v>42.015335597493092</v>
      </c>
      <c r="AQ519" s="1">
        <v>42505</v>
      </c>
      <c r="AS519" s="1">
        <v>41960.507572719907</v>
      </c>
      <c r="AT519" s="1"/>
      <c r="AU519" s="1">
        <v>41952.939189814817</v>
      </c>
      <c r="AV519" s="1">
        <v>41952.939189814817</v>
      </c>
      <c r="AW519" s="1">
        <v>41952.939189814817</v>
      </c>
      <c r="AX519" s="1"/>
      <c r="AZ519">
        <v>120</v>
      </c>
      <c r="BA519">
        <v>70</v>
      </c>
      <c r="BB519" s="2">
        <v>1</v>
      </c>
      <c r="BC519">
        <f t="shared" ref="BC519:BC532" si="31">(140-D519)*AO519/(72*BI519)</f>
        <v>29.028997836354701</v>
      </c>
      <c r="BD519">
        <v>137</v>
      </c>
      <c r="BE519">
        <v>4.2</v>
      </c>
      <c r="BF519">
        <v>3.2</v>
      </c>
      <c r="BG519">
        <v>12.6999999999999</v>
      </c>
      <c r="BH519">
        <v>220</v>
      </c>
      <c r="BI519">
        <v>4.3899999999999899</v>
      </c>
      <c r="BJ519">
        <v>8.1999999999999904</v>
      </c>
      <c r="BK519">
        <v>4.7</v>
      </c>
      <c r="BL519">
        <v>16.600000000000001</v>
      </c>
      <c r="BM519">
        <v>63.7899999999999</v>
      </c>
      <c r="BN519">
        <v>7.4</v>
      </c>
    </row>
    <row r="520" spans="1:66" x14ac:dyDescent="0.3">
      <c r="A520">
        <v>519</v>
      </c>
      <c r="B520" s="2" t="s">
        <v>434</v>
      </c>
      <c r="C520" s="2" t="s">
        <v>448</v>
      </c>
      <c r="D520">
        <v>61.288645690834002</v>
      </c>
      <c r="E520" s="3">
        <v>44392</v>
      </c>
      <c r="F520" s="1">
        <v>43947</v>
      </c>
      <c r="G520" s="1">
        <v>43781.325300925928</v>
      </c>
      <c r="H520" t="s">
        <v>15</v>
      </c>
      <c r="I520" t="s">
        <v>451</v>
      </c>
      <c r="J520" t="s">
        <v>28</v>
      </c>
      <c r="K520" t="s">
        <v>470</v>
      </c>
      <c r="L520">
        <v>35</v>
      </c>
      <c r="M520" t="s">
        <v>79</v>
      </c>
      <c r="N520" t="s">
        <v>35</v>
      </c>
      <c r="O520" t="s">
        <v>17</v>
      </c>
      <c r="P520" t="s">
        <v>75</v>
      </c>
      <c r="Q520" t="s">
        <v>451</v>
      </c>
      <c r="S520" t="s">
        <v>451</v>
      </c>
      <c r="T520" t="s">
        <v>29</v>
      </c>
      <c r="U520" t="s">
        <v>147</v>
      </c>
      <c r="V520" t="s">
        <v>451</v>
      </c>
      <c r="W520" t="s">
        <v>34</v>
      </c>
      <c r="X520" t="s">
        <v>90</v>
      </c>
      <c r="Y520">
        <v>3.96000003814697</v>
      </c>
      <c r="Z520">
        <v>3.20000004768371</v>
      </c>
      <c r="AA520">
        <v>1.25999999046325</v>
      </c>
      <c r="AB520">
        <v>0.97000002861022905</v>
      </c>
      <c r="AC520">
        <v>146.26449584960901</v>
      </c>
      <c r="AD520">
        <v>78</v>
      </c>
      <c r="AE520">
        <v>2.5</v>
      </c>
      <c r="AF520">
        <v>66</v>
      </c>
      <c r="AG520">
        <v>180</v>
      </c>
      <c r="AH520">
        <v>4.5999999046325604</v>
      </c>
      <c r="AI520">
        <v>6.6799998283386204</v>
      </c>
      <c r="AJ520">
        <v>26.9500007629394</v>
      </c>
      <c r="AK520">
        <v>5.5999999046325604</v>
      </c>
      <c r="AL520">
        <v>6.8499999046325604</v>
      </c>
      <c r="AM520">
        <v>26.280000686645501</v>
      </c>
      <c r="AN520" t="s">
        <v>788</v>
      </c>
      <c r="AO520">
        <v>86.4</v>
      </c>
      <c r="AP520">
        <v>29.20497566252028</v>
      </c>
      <c r="AQ520" s="1">
        <v>43767</v>
      </c>
      <c r="AS520" s="1">
        <v>41114.520269641202</v>
      </c>
      <c r="AT520" s="1"/>
      <c r="AU520" s="1"/>
      <c r="AV520" s="1"/>
      <c r="AW520" s="1"/>
      <c r="AX520" s="1"/>
      <c r="AY520" t="s">
        <v>21</v>
      </c>
      <c r="AZ520">
        <v>94</v>
      </c>
      <c r="BA520">
        <v>60</v>
      </c>
      <c r="BB520" s="5">
        <v>0</v>
      </c>
      <c r="BC520">
        <f t="shared" si="31"/>
        <v>26.237118103055334</v>
      </c>
      <c r="BD520">
        <v>135</v>
      </c>
      <c r="BE520">
        <v>5.2999999999999901</v>
      </c>
      <c r="BF520">
        <v>3.6</v>
      </c>
      <c r="BG520">
        <v>11.6</v>
      </c>
      <c r="BH520">
        <v>265</v>
      </c>
      <c r="BI520">
        <v>3.6</v>
      </c>
      <c r="BJ520">
        <v>8.8000000000000007</v>
      </c>
      <c r="BK520">
        <v>6.0999999999999899</v>
      </c>
      <c r="BL520">
        <v>8.0999999999999908</v>
      </c>
      <c r="BM520">
        <v>28.05</v>
      </c>
      <c r="BN520">
        <v>6.2</v>
      </c>
    </row>
    <row r="521" spans="1:66" x14ac:dyDescent="0.3">
      <c r="A521">
        <v>520</v>
      </c>
      <c r="B521" s="2" t="s">
        <v>434</v>
      </c>
      <c r="C521" s="2" t="s">
        <v>448</v>
      </c>
      <c r="D521">
        <v>58.859097127222</v>
      </c>
      <c r="E521" s="3">
        <v>43635.154861111107</v>
      </c>
      <c r="F521" s="1">
        <v>43285</v>
      </c>
      <c r="G521" s="1">
        <v>42939.621076388888</v>
      </c>
      <c r="H521" t="s">
        <v>15</v>
      </c>
      <c r="I521" t="s">
        <v>451</v>
      </c>
      <c r="J521" t="s">
        <v>30</v>
      </c>
      <c r="K521" t="s">
        <v>466</v>
      </c>
      <c r="L521">
        <v>30</v>
      </c>
      <c r="M521" t="s">
        <v>15</v>
      </c>
      <c r="N521" t="s">
        <v>35</v>
      </c>
      <c r="O521" t="s">
        <v>17</v>
      </c>
      <c r="P521" t="s">
        <v>451</v>
      </c>
      <c r="Q521" t="s">
        <v>451</v>
      </c>
      <c r="S521" t="s">
        <v>451</v>
      </c>
      <c r="T521" t="s">
        <v>29</v>
      </c>
      <c r="V521" t="s">
        <v>451</v>
      </c>
      <c r="W521" t="s">
        <v>29</v>
      </c>
      <c r="X521" t="s">
        <v>90</v>
      </c>
      <c r="Y521">
        <v>5.4499998092651296</v>
      </c>
      <c r="Z521">
        <v>4.17000007629394</v>
      </c>
      <c r="AA521">
        <v>1.2300000190734801</v>
      </c>
      <c r="AB521">
        <v>0.68000000715255704</v>
      </c>
      <c r="AC521">
        <v>197.62561035156199</v>
      </c>
      <c r="AD521">
        <v>106</v>
      </c>
      <c r="AE521">
        <v>2.0599999427795401</v>
      </c>
      <c r="AF521">
        <v>63</v>
      </c>
      <c r="AG521">
        <v>97.040000915527301</v>
      </c>
      <c r="AH521">
        <v>5</v>
      </c>
      <c r="AI521">
        <v>5</v>
      </c>
      <c r="AJ521">
        <v>19.409999847412099</v>
      </c>
      <c r="AK521">
        <v>5</v>
      </c>
      <c r="AL521">
        <v>5</v>
      </c>
      <c r="AM521">
        <v>19.409999847412099</v>
      </c>
      <c r="AN521" t="s">
        <v>789</v>
      </c>
      <c r="AO521">
        <v>77</v>
      </c>
      <c r="AP521">
        <v>29.340039628105473</v>
      </c>
      <c r="AS521" s="1">
        <v>42778.673626307871</v>
      </c>
      <c r="AT521" s="1"/>
      <c r="AU521" s="1">
        <v>42906.554984571761</v>
      </c>
      <c r="AV521" s="1">
        <v>42799.52163978009</v>
      </c>
      <c r="AW521" s="1"/>
      <c r="AX521" s="1"/>
      <c r="AY521" t="s">
        <v>21</v>
      </c>
      <c r="BB521" s="2">
        <v>6</v>
      </c>
      <c r="BC521">
        <f t="shared" si="31"/>
        <v>22.136655049617072</v>
      </c>
      <c r="BD521">
        <v>129</v>
      </c>
      <c r="BE521">
        <v>4.0999999999999899</v>
      </c>
      <c r="BF521">
        <v>2.7999999999999901</v>
      </c>
      <c r="BG521">
        <v>9.4</v>
      </c>
      <c r="BH521">
        <v>415</v>
      </c>
      <c r="BI521">
        <v>3.9199999999999902</v>
      </c>
      <c r="BJ521">
        <v>8.3000000000000007</v>
      </c>
      <c r="BK521">
        <v>6.7</v>
      </c>
      <c r="BL521">
        <v>14.3</v>
      </c>
      <c r="BM521">
        <v>134.099999999999</v>
      </c>
      <c r="BN521">
        <v>6</v>
      </c>
    </row>
    <row r="522" spans="1:66" x14ac:dyDescent="0.3">
      <c r="A522">
        <v>521</v>
      </c>
      <c r="B522" s="2" t="s">
        <v>430</v>
      </c>
      <c r="C522" s="2" t="s">
        <v>448</v>
      </c>
      <c r="D522">
        <v>54.445964432284001</v>
      </c>
      <c r="E522" s="3">
        <v>41885</v>
      </c>
      <c r="F522" s="1">
        <v>41857</v>
      </c>
      <c r="G522" s="1">
        <v>41703.337546296287</v>
      </c>
      <c r="H522" t="s">
        <v>17</v>
      </c>
      <c r="I522" t="s">
        <v>15</v>
      </c>
      <c r="J522" t="s">
        <v>14</v>
      </c>
      <c r="L522">
        <v>40</v>
      </c>
      <c r="M522" t="s">
        <v>451</v>
      </c>
      <c r="N522" t="s">
        <v>14</v>
      </c>
      <c r="O522" t="s">
        <v>17</v>
      </c>
      <c r="P522" t="s">
        <v>479</v>
      </c>
      <c r="S522" t="s">
        <v>451</v>
      </c>
      <c r="T522" t="s">
        <v>29</v>
      </c>
      <c r="V522" t="s">
        <v>451</v>
      </c>
      <c r="W522" t="s">
        <v>23</v>
      </c>
      <c r="X522" t="s">
        <v>87</v>
      </c>
      <c r="Y522">
        <v>5.5999999046325604</v>
      </c>
      <c r="Z522">
        <v>4</v>
      </c>
      <c r="AA522">
        <v>1</v>
      </c>
      <c r="AB522">
        <v>0.89999997615814198</v>
      </c>
      <c r="AC522">
        <v>205.48748779296801</v>
      </c>
      <c r="AD522">
        <v>108</v>
      </c>
      <c r="AE522">
        <v>1</v>
      </c>
      <c r="AF522">
        <v>48</v>
      </c>
      <c r="AG522">
        <v>91.300003051757798</v>
      </c>
      <c r="AH522">
        <v>4.5</v>
      </c>
      <c r="AI522">
        <v>4.5</v>
      </c>
      <c r="AJ522">
        <v>20.290000915527301</v>
      </c>
      <c r="AK522">
        <v>7.9000000953674299</v>
      </c>
      <c r="AL522">
        <v>9.1000003814697195</v>
      </c>
      <c r="AM522">
        <v>10.029999732971101</v>
      </c>
      <c r="AN522" t="s">
        <v>790</v>
      </c>
      <c r="AO522">
        <v>75</v>
      </c>
      <c r="AP522">
        <v>37.724460540214274</v>
      </c>
      <c r="AS522" s="1"/>
      <c r="AT522" s="1">
        <v>41318.776916979157</v>
      </c>
      <c r="AU522" s="1">
        <v>41262.506594641207</v>
      </c>
      <c r="AV522" s="1"/>
      <c r="AW522" s="1">
        <v>41262.506594641207</v>
      </c>
      <c r="AX522" s="1"/>
      <c r="BB522" s="5">
        <v>0</v>
      </c>
      <c r="BC522">
        <f t="shared" si="31"/>
        <v>17.474271970530264</v>
      </c>
      <c r="BD522">
        <v>136</v>
      </c>
      <c r="BE522">
        <v>4.5999999999999899</v>
      </c>
      <c r="BF522">
        <v>2.2999999999999901</v>
      </c>
      <c r="BG522">
        <v>8.9</v>
      </c>
      <c r="BH522">
        <v>233</v>
      </c>
      <c r="BI522">
        <v>5.0999999999999899</v>
      </c>
      <c r="BJ522">
        <v>8.6999999999999904</v>
      </c>
      <c r="BK522">
        <v>6.0999999999999899</v>
      </c>
      <c r="BL522">
        <v>5.7</v>
      </c>
      <c r="BM522">
        <v>328.91</v>
      </c>
      <c r="BN522">
        <v>11.8</v>
      </c>
    </row>
    <row r="523" spans="1:66" x14ac:dyDescent="0.3">
      <c r="A523">
        <v>522</v>
      </c>
      <c r="B523" s="2" t="s">
        <v>430</v>
      </c>
      <c r="C523" s="2" t="s">
        <v>448</v>
      </c>
      <c r="D523">
        <v>58.651162790697001</v>
      </c>
      <c r="E523" s="3"/>
      <c r="F523" s="1">
        <v>43269</v>
      </c>
      <c r="G523" s="1">
        <v>43089.597708333327</v>
      </c>
      <c r="H523" t="s">
        <v>15</v>
      </c>
      <c r="I523" t="s">
        <v>15</v>
      </c>
      <c r="J523" t="s">
        <v>15</v>
      </c>
      <c r="L523">
        <v>60</v>
      </c>
      <c r="M523" t="s">
        <v>451</v>
      </c>
      <c r="N523" t="s">
        <v>451</v>
      </c>
      <c r="O523" t="s">
        <v>17</v>
      </c>
      <c r="P523" t="s">
        <v>15</v>
      </c>
      <c r="S523" t="s">
        <v>15</v>
      </c>
      <c r="T523" t="s">
        <v>18</v>
      </c>
      <c r="V523" t="s">
        <v>15</v>
      </c>
      <c r="W523" t="s">
        <v>18</v>
      </c>
      <c r="X523" t="s">
        <v>78</v>
      </c>
      <c r="Y523">
        <v>5.4000000953674299</v>
      </c>
      <c r="Z523">
        <v>3.1500000953674299</v>
      </c>
      <c r="AA523">
        <v>1</v>
      </c>
      <c r="AB523">
        <v>0.89999997615814198</v>
      </c>
      <c r="AC523">
        <v>193.25209045410099</v>
      </c>
      <c r="AD523">
        <v>97</v>
      </c>
      <c r="AE523">
        <v>1</v>
      </c>
      <c r="AF523">
        <v>37</v>
      </c>
      <c r="AG523">
        <v>101</v>
      </c>
      <c r="AH523">
        <v>5.2199997901916504</v>
      </c>
      <c r="AI523">
        <v>4.8299999237060502</v>
      </c>
      <c r="AJ523">
        <v>20.909999847412099</v>
      </c>
      <c r="AK523">
        <v>6.8600001335143999</v>
      </c>
      <c r="AL523">
        <v>6.63000011444091</v>
      </c>
      <c r="AM523">
        <v>15.2299995422363</v>
      </c>
      <c r="AN523" t="s">
        <v>791</v>
      </c>
      <c r="AO523">
        <v>88</v>
      </c>
      <c r="AP523">
        <v>36.160420775805392</v>
      </c>
      <c r="AS523" s="1"/>
      <c r="AT523" s="1"/>
      <c r="AU523" s="1">
        <v>42465.835473148138</v>
      </c>
      <c r="AV523" s="1">
        <v>41507.810862384264</v>
      </c>
      <c r="AW523" s="1">
        <v>42465.835473148138</v>
      </c>
      <c r="AX523" s="1"/>
      <c r="AZ523">
        <v>169</v>
      </c>
      <c r="BA523">
        <v>80</v>
      </c>
      <c r="BB523" s="2">
        <v>4</v>
      </c>
      <c r="BC523">
        <f t="shared" si="31"/>
        <v>17.50464024456836</v>
      </c>
      <c r="BD523">
        <v>140</v>
      </c>
      <c r="BE523">
        <v>5.5999999999999899</v>
      </c>
      <c r="BF523">
        <v>2.8999999999999901</v>
      </c>
      <c r="BG523">
        <v>11.4</v>
      </c>
      <c r="BH523">
        <v>139</v>
      </c>
      <c r="BI523">
        <v>5.6799999999999899</v>
      </c>
      <c r="BJ523">
        <v>6.7</v>
      </c>
      <c r="BK523">
        <v>6.28</v>
      </c>
      <c r="BL523">
        <v>7.7999999999999901</v>
      </c>
      <c r="BM523">
        <v>2.89</v>
      </c>
      <c r="BN523">
        <v>6.0999999999999899</v>
      </c>
    </row>
    <row r="524" spans="1:66" x14ac:dyDescent="0.3">
      <c r="A524">
        <v>523</v>
      </c>
      <c r="B524" s="2" t="s">
        <v>430</v>
      </c>
      <c r="C524" s="2" t="s">
        <v>449</v>
      </c>
      <c r="D524">
        <v>56.183310533514899</v>
      </c>
      <c r="E524" s="3">
        <v>45382</v>
      </c>
      <c r="F524" s="1">
        <v>42445</v>
      </c>
      <c r="G524" s="1">
        <v>42172.591006944444</v>
      </c>
      <c r="H524" t="s">
        <v>31</v>
      </c>
      <c r="I524" t="s">
        <v>78</v>
      </c>
      <c r="J524" t="s">
        <v>35</v>
      </c>
      <c r="K524" t="s">
        <v>458</v>
      </c>
      <c r="L524">
        <v>15</v>
      </c>
      <c r="M524" t="s">
        <v>15</v>
      </c>
      <c r="N524" t="s">
        <v>15</v>
      </c>
      <c r="O524" t="s">
        <v>25</v>
      </c>
      <c r="P524" t="s">
        <v>451</v>
      </c>
      <c r="Q524" t="s">
        <v>451</v>
      </c>
      <c r="S524" t="s">
        <v>451</v>
      </c>
      <c r="T524" t="s">
        <v>23</v>
      </c>
      <c r="V524" t="s">
        <v>451</v>
      </c>
      <c r="W524" t="s">
        <v>19</v>
      </c>
      <c r="X524" t="s">
        <v>87</v>
      </c>
      <c r="Y524">
        <v>8.5500001907348597</v>
      </c>
      <c r="Z524">
        <v>7.1399998664855904</v>
      </c>
      <c r="AA524">
        <v>1.25999999046325</v>
      </c>
      <c r="AB524">
        <v>1.08000004291534</v>
      </c>
      <c r="AC524">
        <v>555.07940673828102</v>
      </c>
      <c r="AD524">
        <v>256</v>
      </c>
      <c r="AE524">
        <v>1</v>
      </c>
      <c r="AF524">
        <v>55</v>
      </c>
      <c r="AG524">
        <v>135</v>
      </c>
      <c r="AH524">
        <v>6.5199999809265101</v>
      </c>
      <c r="AI524">
        <v>6.0199999809265101</v>
      </c>
      <c r="AJ524">
        <v>22.4300003051757</v>
      </c>
      <c r="AK524">
        <v>4.8499999046325604</v>
      </c>
      <c r="AL524">
        <v>4.9299998283386204</v>
      </c>
      <c r="AM524">
        <v>27.379999160766602</v>
      </c>
      <c r="AN524" t="s">
        <v>792</v>
      </c>
      <c r="AO524">
        <v>100</v>
      </c>
      <c r="AP524">
        <v>34.602076124567475</v>
      </c>
      <c r="AS524" s="1"/>
      <c r="AT524" s="1"/>
      <c r="AU524" s="1">
        <v>42411.817674386577</v>
      </c>
      <c r="AV524" s="1">
        <v>41462.423061539354</v>
      </c>
      <c r="AW524" s="1">
        <v>41462.427299224539</v>
      </c>
      <c r="AX524" s="1"/>
      <c r="BB524" s="5">
        <v>0</v>
      </c>
      <c r="BC524">
        <f t="shared" si="31"/>
        <v>16.871314304848045</v>
      </c>
      <c r="BD524">
        <v>139</v>
      </c>
      <c r="BE524">
        <v>4.4000000000000004</v>
      </c>
      <c r="BF524">
        <v>3.3999999999999901</v>
      </c>
      <c r="BG524">
        <v>9.0999999999999908</v>
      </c>
      <c r="BH524">
        <v>184</v>
      </c>
      <c r="BI524">
        <v>6.9</v>
      </c>
      <c r="BJ524">
        <v>9.8000000000000007</v>
      </c>
      <c r="BK524">
        <v>5.0999999999999899</v>
      </c>
      <c r="BL524">
        <v>9.3000000000000007</v>
      </c>
      <c r="BM524">
        <v>86.87</v>
      </c>
      <c r="BN524">
        <v>4.7</v>
      </c>
    </row>
    <row r="525" spans="1:66" x14ac:dyDescent="0.3">
      <c r="A525">
        <v>524</v>
      </c>
      <c r="B525" s="2" t="s">
        <v>430</v>
      </c>
      <c r="C525" s="2" t="s">
        <v>448</v>
      </c>
      <c r="D525">
        <v>56.103967168262102</v>
      </c>
      <c r="E525" s="3">
        <v>44402</v>
      </c>
      <c r="F525" s="1">
        <v>42390</v>
      </c>
      <c r="G525" s="1">
        <v>42046.302928240737</v>
      </c>
      <c r="H525" t="s">
        <v>15</v>
      </c>
      <c r="I525" t="s">
        <v>451</v>
      </c>
      <c r="J525" t="s">
        <v>15</v>
      </c>
      <c r="L525">
        <v>50</v>
      </c>
      <c r="M525" t="s">
        <v>451</v>
      </c>
      <c r="N525" t="s">
        <v>451</v>
      </c>
      <c r="O525" t="s">
        <v>451</v>
      </c>
      <c r="P525" t="s">
        <v>451</v>
      </c>
      <c r="Q525" t="s">
        <v>451</v>
      </c>
      <c r="S525" t="s">
        <v>451</v>
      </c>
      <c r="T525" t="s">
        <v>18</v>
      </c>
      <c r="V525" t="s">
        <v>451</v>
      </c>
      <c r="W525" t="s">
        <v>18</v>
      </c>
      <c r="Y525">
        <v>5.5799999237060502</v>
      </c>
      <c r="Z525">
        <v>3.5299999713897701</v>
      </c>
      <c r="AA525">
        <v>1.00999999046325</v>
      </c>
      <c r="AB525">
        <v>1.00999999046325</v>
      </c>
      <c r="AC525">
        <v>221.27542114257801</v>
      </c>
      <c r="AD525">
        <v>99</v>
      </c>
      <c r="AE525">
        <v>1</v>
      </c>
      <c r="AG525">
        <v>112</v>
      </c>
      <c r="AH525">
        <v>6.0399999618530202</v>
      </c>
      <c r="AI525">
        <v>6.8200001716613698</v>
      </c>
      <c r="AJ525">
        <v>16.420000076293899</v>
      </c>
      <c r="AK525">
        <v>8.4799995422363192</v>
      </c>
      <c r="AL525">
        <v>12.300000190734799</v>
      </c>
      <c r="AM525">
        <v>9.1099996566772408</v>
      </c>
      <c r="AN525" t="s">
        <v>793</v>
      </c>
      <c r="AO525">
        <v>90</v>
      </c>
      <c r="AP525">
        <v>26.583175803402643</v>
      </c>
      <c r="AS525" s="1">
        <v>40389.307492210653</v>
      </c>
      <c r="AT525" s="1"/>
      <c r="AU525" s="1">
        <v>40389.307492210653</v>
      </c>
      <c r="AV525" s="1">
        <v>40389.307492210653</v>
      </c>
      <c r="AW525" s="1"/>
      <c r="AX525" s="1"/>
      <c r="AZ525">
        <v>113</v>
      </c>
      <c r="BA525">
        <v>62</v>
      </c>
      <c r="BB525" s="2">
        <v>4</v>
      </c>
      <c r="BC525">
        <f t="shared" si="31"/>
        <v>11.204064213640223</v>
      </c>
      <c r="BD525">
        <v>135</v>
      </c>
      <c r="BE525">
        <v>4.4000000000000004</v>
      </c>
      <c r="BF525">
        <v>3.2</v>
      </c>
      <c r="BG525">
        <v>8</v>
      </c>
      <c r="BH525">
        <v>234</v>
      </c>
      <c r="BI525">
        <v>9.3599999999999905</v>
      </c>
      <c r="BJ525">
        <v>7.9</v>
      </c>
      <c r="BK525">
        <v>7.5999999999999899</v>
      </c>
      <c r="BL525">
        <v>9.5999999999999908</v>
      </c>
      <c r="BM525">
        <v>265.04000000000002</v>
      </c>
      <c r="BN525">
        <v>9.6999999999999904</v>
      </c>
    </row>
    <row r="526" spans="1:66" x14ac:dyDescent="0.3">
      <c r="A526">
        <v>525</v>
      </c>
      <c r="B526" s="2" t="s">
        <v>434</v>
      </c>
      <c r="C526" s="2" t="s">
        <v>448</v>
      </c>
      <c r="D526">
        <v>57.742818057454997</v>
      </c>
      <c r="E526" s="3">
        <v>44204.711111111108</v>
      </c>
      <c r="F526" s="1">
        <v>43311</v>
      </c>
      <c r="G526" s="1">
        <v>43296.489791666667</v>
      </c>
      <c r="H526" t="s">
        <v>17</v>
      </c>
      <c r="I526" t="s">
        <v>451</v>
      </c>
      <c r="J526" t="s">
        <v>35</v>
      </c>
      <c r="L526">
        <v>20</v>
      </c>
      <c r="M526" t="s">
        <v>15</v>
      </c>
      <c r="N526" t="s">
        <v>15</v>
      </c>
      <c r="O526" t="s">
        <v>25</v>
      </c>
      <c r="P526" t="s">
        <v>451</v>
      </c>
      <c r="Q526" t="s">
        <v>451</v>
      </c>
      <c r="S526" t="s">
        <v>451</v>
      </c>
      <c r="T526" t="s">
        <v>23</v>
      </c>
      <c r="V526" t="s">
        <v>451</v>
      </c>
      <c r="W526" t="s">
        <v>34</v>
      </c>
      <c r="X526" t="s">
        <v>90</v>
      </c>
      <c r="Y526">
        <v>5.75</v>
      </c>
      <c r="Z526">
        <v>5.2800002098083398</v>
      </c>
      <c r="AA526">
        <v>0.99000000953674305</v>
      </c>
      <c r="AB526">
        <v>0.86000001430511397</v>
      </c>
      <c r="AC526">
        <v>207.65702819824199</v>
      </c>
      <c r="AE526">
        <v>1</v>
      </c>
      <c r="AF526">
        <v>58</v>
      </c>
      <c r="AG526">
        <v>74.699996948242102</v>
      </c>
      <c r="AH526">
        <v>3.75</v>
      </c>
      <c r="AI526">
        <v>3.2999999523162802</v>
      </c>
      <c r="AJ526">
        <v>22.639999389648398</v>
      </c>
      <c r="AK526">
        <v>4.88000011444091</v>
      </c>
      <c r="AL526">
        <v>5.3299999237060502</v>
      </c>
      <c r="AM526">
        <v>14.020000457763601</v>
      </c>
      <c r="AN526" t="s">
        <v>794</v>
      </c>
      <c r="AO526">
        <v>73</v>
      </c>
      <c r="AP526">
        <v>24.675500270416443</v>
      </c>
      <c r="AQ526" s="1">
        <v>42940</v>
      </c>
      <c r="AS526" s="1">
        <v>42895.520634375003</v>
      </c>
      <c r="AT526" s="1"/>
      <c r="AU526" s="1">
        <v>42940.583113738423</v>
      </c>
      <c r="AV526" s="1">
        <v>42895.520634375003</v>
      </c>
      <c r="AW526" s="1">
        <v>42940.583113738423</v>
      </c>
      <c r="AX526" s="1"/>
      <c r="AZ526">
        <v>118</v>
      </c>
      <c r="BA526">
        <v>61</v>
      </c>
      <c r="BB526" s="2">
        <v>1</v>
      </c>
      <c r="BC526">
        <f t="shared" si="31"/>
        <v>8.7604666809725007</v>
      </c>
      <c r="BD526">
        <v>146</v>
      </c>
      <c r="BE526">
        <v>4.4000000000000004</v>
      </c>
      <c r="BF526">
        <v>3.2</v>
      </c>
      <c r="BG526">
        <v>10.1</v>
      </c>
      <c r="BH526">
        <v>308</v>
      </c>
      <c r="BI526">
        <v>9.5199999999999907</v>
      </c>
      <c r="BJ526">
        <v>8.6999999999999904</v>
      </c>
      <c r="BK526">
        <v>8.1999999999999904</v>
      </c>
      <c r="BL526">
        <v>10.6</v>
      </c>
      <c r="BM526">
        <v>24.48</v>
      </c>
      <c r="BN526">
        <v>5.7</v>
      </c>
    </row>
    <row r="527" spans="1:66" x14ac:dyDescent="0.3">
      <c r="A527">
        <v>526</v>
      </c>
      <c r="B527" s="2" t="s">
        <v>430</v>
      </c>
      <c r="C527" s="2" t="s">
        <v>448</v>
      </c>
      <c r="D527">
        <v>54.979480164157899</v>
      </c>
      <c r="E527" s="3">
        <v>45323.299305555563</v>
      </c>
      <c r="F527" s="1">
        <v>42288</v>
      </c>
      <c r="G527" s="1">
        <v>42288.645520833343</v>
      </c>
      <c r="H527" t="s">
        <v>25</v>
      </c>
      <c r="I527" t="s">
        <v>15</v>
      </c>
      <c r="J527" t="s">
        <v>28</v>
      </c>
      <c r="L527">
        <v>35</v>
      </c>
      <c r="M527" t="s">
        <v>451</v>
      </c>
      <c r="N527" t="s">
        <v>451</v>
      </c>
      <c r="O527" t="s">
        <v>451</v>
      </c>
      <c r="P527" t="s">
        <v>479</v>
      </c>
      <c r="Q527" t="s">
        <v>18</v>
      </c>
      <c r="S527" t="s">
        <v>451</v>
      </c>
      <c r="T527" t="s">
        <v>23</v>
      </c>
      <c r="V527" t="s">
        <v>451</v>
      </c>
      <c r="W527" t="s">
        <v>18</v>
      </c>
      <c r="Y527">
        <v>6.3000001907348597</v>
      </c>
      <c r="Z527">
        <v>4.5999999046325604</v>
      </c>
      <c r="AA527">
        <v>0.89999997615814198</v>
      </c>
      <c r="AB527">
        <v>0.89999997615814198</v>
      </c>
      <c r="AC527">
        <v>234.719802856445</v>
      </c>
      <c r="AE527">
        <v>2.38000011444091</v>
      </c>
      <c r="AN527" t="s">
        <v>795</v>
      </c>
      <c r="AO527">
        <v>123</v>
      </c>
      <c r="AP527">
        <v>35.938641344046751</v>
      </c>
      <c r="AQ527" s="1">
        <v>42005</v>
      </c>
      <c r="AS527" s="1">
        <v>41367.487085879628</v>
      </c>
      <c r="AT527" s="1"/>
      <c r="AU527" s="1">
        <v>39876.286416631941</v>
      </c>
      <c r="AV527" s="1">
        <v>39876.286522800932</v>
      </c>
      <c r="AW527" s="1">
        <v>41367.487085879628</v>
      </c>
      <c r="AX527" s="1"/>
      <c r="AZ527">
        <v>108</v>
      </c>
      <c r="BA527">
        <v>50</v>
      </c>
      <c r="BB527" s="5">
        <v>0</v>
      </c>
      <c r="BC527">
        <f t="shared" si="31"/>
        <v>40.345385570249142</v>
      </c>
      <c r="BD527">
        <v>140</v>
      </c>
      <c r="BE527">
        <v>5.9</v>
      </c>
      <c r="BF527">
        <v>2.7999999999999901</v>
      </c>
      <c r="BG527">
        <v>8.0999999999999908</v>
      </c>
      <c r="BH527">
        <v>140</v>
      </c>
      <c r="BI527">
        <v>3.6</v>
      </c>
      <c r="BJ527">
        <v>6.2999999999999901</v>
      </c>
      <c r="BK527">
        <v>6.7</v>
      </c>
      <c r="BL527">
        <v>8.6999999999999904</v>
      </c>
      <c r="BM527">
        <v>158.71</v>
      </c>
      <c r="BN527">
        <v>5.2999999999999901</v>
      </c>
    </row>
    <row r="528" spans="1:66" x14ac:dyDescent="0.3">
      <c r="A528">
        <v>527</v>
      </c>
      <c r="B528" s="2" t="s">
        <v>434</v>
      </c>
      <c r="C528" s="2" t="s">
        <v>448</v>
      </c>
      <c r="D528">
        <v>56.642954856361001</v>
      </c>
      <c r="E528" s="3">
        <v>43985.95416666667</v>
      </c>
      <c r="F528" s="1">
        <v>42968</v>
      </c>
      <c r="G528" s="1">
        <v>42696.59375</v>
      </c>
      <c r="H528" t="s">
        <v>15</v>
      </c>
      <c r="I528" t="s">
        <v>15</v>
      </c>
      <c r="J528" t="s">
        <v>35</v>
      </c>
      <c r="L528">
        <v>25</v>
      </c>
      <c r="M528" t="s">
        <v>79</v>
      </c>
      <c r="N528" t="s">
        <v>14</v>
      </c>
      <c r="O528" t="s">
        <v>17</v>
      </c>
      <c r="P528" t="s">
        <v>451</v>
      </c>
      <c r="Q528" t="s">
        <v>18</v>
      </c>
      <c r="S528" t="s">
        <v>451</v>
      </c>
      <c r="T528" t="s">
        <v>19</v>
      </c>
      <c r="V528" t="s">
        <v>451</v>
      </c>
      <c r="W528" t="s">
        <v>29</v>
      </c>
      <c r="X528" t="s">
        <v>78</v>
      </c>
      <c r="Y528">
        <v>4.46000003814697</v>
      </c>
      <c r="Z528">
        <v>4.3499999046325604</v>
      </c>
      <c r="AA528">
        <v>0.86000001430511397</v>
      </c>
      <c r="AB528">
        <v>0.62000000476837103</v>
      </c>
      <c r="AC528">
        <v>101.162216186523</v>
      </c>
      <c r="AD528">
        <v>62</v>
      </c>
      <c r="AE528">
        <v>2</v>
      </c>
      <c r="AF528">
        <v>38</v>
      </c>
      <c r="AG528">
        <v>52.799999237060497</v>
      </c>
      <c r="AH528">
        <v>6.1799998283386204</v>
      </c>
      <c r="AI528">
        <v>4.5999999046325604</v>
      </c>
      <c r="AJ528">
        <v>11.4799995422363</v>
      </c>
      <c r="AK528">
        <v>3.5899999141693102</v>
      </c>
      <c r="AL528">
        <v>5.7600002288818297</v>
      </c>
      <c r="AM528">
        <v>9.17000007629394</v>
      </c>
      <c r="AN528" t="s">
        <v>796</v>
      </c>
      <c r="AO528">
        <v>58.2</v>
      </c>
      <c r="AP528">
        <v>19.903560069765057</v>
      </c>
      <c r="AS528" s="1"/>
      <c r="AT528" s="1">
        <v>40402.597098611113</v>
      </c>
      <c r="AU528" s="1"/>
      <c r="AV528" s="1">
        <v>42015.457211655092</v>
      </c>
      <c r="AW528" s="1"/>
      <c r="AX528" s="1"/>
      <c r="BB528" s="5">
        <v>0</v>
      </c>
      <c r="BC528">
        <f t="shared" si="31"/>
        <v>38.948137663453679</v>
      </c>
      <c r="BD528">
        <v>139</v>
      </c>
      <c r="BE528">
        <v>4.5999999999999899</v>
      </c>
      <c r="BF528">
        <v>3</v>
      </c>
      <c r="BG528">
        <v>13.8</v>
      </c>
      <c r="BH528">
        <v>63</v>
      </c>
      <c r="BI528">
        <v>1.73</v>
      </c>
      <c r="BJ528">
        <v>8.4</v>
      </c>
      <c r="BK528">
        <v>4.4000000000000004</v>
      </c>
      <c r="BL528">
        <v>8.1999999999999904</v>
      </c>
      <c r="BM528">
        <v>13.82</v>
      </c>
      <c r="BN528">
        <v>5.2</v>
      </c>
    </row>
    <row r="529" spans="1:66" x14ac:dyDescent="0.3">
      <c r="A529">
        <v>528</v>
      </c>
      <c r="B529" s="2" t="s">
        <v>430</v>
      </c>
      <c r="C529" s="2" t="s">
        <v>449</v>
      </c>
      <c r="D529">
        <v>64.221614227086107</v>
      </c>
      <c r="E529" s="3"/>
      <c r="F529" s="1">
        <v>45736</v>
      </c>
      <c r="G529" s="1">
        <v>45572.488287037027</v>
      </c>
      <c r="H529" t="s">
        <v>451</v>
      </c>
      <c r="I529" t="s">
        <v>451</v>
      </c>
      <c r="J529" t="s">
        <v>451</v>
      </c>
      <c r="K529" t="s">
        <v>74</v>
      </c>
      <c r="L529">
        <v>60</v>
      </c>
      <c r="M529" t="s">
        <v>451</v>
      </c>
      <c r="N529" t="s">
        <v>451</v>
      </c>
      <c r="O529" t="s">
        <v>17</v>
      </c>
      <c r="P529" t="s">
        <v>75</v>
      </c>
      <c r="Q529" t="s">
        <v>19</v>
      </c>
      <c r="S529" t="s">
        <v>451</v>
      </c>
      <c r="T529" t="s">
        <v>29</v>
      </c>
      <c r="V529" t="s">
        <v>451</v>
      </c>
      <c r="W529" t="s">
        <v>23</v>
      </c>
      <c r="X529" t="s">
        <v>87</v>
      </c>
      <c r="Y529">
        <v>5.1799998283386204</v>
      </c>
      <c r="Z529">
        <v>3.0999999046325599</v>
      </c>
      <c r="AA529">
        <v>0.86000001430511397</v>
      </c>
      <c r="AB529">
        <v>1.0700000524520801</v>
      </c>
      <c r="AC529">
        <v>184.00074768066401</v>
      </c>
      <c r="AD529">
        <v>92</v>
      </c>
      <c r="AE529">
        <v>1</v>
      </c>
      <c r="AF529">
        <v>60</v>
      </c>
      <c r="AG529">
        <v>132</v>
      </c>
      <c r="AI529">
        <v>4.6799998283386204</v>
      </c>
      <c r="AJ529">
        <v>28.209999084472599</v>
      </c>
      <c r="AK529">
        <v>6.3099999427795401</v>
      </c>
      <c r="AL529">
        <v>6.5300002098083398</v>
      </c>
      <c r="AM529">
        <v>20.209999084472599</v>
      </c>
      <c r="AN529" t="s">
        <v>797</v>
      </c>
      <c r="AO529">
        <v>103.5</v>
      </c>
      <c r="AR529" s="1">
        <v>35796</v>
      </c>
      <c r="AS529" s="1">
        <v>44355.566181018519</v>
      </c>
      <c r="AT529" s="1"/>
      <c r="AU529" s="1">
        <v>44355.566181018519</v>
      </c>
      <c r="AV529" s="1">
        <v>44355.566181018519</v>
      </c>
      <c r="AW529" s="1">
        <v>44355.566181018519</v>
      </c>
      <c r="AX529" s="1"/>
      <c r="AZ529">
        <v>155</v>
      </c>
      <c r="BA529">
        <v>70</v>
      </c>
      <c r="BB529" s="5">
        <v>0</v>
      </c>
      <c r="BC529">
        <f t="shared" si="31"/>
        <v>45.012987416762051</v>
      </c>
      <c r="BD529">
        <v>129</v>
      </c>
      <c r="BE529">
        <v>5.5999999999999899</v>
      </c>
      <c r="BF529">
        <v>3.3999999999999901</v>
      </c>
      <c r="BG529">
        <v>9.5</v>
      </c>
      <c r="BH529">
        <v>274</v>
      </c>
      <c r="BI529">
        <v>2.4199999999999902</v>
      </c>
      <c r="BJ529">
        <v>8.5</v>
      </c>
      <c r="BK529">
        <v>4.9000000000000004</v>
      </c>
      <c r="BL529">
        <v>12.1999999999999</v>
      </c>
      <c r="BM529">
        <v>26.8599999999999</v>
      </c>
      <c r="BN529">
        <v>7.4</v>
      </c>
    </row>
    <row r="530" spans="1:66" x14ac:dyDescent="0.3">
      <c r="A530">
        <v>529</v>
      </c>
      <c r="B530" s="2" t="s">
        <v>430</v>
      </c>
      <c r="C530" s="2" t="s">
        <v>449</v>
      </c>
      <c r="D530">
        <v>54.101231190150003</v>
      </c>
      <c r="E530" s="3">
        <v>43107</v>
      </c>
      <c r="F530" s="1">
        <v>42188</v>
      </c>
      <c r="G530" s="1">
        <v>41961.569016203714</v>
      </c>
      <c r="H530" t="s">
        <v>15</v>
      </c>
      <c r="I530" t="s">
        <v>78</v>
      </c>
      <c r="J530" t="s">
        <v>15</v>
      </c>
      <c r="L530">
        <v>60</v>
      </c>
      <c r="M530" t="s">
        <v>15</v>
      </c>
      <c r="N530" t="s">
        <v>15</v>
      </c>
      <c r="O530" t="s">
        <v>25</v>
      </c>
      <c r="P530" t="s">
        <v>479</v>
      </c>
      <c r="S530" t="s">
        <v>92</v>
      </c>
      <c r="V530" t="s">
        <v>451</v>
      </c>
      <c r="W530" t="s">
        <v>451</v>
      </c>
      <c r="Y530">
        <v>5.1999998092651296</v>
      </c>
      <c r="Z530">
        <v>3</v>
      </c>
      <c r="AA530">
        <v>1.20000004768371</v>
      </c>
      <c r="AB530">
        <v>1.1000000238418499</v>
      </c>
      <c r="AC530">
        <v>234.61415100097599</v>
      </c>
      <c r="AD530">
        <v>105</v>
      </c>
      <c r="AE530">
        <v>1</v>
      </c>
      <c r="AG530">
        <v>117</v>
      </c>
      <c r="AH530">
        <v>8</v>
      </c>
      <c r="AI530">
        <v>6</v>
      </c>
      <c r="AJ530">
        <v>19.5</v>
      </c>
      <c r="AK530">
        <v>6</v>
      </c>
      <c r="AL530">
        <v>6</v>
      </c>
      <c r="AM530">
        <v>19.5</v>
      </c>
      <c r="AN530" t="s">
        <v>798</v>
      </c>
      <c r="AO530">
        <v>112</v>
      </c>
      <c r="AP530">
        <v>42.154390455041593</v>
      </c>
      <c r="AS530" s="1">
        <v>40854.761089699074</v>
      </c>
      <c r="AT530" s="1"/>
      <c r="AU530" s="1">
        <v>40854.761089699074</v>
      </c>
      <c r="AV530" s="1">
        <v>40854.761089699074</v>
      </c>
      <c r="AW530" s="1"/>
      <c r="AX530" s="1">
        <v>41980.752969594912</v>
      </c>
      <c r="AY530" t="s">
        <v>21</v>
      </c>
      <c r="AZ530">
        <v>145</v>
      </c>
      <c r="BA530">
        <v>73</v>
      </c>
      <c r="BB530" s="2">
        <v>1</v>
      </c>
      <c r="BC530">
        <f t="shared" si="31"/>
        <v>28.673885630374343</v>
      </c>
      <c r="BD530">
        <v>146</v>
      </c>
      <c r="BE530">
        <v>5</v>
      </c>
      <c r="BF530">
        <v>3.2</v>
      </c>
      <c r="BG530">
        <v>11.3</v>
      </c>
      <c r="BH530">
        <v>197</v>
      </c>
      <c r="BI530">
        <v>4.66</v>
      </c>
      <c r="BJ530">
        <v>7.2999999999999901</v>
      </c>
      <c r="BK530">
        <v>5.5999999999999899</v>
      </c>
      <c r="BL530">
        <v>7.7</v>
      </c>
      <c r="BM530">
        <v>19.969999999999899</v>
      </c>
      <c r="BN530">
        <v>6.2999999999999901</v>
      </c>
    </row>
    <row r="531" spans="1:66" x14ac:dyDescent="0.3">
      <c r="A531">
        <v>530</v>
      </c>
      <c r="B531" s="2" t="s">
        <v>434</v>
      </c>
      <c r="C531" s="2" t="s">
        <v>448</v>
      </c>
      <c r="D531">
        <v>59.291381668946002</v>
      </c>
      <c r="E531" s="3">
        <v>45180.884722222218</v>
      </c>
      <c r="F531" s="1">
        <v>44161</v>
      </c>
      <c r="G531" s="1">
        <v>43877.325254629628</v>
      </c>
      <c r="H531" t="s">
        <v>15</v>
      </c>
      <c r="I531" t="s">
        <v>78</v>
      </c>
      <c r="J531" t="s">
        <v>15</v>
      </c>
      <c r="L531">
        <v>60</v>
      </c>
      <c r="M531" t="s">
        <v>15</v>
      </c>
      <c r="N531" t="s">
        <v>14</v>
      </c>
      <c r="O531" t="s">
        <v>17</v>
      </c>
      <c r="P531" t="s">
        <v>112</v>
      </c>
      <c r="S531" t="s">
        <v>451</v>
      </c>
      <c r="T531" t="s">
        <v>19</v>
      </c>
      <c r="V531" t="s">
        <v>451</v>
      </c>
      <c r="W531" t="s">
        <v>19</v>
      </c>
      <c r="X531" t="s">
        <v>78</v>
      </c>
      <c r="Y531">
        <v>5.5</v>
      </c>
      <c r="Z531">
        <v>3.7999999523162802</v>
      </c>
      <c r="AA531">
        <v>1.20000004768371</v>
      </c>
      <c r="AB531">
        <v>1</v>
      </c>
      <c r="AC531">
        <v>242.011459350585</v>
      </c>
      <c r="AD531">
        <v>118</v>
      </c>
      <c r="AE531">
        <v>1</v>
      </c>
      <c r="AF531">
        <v>41</v>
      </c>
      <c r="AG531">
        <v>112</v>
      </c>
      <c r="AH531">
        <v>6.8299999237060502</v>
      </c>
      <c r="AI531">
        <v>5.3400001525878897</v>
      </c>
      <c r="AJ531">
        <v>20.9699993133544</v>
      </c>
      <c r="AK531">
        <v>6.4000000953674299</v>
      </c>
      <c r="AL531">
        <v>8.0600004196166903</v>
      </c>
      <c r="AM531">
        <v>13.899999618530201</v>
      </c>
      <c r="AN531" t="s">
        <v>799</v>
      </c>
      <c r="AO531">
        <v>101.2</v>
      </c>
      <c r="AP531">
        <v>36.286708021083584</v>
      </c>
      <c r="AS531" s="1"/>
      <c r="AT531" s="1"/>
      <c r="AU531" s="1">
        <v>42690.103463807871</v>
      </c>
      <c r="AV531" s="1">
        <v>42690.103463807871</v>
      </c>
      <c r="AW531" s="1"/>
      <c r="AX531" s="1"/>
      <c r="BB531" s="5">
        <v>0</v>
      </c>
      <c r="BC531">
        <f t="shared" si="31"/>
        <v>34.691268157928413</v>
      </c>
      <c r="BD531">
        <v>138</v>
      </c>
      <c r="BE531">
        <v>5.4</v>
      </c>
      <c r="BF531">
        <v>3.3999999999999901</v>
      </c>
      <c r="BG531">
        <v>11.3</v>
      </c>
      <c r="BH531">
        <v>213</v>
      </c>
      <c r="BI531">
        <v>3.27</v>
      </c>
      <c r="BJ531">
        <v>8.5999999999999908</v>
      </c>
      <c r="BK531">
        <v>4.9000000000000004</v>
      </c>
      <c r="BL531">
        <v>9.5999999999999908</v>
      </c>
      <c r="BM531">
        <v>3.91</v>
      </c>
      <c r="BN531">
        <v>6.0999999999999899</v>
      </c>
    </row>
    <row r="532" spans="1:66" x14ac:dyDescent="0.3">
      <c r="A532">
        <v>531</v>
      </c>
      <c r="B532" s="2" t="s">
        <v>434</v>
      </c>
      <c r="C532" s="2" t="s">
        <v>449</v>
      </c>
      <c r="D532">
        <v>51.858595531234897</v>
      </c>
      <c r="E532" s="3">
        <v>41800</v>
      </c>
      <c r="F532" s="1">
        <v>41396.316666666673</v>
      </c>
      <c r="G532" s="1">
        <v>41345.374143518522</v>
      </c>
      <c r="H532" t="s">
        <v>15</v>
      </c>
      <c r="I532" t="s">
        <v>15</v>
      </c>
      <c r="J532" t="s">
        <v>22</v>
      </c>
      <c r="L532">
        <v>38</v>
      </c>
      <c r="M532" t="s">
        <v>17</v>
      </c>
      <c r="N532" t="s">
        <v>14</v>
      </c>
      <c r="O532" t="s">
        <v>17</v>
      </c>
      <c r="P532" t="s">
        <v>451</v>
      </c>
      <c r="Q532" t="s">
        <v>451</v>
      </c>
      <c r="S532" t="s">
        <v>92</v>
      </c>
      <c r="T532" t="s">
        <v>18</v>
      </c>
      <c r="V532" t="s">
        <v>451</v>
      </c>
      <c r="W532" t="s">
        <v>19</v>
      </c>
      <c r="X532" t="s">
        <v>78</v>
      </c>
      <c r="Y532">
        <v>4.8000001907348597</v>
      </c>
      <c r="Z532">
        <v>3.5</v>
      </c>
      <c r="AA532">
        <v>1.1000000238418499</v>
      </c>
      <c r="AB532">
        <v>1</v>
      </c>
      <c r="AC532">
        <v>181.90693664550699</v>
      </c>
      <c r="AD532">
        <v>103</v>
      </c>
      <c r="AE532">
        <v>1.6900000572204501</v>
      </c>
      <c r="AF532">
        <v>42</v>
      </c>
      <c r="AG532">
        <v>80</v>
      </c>
      <c r="AK532">
        <v>5</v>
      </c>
      <c r="AL532">
        <v>6</v>
      </c>
      <c r="AM532">
        <v>13.329999923706</v>
      </c>
      <c r="AN532" t="s">
        <v>800</v>
      </c>
      <c r="AO532">
        <v>64.900000000000006</v>
      </c>
      <c r="AP532">
        <v>27.724379512153448</v>
      </c>
      <c r="AR532" s="1">
        <v>40544</v>
      </c>
      <c r="AS532" s="1">
        <v>40629.455535451387</v>
      </c>
      <c r="AT532" s="1"/>
      <c r="AU532" s="1">
        <v>40654.88621527778</v>
      </c>
      <c r="AV532" s="1">
        <v>40542.63053642361</v>
      </c>
      <c r="AW532" s="1"/>
      <c r="AX532" s="1"/>
      <c r="AY532" t="s">
        <v>21</v>
      </c>
      <c r="BB532" s="2">
        <v>7</v>
      </c>
      <c r="BC532">
        <f t="shared" si="31"/>
        <v>34.543340277915945</v>
      </c>
      <c r="BD532">
        <v>137</v>
      </c>
      <c r="BE532">
        <v>4</v>
      </c>
      <c r="BF532">
        <v>3.1</v>
      </c>
      <c r="BG532">
        <v>9.0999999999999908</v>
      </c>
      <c r="BH532">
        <v>197</v>
      </c>
      <c r="BI532">
        <v>2.2999999999999901</v>
      </c>
      <c r="BJ532">
        <v>8.6999999999999904</v>
      </c>
      <c r="BK532">
        <v>3.8999999999999901</v>
      </c>
      <c r="BL532">
        <v>13.3</v>
      </c>
      <c r="BM532">
        <v>72.75</v>
      </c>
      <c r="BN532">
        <v>6.4</v>
      </c>
    </row>
    <row r="533" spans="1:66" x14ac:dyDescent="0.3">
      <c r="A533">
        <v>532</v>
      </c>
      <c r="B533" s="2" t="s">
        <v>430</v>
      </c>
      <c r="C533" s="2" t="s">
        <v>448</v>
      </c>
      <c r="D533">
        <v>69.863201094391002</v>
      </c>
      <c r="E533" s="3">
        <v>45795.171527777777</v>
      </c>
      <c r="F533" s="1">
        <v>45337</v>
      </c>
      <c r="G533" s="1">
        <v>45165.374513888892</v>
      </c>
      <c r="H533" t="s">
        <v>17</v>
      </c>
      <c r="I533" t="s">
        <v>451</v>
      </c>
      <c r="J533" t="s">
        <v>15</v>
      </c>
      <c r="K533" t="s">
        <v>74</v>
      </c>
      <c r="L533">
        <v>55</v>
      </c>
      <c r="M533" t="s">
        <v>451</v>
      </c>
      <c r="N533" t="s">
        <v>451</v>
      </c>
      <c r="O533" t="s">
        <v>17</v>
      </c>
      <c r="P533" t="s">
        <v>75</v>
      </c>
      <c r="Q533" t="s">
        <v>451</v>
      </c>
      <c r="S533" t="s">
        <v>451</v>
      </c>
      <c r="T533" t="s">
        <v>19</v>
      </c>
      <c r="V533" t="s">
        <v>451</v>
      </c>
      <c r="W533" t="s">
        <v>451</v>
      </c>
      <c r="Y533">
        <v>5.1900000572204501</v>
      </c>
      <c r="Z533">
        <v>3.5199999809265101</v>
      </c>
      <c r="AA533">
        <v>0.980000019073486</v>
      </c>
      <c r="AB533">
        <v>1.08000004291534</v>
      </c>
      <c r="AC533">
        <v>201.34477233886699</v>
      </c>
      <c r="AD533">
        <v>105</v>
      </c>
      <c r="AE533">
        <v>1.0599999427795399</v>
      </c>
      <c r="AG533">
        <v>102</v>
      </c>
      <c r="AI533">
        <v>2.8699998855590798</v>
      </c>
      <c r="AJ533">
        <v>35.540000915527301</v>
      </c>
      <c r="AK533">
        <v>5</v>
      </c>
      <c r="AL533">
        <v>3.8699998855590798</v>
      </c>
      <c r="AM533">
        <v>26.360000610351499</v>
      </c>
      <c r="AN533" t="s">
        <v>801</v>
      </c>
      <c r="AQ533" s="1">
        <v>42370</v>
      </c>
      <c r="AR533" s="1">
        <v>42370</v>
      </c>
      <c r="AS533" s="1">
        <v>40945.656889814818</v>
      </c>
      <c r="AT533" s="1">
        <v>43004.507544097221</v>
      </c>
      <c r="AU533" s="1">
        <v>40944.619158680558</v>
      </c>
      <c r="AV533" s="1">
        <v>43801.041770682867</v>
      </c>
      <c r="AW533" s="1">
        <v>42751.971687500001</v>
      </c>
      <c r="AX533" s="1"/>
      <c r="AZ533">
        <v>194</v>
      </c>
      <c r="BA533">
        <v>64</v>
      </c>
      <c r="BB533" s="2">
        <v>10</v>
      </c>
      <c r="BC533">
        <v>7.6</v>
      </c>
      <c r="BD533">
        <v>139</v>
      </c>
      <c r="BE533">
        <v>4.5</v>
      </c>
      <c r="BF533">
        <v>3.7999999999999901</v>
      </c>
      <c r="BG533">
        <v>10.3</v>
      </c>
      <c r="BH533">
        <v>156</v>
      </c>
      <c r="BI533">
        <v>8.74</v>
      </c>
      <c r="BJ533">
        <v>8.4</v>
      </c>
      <c r="BK533">
        <v>6</v>
      </c>
      <c r="BL533">
        <v>7.7</v>
      </c>
      <c r="BM533">
        <v>13.42</v>
      </c>
      <c r="BN533">
        <v>6.5</v>
      </c>
    </row>
    <row r="534" spans="1:66" x14ac:dyDescent="0.3">
      <c r="A534">
        <v>533</v>
      </c>
      <c r="B534" s="2" t="s">
        <v>430</v>
      </c>
      <c r="C534" s="2" t="s">
        <v>448</v>
      </c>
      <c r="D534">
        <v>58.440492476060001</v>
      </c>
      <c r="E534" s="3"/>
      <c r="F534" s="1">
        <v>43908</v>
      </c>
      <c r="G534" s="1">
        <v>43933.42119212963</v>
      </c>
      <c r="H534" t="s">
        <v>15</v>
      </c>
      <c r="I534" t="s">
        <v>78</v>
      </c>
      <c r="J534" t="s">
        <v>453</v>
      </c>
      <c r="L534">
        <v>50</v>
      </c>
      <c r="M534" t="s">
        <v>15</v>
      </c>
      <c r="N534" t="s">
        <v>15</v>
      </c>
      <c r="O534" t="s">
        <v>17</v>
      </c>
      <c r="P534" t="s">
        <v>15</v>
      </c>
      <c r="S534" t="s">
        <v>75</v>
      </c>
      <c r="T534" t="s">
        <v>18</v>
      </c>
      <c r="V534" t="s">
        <v>15</v>
      </c>
      <c r="W534" t="s">
        <v>18</v>
      </c>
      <c r="Y534">
        <v>5.0999999046325604</v>
      </c>
      <c r="Z534">
        <v>3.4000000953674299</v>
      </c>
      <c r="AA534">
        <v>1.3999999761581401</v>
      </c>
      <c r="AB534">
        <v>1.20000004768371</v>
      </c>
      <c r="AC534">
        <v>270.06982421875</v>
      </c>
      <c r="AD534">
        <v>140</v>
      </c>
      <c r="AE534">
        <v>1.5</v>
      </c>
      <c r="AG534">
        <v>61.200000762939403</v>
      </c>
      <c r="AH534">
        <v>6.2399997711181596</v>
      </c>
      <c r="AI534">
        <v>4.3899998664855904</v>
      </c>
      <c r="AJ534">
        <v>13.939999580383301</v>
      </c>
      <c r="AK534">
        <v>6.0399999618530202</v>
      </c>
      <c r="AL534">
        <v>5.17000007629394</v>
      </c>
      <c r="AM534">
        <v>11.8400001525878</v>
      </c>
      <c r="AN534" t="s">
        <v>802</v>
      </c>
      <c r="AO534">
        <v>84</v>
      </c>
      <c r="AP534">
        <v>29.761904761904759</v>
      </c>
      <c r="AQ534" s="1">
        <v>43922</v>
      </c>
      <c r="AR534" s="1">
        <v>43922</v>
      </c>
      <c r="AS534" s="1"/>
      <c r="AT534" s="1"/>
      <c r="AU534" s="1"/>
      <c r="AV534" s="1">
        <v>42779.694876504633</v>
      </c>
      <c r="AW534" s="1"/>
      <c r="AX534" s="1"/>
      <c r="AZ534">
        <v>122</v>
      </c>
      <c r="BA534">
        <v>66</v>
      </c>
      <c r="BB534" s="2">
        <v>1</v>
      </c>
      <c r="BC534">
        <f t="shared" ref="BC534:BC546" si="32">(140-D534)*AO534/(72*BI534)</f>
        <v>12.945953575228589</v>
      </c>
      <c r="BD534">
        <v>138</v>
      </c>
      <c r="BE534">
        <v>4.7</v>
      </c>
      <c r="BF534">
        <v>3.7</v>
      </c>
      <c r="BG534">
        <v>12.8</v>
      </c>
      <c r="BH534">
        <v>207</v>
      </c>
      <c r="BI534">
        <v>7.3499999999999899</v>
      </c>
      <c r="BJ534">
        <v>7.2999999999999901</v>
      </c>
      <c r="BK534">
        <v>6.2</v>
      </c>
      <c r="BL534">
        <v>7.7999999999999901</v>
      </c>
      <c r="BM534">
        <v>6.94</v>
      </c>
      <c r="BN534">
        <v>7.4</v>
      </c>
    </row>
    <row r="535" spans="1:66" x14ac:dyDescent="0.3">
      <c r="A535">
        <v>534</v>
      </c>
      <c r="B535" s="2" t="s">
        <v>434</v>
      </c>
      <c r="C535" s="2" t="s">
        <v>448</v>
      </c>
      <c r="D535">
        <v>54.309165526675002</v>
      </c>
      <c r="E535" s="3">
        <v>42723</v>
      </c>
      <c r="F535" s="1">
        <v>42508</v>
      </c>
      <c r="G535" s="1">
        <v>42424.667534722219</v>
      </c>
      <c r="H535" t="s">
        <v>31</v>
      </c>
      <c r="I535" t="s">
        <v>451</v>
      </c>
      <c r="J535" t="s">
        <v>35</v>
      </c>
      <c r="L535">
        <v>20</v>
      </c>
      <c r="M535" t="s">
        <v>17</v>
      </c>
      <c r="N535" t="s">
        <v>15</v>
      </c>
      <c r="O535" t="s">
        <v>25</v>
      </c>
      <c r="P535" t="s">
        <v>451</v>
      </c>
      <c r="Q535" t="s">
        <v>451</v>
      </c>
      <c r="S535" t="s">
        <v>451</v>
      </c>
      <c r="T535" t="s">
        <v>19</v>
      </c>
      <c r="V535" t="s">
        <v>451</v>
      </c>
      <c r="W535" t="s">
        <v>19</v>
      </c>
      <c r="X535" t="s">
        <v>87</v>
      </c>
      <c r="Y535">
        <v>7.1599998474120996</v>
      </c>
      <c r="Z535">
        <v>5.6999998092651296</v>
      </c>
      <c r="AA535">
        <v>0.75999999046325595</v>
      </c>
      <c r="AB535">
        <v>1.04999995231628</v>
      </c>
      <c r="AC535">
        <v>295.68759155273398</v>
      </c>
      <c r="AD535">
        <v>142</v>
      </c>
      <c r="AE535">
        <v>2.5</v>
      </c>
      <c r="AF535">
        <v>50</v>
      </c>
      <c r="AG535">
        <v>107</v>
      </c>
      <c r="AH535">
        <v>4</v>
      </c>
      <c r="AI535">
        <v>4</v>
      </c>
      <c r="AJ535">
        <v>26.75</v>
      </c>
      <c r="AK535">
        <v>5</v>
      </c>
      <c r="AL535">
        <v>9</v>
      </c>
      <c r="AM535">
        <v>11.890000343322701</v>
      </c>
      <c r="AN535" t="s">
        <v>803</v>
      </c>
      <c r="AO535">
        <v>108.3</v>
      </c>
      <c r="AP535">
        <v>38.832514611495576</v>
      </c>
      <c r="AQ535" s="1">
        <v>37622</v>
      </c>
      <c r="AS535" s="1">
        <v>40884.035385069437</v>
      </c>
      <c r="AT535" s="1"/>
      <c r="AU535" s="1">
        <v>41039.362937233796</v>
      </c>
      <c r="AV535" s="1">
        <v>40409.463866550926</v>
      </c>
      <c r="AW535" s="1">
        <v>40409.463866550926</v>
      </c>
      <c r="AX535" s="1"/>
      <c r="AY535" t="s">
        <v>21</v>
      </c>
      <c r="BB535" s="2">
        <v>6</v>
      </c>
      <c r="BC535">
        <f t="shared" si="32"/>
        <v>87.682514866412475</v>
      </c>
      <c r="BD535">
        <v>129</v>
      </c>
      <c r="BE535">
        <v>5.5999999999999899</v>
      </c>
      <c r="BF535">
        <v>3</v>
      </c>
      <c r="BG535">
        <v>9.1999999999999904</v>
      </c>
      <c r="BH535">
        <v>56</v>
      </c>
      <c r="BI535">
        <v>1.47</v>
      </c>
      <c r="BJ535">
        <v>8.1999999999999904</v>
      </c>
      <c r="BK535">
        <v>4.2</v>
      </c>
      <c r="BL535">
        <v>10.9</v>
      </c>
      <c r="BM535">
        <v>58.189999999999898</v>
      </c>
      <c r="BN535">
        <v>6</v>
      </c>
    </row>
    <row r="536" spans="1:66" x14ac:dyDescent="0.3">
      <c r="A536">
        <v>535</v>
      </c>
      <c r="B536" s="2" t="s">
        <v>430</v>
      </c>
      <c r="C536" s="2" t="s">
        <v>448</v>
      </c>
      <c r="D536">
        <v>53.633378932968</v>
      </c>
      <c r="E536" s="3"/>
      <c r="F536" s="1">
        <v>42471</v>
      </c>
      <c r="G536" s="1">
        <v>42464.43172453704</v>
      </c>
      <c r="H536" t="s">
        <v>15</v>
      </c>
      <c r="I536" t="s">
        <v>78</v>
      </c>
      <c r="J536" t="s">
        <v>15</v>
      </c>
      <c r="L536">
        <v>60</v>
      </c>
      <c r="M536" t="s">
        <v>79</v>
      </c>
      <c r="N536" t="s">
        <v>14</v>
      </c>
      <c r="O536" t="s">
        <v>25</v>
      </c>
      <c r="P536" t="s">
        <v>479</v>
      </c>
      <c r="Q536" t="s">
        <v>19</v>
      </c>
      <c r="S536" t="s">
        <v>137</v>
      </c>
      <c r="T536" t="s">
        <v>34</v>
      </c>
      <c r="U536" t="s">
        <v>525</v>
      </c>
      <c r="V536" t="s">
        <v>451</v>
      </c>
      <c r="W536" t="s">
        <v>34</v>
      </c>
      <c r="X536" t="s">
        <v>90</v>
      </c>
      <c r="Y536">
        <v>5.0999999046325604</v>
      </c>
      <c r="Z536">
        <v>4.0500001907348597</v>
      </c>
      <c r="AA536">
        <v>1.3200000524520801</v>
      </c>
      <c r="AB536">
        <v>1.16999995708465</v>
      </c>
      <c r="AC536">
        <v>254.02261352539</v>
      </c>
      <c r="AD536">
        <v>115</v>
      </c>
      <c r="AE536">
        <v>1</v>
      </c>
      <c r="AF536">
        <v>67</v>
      </c>
      <c r="AG536">
        <v>143</v>
      </c>
      <c r="AH536">
        <v>6</v>
      </c>
      <c r="AI536">
        <v>5</v>
      </c>
      <c r="AJ536">
        <v>28.600000381469702</v>
      </c>
      <c r="AK536">
        <v>10</v>
      </c>
      <c r="AL536">
        <v>6</v>
      </c>
      <c r="AM536">
        <v>23.829999923706001</v>
      </c>
      <c r="AN536" t="s">
        <v>804</v>
      </c>
      <c r="AO536">
        <v>119.599999999999</v>
      </c>
      <c r="AP536">
        <v>41.384083044982354</v>
      </c>
      <c r="AR536" s="1">
        <v>38443</v>
      </c>
      <c r="AS536" s="1">
        <v>40886.47136693287</v>
      </c>
      <c r="AT536" s="1"/>
      <c r="AU536" s="1">
        <v>40886.47136693287</v>
      </c>
      <c r="AV536" s="1"/>
      <c r="AW536" s="1"/>
      <c r="AX536" s="1">
        <v>40886.47136693287</v>
      </c>
      <c r="AZ536">
        <v>127</v>
      </c>
      <c r="BA536">
        <v>77</v>
      </c>
      <c r="BB536" s="2">
        <v>5</v>
      </c>
      <c r="BC536">
        <f t="shared" si="32"/>
        <v>18.951724423192687</v>
      </c>
      <c r="BD536">
        <v>137</v>
      </c>
      <c r="BE536">
        <v>5</v>
      </c>
      <c r="BF536">
        <v>2.8999999999999901</v>
      </c>
      <c r="BG536">
        <v>9.5</v>
      </c>
      <c r="BH536">
        <v>170</v>
      </c>
      <c r="BI536">
        <v>7.57</v>
      </c>
      <c r="BJ536">
        <v>7.5999999999999899</v>
      </c>
      <c r="BK536">
        <v>8.3000000000000007</v>
      </c>
      <c r="BL536">
        <v>14.3</v>
      </c>
      <c r="BM536">
        <v>127.42</v>
      </c>
      <c r="BN536">
        <v>5.2999999999999901</v>
      </c>
    </row>
    <row r="537" spans="1:66" x14ac:dyDescent="0.3">
      <c r="A537">
        <v>536</v>
      </c>
      <c r="B537" s="2" t="s">
        <v>430</v>
      </c>
      <c r="C537" s="2" t="s">
        <v>448</v>
      </c>
      <c r="D537">
        <v>58.634746922024</v>
      </c>
      <c r="E537" s="3">
        <v>44752.541666666657</v>
      </c>
      <c r="F537" s="1">
        <v>44254</v>
      </c>
      <c r="G537" s="1">
        <v>44255.477118055547</v>
      </c>
      <c r="H537" t="s">
        <v>451</v>
      </c>
      <c r="I537" t="s">
        <v>451</v>
      </c>
      <c r="J537" t="s">
        <v>451</v>
      </c>
      <c r="L537">
        <v>55</v>
      </c>
      <c r="M537" t="s">
        <v>17</v>
      </c>
      <c r="N537" t="s">
        <v>28</v>
      </c>
      <c r="O537" t="s">
        <v>15</v>
      </c>
      <c r="P537" t="s">
        <v>451</v>
      </c>
      <c r="Q537" t="s">
        <v>19</v>
      </c>
      <c r="S537" t="s">
        <v>451</v>
      </c>
      <c r="T537" t="s">
        <v>19</v>
      </c>
      <c r="V537" t="s">
        <v>451</v>
      </c>
      <c r="W537" t="s">
        <v>23</v>
      </c>
      <c r="X537" t="s">
        <v>90</v>
      </c>
      <c r="Y537">
        <v>4.1999998092651296</v>
      </c>
      <c r="Z537">
        <v>3</v>
      </c>
      <c r="AA537">
        <v>1.1000000238418499</v>
      </c>
      <c r="AB537">
        <v>1.1000000238418499</v>
      </c>
      <c r="AC537">
        <v>157.06259155273401</v>
      </c>
      <c r="AE537">
        <v>1</v>
      </c>
      <c r="AF537">
        <v>75</v>
      </c>
      <c r="AG537">
        <v>107</v>
      </c>
      <c r="AH537">
        <v>8.3999996185302699</v>
      </c>
      <c r="AI537">
        <v>5.6999998092651296</v>
      </c>
      <c r="AJ537">
        <v>18.770000457763601</v>
      </c>
      <c r="AK537">
        <v>8.8000001907348597</v>
      </c>
      <c r="AL537">
        <v>7.9000000953674299</v>
      </c>
      <c r="AM537">
        <v>13.539999961853001</v>
      </c>
      <c r="AN537" t="s">
        <v>805</v>
      </c>
      <c r="AO537">
        <v>75</v>
      </c>
      <c r="AP537">
        <v>25.951557093425603</v>
      </c>
      <c r="AS537" s="1"/>
      <c r="AT537" s="1"/>
      <c r="AU537" s="1">
        <v>40722.890990046297</v>
      </c>
      <c r="AV537" s="1">
        <v>40722.890990046297</v>
      </c>
      <c r="AW537" s="1"/>
      <c r="AX537" s="1"/>
      <c r="AZ537">
        <v>152</v>
      </c>
      <c r="BA537">
        <v>104</v>
      </c>
      <c r="BB537" s="2">
        <v>6</v>
      </c>
      <c r="BC537">
        <f t="shared" si="32"/>
        <v>17.019171075547188</v>
      </c>
      <c r="BD537">
        <v>131</v>
      </c>
      <c r="BE537">
        <v>4</v>
      </c>
      <c r="BF537">
        <v>3.5</v>
      </c>
      <c r="BG537">
        <v>10.1999999999999</v>
      </c>
      <c r="BH537">
        <v>215</v>
      </c>
      <c r="BI537">
        <v>4.9800000000000004</v>
      </c>
      <c r="BJ537">
        <v>8</v>
      </c>
      <c r="BK537">
        <v>4.0999999999999899</v>
      </c>
      <c r="BL537">
        <v>7.2</v>
      </c>
      <c r="BM537">
        <v>53.25</v>
      </c>
      <c r="BN537">
        <v>6.2999999999999901</v>
      </c>
    </row>
    <row r="538" spans="1:66" x14ac:dyDescent="0.3">
      <c r="A538">
        <v>537</v>
      </c>
      <c r="B538" s="2" t="s">
        <v>430</v>
      </c>
      <c r="C538" s="2" t="s">
        <v>449</v>
      </c>
      <c r="D538">
        <v>61.841313269493</v>
      </c>
      <c r="E538" s="3"/>
      <c r="F538" s="1">
        <v>45420</v>
      </c>
      <c r="G538" s="1">
        <v>45420.541018518517</v>
      </c>
      <c r="H538" t="s">
        <v>451</v>
      </c>
      <c r="I538" t="s">
        <v>451</v>
      </c>
      <c r="J538" t="s">
        <v>15</v>
      </c>
      <c r="L538">
        <v>50</v>
      </c>
      <c r="M538" t="s">
        <v>451</v>
      </c>
      <c r="N538" t="s">
        <v>15</v>
      </c>
      <c r="O538" t="s">
        <v>451</v>
      </c>
      <c r="P538" t="s">
        <v>451</v>
      </c>
      <c r="Q538" t="s">
        <v>451</v>
      </c>
      <c r="S538" t="s">
        <v>451</v>
      </c>
      <c r="T538" t="s">
        <v>451</v>
      </c>
      <c r="V538" t="s">
        <v>451</v>
      </c>
      <c r="W538" t="s">
        <v>451</v>
      </c>
      <c r="AE538">
        <v>1</v>
      </c>
      <c r="AG538">
        <v>42.400001525878899</v>
      </c>
      <c r="AN538" t="s">
        <v>806</v>
      </c>
      <c r="AO538">
        <v>70</v>
      </c>
      <c r="AP538">
        <v>27.34375</v>
      </c>
      <c r="AS538" s="1"/>
      <c r="AT538" s="1"/>
      <c r="AU538" s="1">
        <v>40268.820321446758</v>
      </c>
      <c r="AV538" s="1">
        <v>40231.708774502316</v>
      </c>
      <c r="AW538" s="1">
        <v>40268.820432256944</v>
      </c>
      <c r="AX538" s="1">
        <v>45066.365378090282</v>
      </c>
      <c r="AZ538">
        <v>110</v>
      </c>
      <c r="BA538">
        <v>32</v>
      </c>
      <c r="BB538" s="5">
        <v>0</v>
      </c>
      <c r="BC538">
        <f t="shared" si="32"/>
        <v>14.045769334400005</v>
      </c>
      <c r="BD538">
        <v>135</v>
      </c>
      <c r="BE538">
        <v>5.2</v>
      </c>
      <c r="BF538">
        <v>3.1</v>
      </c>
      <c r="BG538">
        <v>8.5999999999999908</v>
      </c>
      <c r="BH538">
        <v>253</v>
      </c>
      <c r="BI538">
        <v>5.41</v>
      </c>
      <c r="BJ538">
        <v>6.7</v>
      </c>
      <c r="BK538">
        <v>8.5</v>
      </c>
      <c r="BL538">
        <v>8</v>
      </c>
      <c r="BM538">
        <v>313.68</v>
      </c>
      <c r="BN538">
        <v>5.7999999999999901</v>
      </c>
    </row>
    <row r="539" spans="1:66" x14ac:dyDescent="0.3">
      <c r="A539">
        <v>538</v>
      </c>
      <c r="B539" s="2" t="s">
        <v>434</v>
      </c>
      <c r="C539" s="2" t="s">
        <v>448</v>
      </c>
      <c r="D539">
        <v>52.131326949383897</v>
      </c>
      <c r="E539" s="3">
        <v>42522.422222222223</v>
      </c>
      <c r="F539" s="1">
        <v>41935</v>
      </c>
      <c r="G539" s="1">
        <v>41914.492083333331</v>
      </c>
      <c r="H539" t="s">
        <v>15</v>
      </c>
      <c r="I539" t="s">
        <v>78</v>
      </c>
      <c r="J539" t="s">
        <v>15</v>
      </c>
      <c r="K539" t="s">
        <v>268</v>
      </c>
      <c r="L539">
        <v>60</v>
      </c>
      <c r="M539" t="s">
        <v>451</v>
      </c>
      <c r="N539" t="s">
        <v>451</v>
      </c>
      <c r="O539" t="s">
        <v>17</v>
      </c>
      <c r="P539" t="s">
        <v>479</v>
      </c>
      <c r="Q539" t="s">
        <v>451</v>
      </c>
      <c r="S539" t="s">
        <v>451</v>
      </c>
      <c r="T539" t="s">
        <v>19</v>
      </c>
      <c r="V539" t="s">
        <v>451</v>
      </c>
      <c r="W539" t="s">
        <v>19</v>
      </c>
      <c r="X539" t="s">
        <v>90</v>
      </c>
      <c r="Y539">
        <v>5</v>
      </c>
      <c r="Z539">
        <v>2.9000000953674299</v>
      </c>
      <c r="AA539">
        <v>1.29999995231628</v>
      </c>
      <c r="AB539">
        <v>1.1000000238418499</v>
      </c>
      <c r="AC539">
        <v>233.74636840820301</v>
      </c>
      <c r="AD539">
        <v>105</v>
      </c>
      <c r="AE539">
        <v>1</v>
      </c>
      <c r="AF539">
        <v>60</v>
      </c>
      <c r="AG539">
        <v>97.199996948242102</v>
      </c>
      <c r="AH539">
        <v>7.5</v>
      </c>
      <c r="AI539">
        <v>7.0999999046325604</v>
      </c>
      <c r="AJ539">
        <v>13.689999580383301</v>
      </c>
      <c r="AK539">
        <v>6.0999999046325604</v>
      </c>
      <c r="AL539">
        <v>4.4000000953674299</v>
      </c>
      <c r="AM539">
        <v>22.090000152587798</v>
      </c>
      <c r="AN539" t="s">
        <v>807</v>
      </c>
      <c r="AO539">
        <v>125</v>
      </c>
      <c r="AP539">
        <v>40.816326530612251</v>
      </c>
      <c r="AS539" s="1">
        <v>41388.63238101852</v>
      </c>
      <c r="AT539" s="1"/>
      <c r="AU539" s="1">
        <v>40669.701724340281</v>
      </c>
      <c r="AV539" s="1">
        <v>40669.701724340281</v>
      </c>
      <c r="AW539" s="1">
        <v>40669.701724340281</v>
      </c>
      <c r="AX539" s="1"/>
      <c r="AZ539">
        <v>156</v>
      </c>
      <c r="BA539">
        <v>78</v>
      </c>
      <c r="BB539" s="2">
        <v>1</v>
      </c>
      <c r="BC539">
        <f t="shared" si="32"/>
        <v>36.936992639652409</v>
      </c>
      <c r="BD539">
        <v>136</v>
      </c>
      <c r="BE539">
        <v>3.2</v>
      </c>
      <c r="BF539">
        <v>3.5</v>
      </c>
      <c r="BG539">
        <v>10.8</v>
      </c>
      <c r="BH539">
        <v>214</v>
      </c>
      <c r="BI539">
        <v>4.1299999999999901</v>
      </c>
      <c r="BJ539">
        <v>11.1999999999999</v>
      </c>
      <c r="BK539">
        <v>5.7</v>
      </c>
      <c r="BL539">
        <v>13.8</v>
      </c>
      <c r="BN539">
        <v>8.5</v>
      </c>
    </row>
    <row r="540" spans="1:66" x14ac:dyDescent="0.3">
      <c r="A540">
        <v>539</v>
      </c>
      <c r="B540" s="2" t="s">
        <v>430</v>
      </c>
      <c r="C540" s="2" t="s">
        <v>448</v>
      </c>
      <c r="D540">
        <v>57.428180574555</v>
      </c>
      <c r="E540" s="3">
        <v>44014.654861111107</v>
      </c>
      <c r="F540" s="1">
        <v>43974</v>
      </c>
      <c r="G540" s="1">
        <v>43723.333738425928</v>
      </c>
      <c r="H540" t="s">
        <v>25</v>
      </c>
      <c r="I540" t="s">
        <v>15</v>
      </c>
      <c r="J540" t="s">
        <v>35</v>
      </c>
      <c r="L540">
        <v>15</v>
      </c>
      <c r="M540" t="s">
        <v>17</v>
      </c>
      <c r="N540" t="s">
        <v>15</v>
      </c>
      <c r="O540" t="s">
        <v>25</v>
      </c>
      <c r="P540" t="s">
        <v>451</v>
      </c>
      <c r="Q540" t="s">
        <v>451</v>
      </c>
      <c r="R540" t="s">
        <v>153</v>
      </c>
      <c r="S540" t="s">
        <v>451</v>
      </c>
      <c r="T540" t="s">
        <v>26</v>
      </c>
      <c r="V540" t="s">
        <v>451</v>
      </c>
      <c r="W540" t="s">
        <v>18</v>
      </c>
      <c r="Y540">
        <v>7.4299998283386204</v>
      </c>
      <c r="Z540">
        <v>7</v>
      </c>
      <c r="AA540">
        <v>0.56000000238418501</v>
      </c>
      <c r="AB540">
        <v>0.52999997138976995</v>
      </c>
      <c r="AC540">
        <v>173.90376281738199</v>
      </c>
      <c r="AD540">
        <v>96</v>
      </c>
      <c r="AE540">
        <v>2.5</v>
      </c>
      <c r="AG540">
        <v>109</v>
      </c>
      <c r="AH540">
        <v>3.88000011444091</v>
      </c>
      <c r="AI540">
        <v>2.8099999427795401</v>
      </c>
      <c r="AJ540">
        <v>38.790000915527301</v>
      </c>
      <c r="AK540">
        <v>3.5999999046325599</v>
      </c>
      <c r="AL540">
        <v>5.1799998283386204</v>
      </c>
      <c r="AM540">
        <v>21.040000915527301</v>
      </c>
      <c r="AN540" t="s">
        <v>808</v>
      </c>
      <c r="AO540">
        <v>70</v>
      </c>
      <c r="AP540">
        <v>21.604938271604937</v>
      </c>
      <c r="AS540" s="1">
        <v>43815.633676307873</v>
      </c>
      <c r="AT540" s="1"/>
      <c r="AU540" s="1">
        <v>43815.633676307873</v>
      </c>
      <c r="AV540" s="1">
        <v>43815.633676307873</v>
      </c>
      <c r="AW540" s="1"/>
      <c r="AX540" s="1"/>
      <c r="AZ540">
        <v>91</v>
      </c>
      <c r="BA540">
        <v>61</v>
      </c>
      <c r="BB540" s="5">
        <v>0</v>
      </c>
      <c r="BC540">
        <f t="shared" si="32"/>
        <v>17.959319412693148</v>
      </c>
      <c r="BD540">
        <v>139</v>
      </c>
      <c r="BE540">
        <v>3.8999999999999901</v>
      </c>
      <c r="BF540">
        <v>3.8999999999999901</v>
      </c>
      <c r="BG540">
        <v>9.4</v>
      </c>
      <c r="BH540">
        <v>204</v>
      </c>
      <c r="BI540">
        <v>4.46999999999999</v>
      </c>
      <c r="BJ540">
        <v>8.8000000000000007</v>
      </c>
      <c r="BK540">
        <v>6.5</v>
      </c>
      <c r="BL540">
        <v>10.1</v>
      </c>
      <c r="BM540">
        <v>126.739999999999</v>
      </c>
      <c r="BN540">
        <v>4.9000000000000004</v>
      </c>
    </row>
    <row r="541" spans="1:66" x14ac:dyDescent="0.3">
      <c r="A541">
        <v>540</v>
      </c>
      <c r="B541" s="2" t="s">
        <v>434</v>
      </c>
      <c r="C541" s="2" t="s">
        <v>449</v>
      </c>
      <c r="D541">
        <v>59.387140902871899</v>
      </c>
      <c r="E541" s="3">
        <v>44951.18472222222</v>
      </c>
      <c r="F541" s="1">
        <v>44783</v>
      </c>
      <c r="G541" s="1">
        <v>44420.535856481481</v>
      </c>
      <c r="H541" t="s">
        <v>15</v>
      </c>
      <c r="I541" t="s">
        <v>15</v>
      </c>
      <c r="J541" t="s">
        <v>15</v>
      </c>
      <c r="L541">
        <v>55</v>
      </c>
      <c r="M541" t="s">
        <v>79</v>
      </c>
      <c r="N541" t="s">
        <v>15</v>
      </c>
      <c r="O541" t="s">
        <v>15</v>
      </c>
      <c r="P541" t="s">
        <v>15</v>
      </c>
      <c r="S541" t="s">
        <v>451</v>
      </c>
      <c r="T541" t="s">
        <v>19</v>
      </c>
      <c r="V541" t="s">
        <v>451</v>
      </c>
      <c r="W541" t="s">
        <v>26</v>
      </c>
      <c r="X541" t="s">
        <v>78</v>
      </c>
      <c r="Y541">
        <v>5.0999999046325604</v>
      </c>
      <c r="Z541">
        <v>3.2999999523162802</v>
      </c>
      <c r="AA541">
        <v>0.80000001192092796</v>
      </c>
      <c r="AB541">
        <v>0.80000001192092796</v>
      </c>
      <c r="AC541">
        <v>140.46917724609301</v>
      </c>
      <c r="AD541">
        <v>87</v>
      </c>
      <c r="AE541">
        <v>1</v>
      </c>
      <c r="AF541">
        <v>45</v>
      </c>
      <c r="AG541">
        <v>84.800003051757798</v>
      </c>
      <c r="AH541">
        <v>5</v>
      </c>
      <c r="AI541">
        <v>4.46000003814697</v>
      </c>
      <c r="AJ541">
        <v>19.0100002288818</v>
      </c>
      <c r="AK541">
        <v>7.8299999237060502</v>
      </c>
      <c r="AL541">
        <v>10.199999809265099</v>
      </c>
      <c r="AM541">
        <v>8.3100004196166903</v>
      </c>
      <c r="AN541" t="s">
        <v>809</v>
      </c>
      <c r="AO541">
        <v>59.5</v>
      </c>
      <c r="AP541">
        <v>23.535461413709903</v>
      </c>
      <c r="AS541" s="1"/>
      <c r="AT541" s="1">
        <v>44509.586872534717</v>
      </c>
      <c r="AU541" s="1"/>
      <c r="AV541" s="1"/>
      <c r="AW541" s="1"/>
      <c r="AX541" s="1"/>
      <c r="AY541" t="s">
        <v>21</v>
      </c>
      <c r="BB541" s="2">
        <v>2</v>
      </c>
      <c r="BC541">
        <f t="shared" si="32"/>
        <v>50.467856863206251</v>
      </c>
      <c r="BD541">
        <v>123</v>
      </c>
      <c r="BE541">
        <v>5.2</v>
      </c>
      <c r="BF541">
        <v>3.5</v>
      </c>
      <c r="BG541">
        <v>7.9</v>
      </c>
      <c r="BH541">
        <v>108</v>
      </c>
      <c r="BI541">
        <v>1.32</v>
      </c>
      <c r="BJ541">
        <v>9.1999999999999904</v>
      </c>
      <c r="BK541">
        <v>3.6</v>
      </c>
      <c r="BL541">
        <v>7.0999999999999899</v>
      </c>
      <c r="BM541">
        <v>7.7699999999999898</v>
      </c>
      <c r="BN541">
        <v>5.7</v>
      </c>
    </row>
    <row r="542" spans="1:66" x14ac:dyDescent="0.3">
      <c r="A542">
        <v>541</v>
      </c>
      <c r="B542" s="2" t="s">
        <v>434</v>
      </c>
      <c r="C542" s="2" t="s">
        <v>448</v>
      </c>
      <c r="D542">
        <v>60.6019151846779</v>
      </c>
      <c r="E542" s="3"/>
      <c r="F542" s="1">
        <v>45210</v>
      </c>
      <c r="G542" s="1">
        <v>45223.478472222218</v>
      </c>
      <c r="H542" t="s">
        <v>15</v>
      </c>
      <c r="I542" t="s">
        <v>78</v>
      </c>
      <c r="J542" t="s">
        <v>15</v>
      </c>
      <c r="L542">
        <v>65</v>
      </c>
      <c r="M542" t="s">
        <v>451</v>
      </c>
      <c r="N542" t="s">
        <v>451</v>
      </c>
      <c r="O542" t="s">
        <v>17</v>
      </c>
      <c r="P542" t="s">
        <v>75</v>
      </c>
      <c r="S542" t="s">
        <v>451</v>
      </c>
      <c r="T542" t="s">
        <v>18</v>
      </c>
      <c r="U542" t="s">
        <v>132</v>
      </c>
      <c r="V542" t="s">
        <v>15</v>
      </c>
      <c r="W542" t="s">
        <v>18</v>
      </c>
      <c r="Y542">
        <v>5.5999999046325604</v>
      </c>
      <c r="Z542">
        <v>3.6500000953674299</v>
      </c>
      <c r="AA542">
        <v>1.1499999761581401</v>
      </c>
      <c r="AB542">
        <v>1.20000004768371</v>
      </c>
      <c r="AC542">
        <v>272.53411865234301</v>
      </c>
      <c r="AD542">
        <v>124</v>
      </c>
      <c r="AE542">
        <v>1</v>
      </c>
      <c r="AG542">
        <v>73.099998474120994</v>
      </c>
      <c r="AH542">
        <v>5.4299998283386204</v>
      </c>
      <c r="AI542">
        <v>6.2300000190734801</v>
      </c>
      <c r="AJ542">
        <v>11.7299995422363</v>
      </c>
      <c r="AK542">
        <v>8.1899995803833008</v>
      </c>
      <c r="AL542">
        <v>6.8099999427795401</v>
      </c>
      <c r="AM542">
        <v>10.7299995422363</v>
      </c>
      <c r="AN542" t="s">
        <v>810</v>
      </c>
      <c r="AO542">
        <v>111</v>
      </c>
      <c r="AP542">
        <v>39.32823129251701</v>
      </c>
      <c r="AQ542" s="1">
        <v>44197</v>
      </c>
      <c r="AS542" s="1">
        <v>39713.210378090283</v>
      </c>
      <c r="AT542" s="1">
        <v>44491.339029745373</v>
      </c>
      <c r="AU542" s="1">
        <v>39713.214843865739</v>
      </c>
      <c r="AV542" s="1">
        <v>39713.214708796288</v>
      </c>
      <c r="AW542" s="1">
        <v>39713.215200694453</v>
      </c>
      <c r="AX542" s="1">
        <v>44517.404825925929</v>
      </c>
      <c r="BB542" s="5">
        <v>0</v>
      </c>
      <c r="BC542">
        <f t="shared" si="32"/>
        <v>22.542427395387683</v>
      </c>
      <c r="BD542">
        <v>142</v>
      </c>
      <c r="BE542">
        <v>4.0999999999999899</v>
      </c>
      <c r="BF542">
        <v>3.2</v>
      </c>
      <c r="BG542">
        <v>8.8000000000000007</v>
      </c>
      <c r="BH542">
        <v>124</v>
      </c>
      <c r="BI542">
        <v>5.4299999999999899</v>
      </c>
      <c r="BJ542">
        <v>8.5</v>
      </c>
      <c r="BK542">
        <v>5.5999999999999899</v>
      </c>
      <c r="BL542">
        <v>8.5999999999999908</v>
      </c>
      <c r="BM542">
        <v>150.16</v>
      </c>
      <c r="BN542">
        <v>9</v>
      </c>
    </row>
    <row r="543" spans="1:66" x14ac:dyDescent="0.3">
      <c r="A543">
        <v>542</v>
      </c>
      <c r="B543" s="2" t="s">
        <v>430</v>
      </c>
      <c r="C543" s="2" t="s">
        <v>448</v>
      </c>
      <c r="D543">
        <v>55.753761969903898</v>
      </c>
      <c r="E543" s="3">
        <v>44139.569444444453</v>
      </c>
      <c r="F543" s="1">
        <v>43479</v>
      </c>
      <c r="G543" s="1">
        <v>43496.412037037036</v>
      </c>
      <c r="H543" t="s">
        <v>17</v>
      </c>
      <c r="I543" t="s">
        <v>78</v>
      </c>
      <c r="J543" t="s">
        <v>453</v>
      </c>
      <c r="L543">
        <v>50</v>
      </c>
      <c r="M543" t="s">
        <v>79</v>
      </c>
      <c r="N543" t="s">
        <v>28</v>
      </c>
      <c r="O543" t="s">
        <v>17</v>
      </c>
      <c r="P543" t="s">
        <v>75</v>
      </c>
      <c r="Q543" t="s">
        <v>451</v>
      </c>
      <c r="S543" t="s">
        <v>451</v>
      </c>
      <c r="T543" t="s">
        <v>19</v>
      </c>
      <c r="V543" t="s">
        <v>451</v>
      </c>
      <c r="W543" t="s">
        <v>19</v>
      </c>
      <c r="X543" t="s">
        <v>87</v>
      </c>
      <c r="Y543">
        <v>6.1999998092651296</v>
      </c>
      <c r="Z543">
        <v>4</v>
      </c>
      <c r="AA543">
        <v>1.29999995231628</v>
      </c>
      <c r="AB543">
        <v>1.20000004768371</v>
      </c>
      <c r="AC543">
        <v>350.18560791015602</v>
      </c>
      <c r="AD543">
        <v>149</v>
      </c>
      <c r="AE543">
        <v>1</v>
      </c>
      <c r="AF543">
        <v>49</v>
      </c>
      <c r="AG543">
        <v>103</v>
      </c>
      <c r="AH543">
        <v>6</v>
      </c>
      <c r="AI543">
        <v>4</v>
      </c>
      <c r="AJ543">
        <v>25.75</v>
      </c>
      <c r="AK543">
        <v>5</v>
      </c>
      <c r="AL543">
        <v>8</v>
      </c>
      <c r="AM543">
        <v>12.8800001144409</v>
      </c>
      <c r="AN543" t="s">
        <v>811</v>
      </c>
      <c r="AO543">
        <v>135</v>
      </c>
      <c r="AP543">
        <v>42.608256533266008</v>
      </c>
      <c r="AS543" s="1">
        <v>41883.521462303237</v>
      </c>
      <c r="AT543" s="1"/>
      <c r="AU543" s="1">
        <v>41690.47742797454</v>
      </c>
      <c r="AV543" s="1">
        <v>41690.468802083327</v>
      </c>
      <c r="AW543" s="1"/>
      <c r="AX543" s="1"/>
      <c r="AZ543">
        <v>163</v>
      </c>
      <c r="BA543">
        <v>81</v>
      </c>
      <c r="BB543" s="2">
        <v>3</v>
      </c>
      <c r="BC543">
        <f t="shared" si="32"/>
        <v>29.525550711482335</v>
      </c>
      <c r="BD543">
        <v>159</v>
      </c>
      <c r="BE543">
        <v>3.3999999999999901</v>
      </c>
      <c r="BF543">
        <v>2.7999999999999901</v>
      </c>
      <c r="BG543">
        <v>8.4</v>
      </c>
      <c r="BH543">
        <v>251</v>
      </c>
      <c r="BI543">
        <v>5.3499999999999899</v>
      </c>
      <c r="BJ543">
        <v>8.5999999999999908</v>
      </c>
      <c r="BK543">
        <v>9.4</v>
      </c>
      <c r="BL543">
        <v>17.3</v>
      </c>
      <c r="BM543">
        <v>54.409999999999897</v>
      </c>
      <c r="BN543">
        <v>6.9</v>
      </c>
    </row>
    <row r="544" spans="1:66" x14ac:dyDescent="0.3">
      <c r="A544">
        <v>543</v>
      </c>
      <c r="B544" s="2" t="s">
        <v>430</v>
      </c>
      <c r="C544" s="2" t="s">
        <v>448</v>
      </c>
      <c r="D544">
        <v>54.681258549931002</v>
      </c>
      <c r="E544" s="3"/>
      <c r="F544" s="1">
        <v>43178</v>
      </c>
      <c r="G544" s="1">
        <v>42865.572187500002</v>
      </c>
      <c r="H544" t="s">
        <v>17</v>
      </c>
      <c r="I544" t="s">
        <v>451</v>
      </c>
      <c r="J544" t="s">
        <v>22</v>
      </c>
      <c r="L544">
        <v>40</v>
      </c>
      <c r="M544" t="s">
        <v>15</v>
      </c>
      <c r="N544" t="s">
        <v>15</v>
      </c>
      <c r="O544" t="s">
        <v>17</v>
      </c>
      <c r="P544" t="s">
        <v>451</v>
      </c>
      <c r="Q544" t="s">
        <v>451</v>
      </c>
      <c r="S544" t="s">
        <v>451</v>
      </c>
      <c r="T544" t="s">
        <v>18</v>
      </c>
      <c r="V544" t="s">
        <v>451</v>
      </c>
      <c r="W544" t="s">
        <v>18</v>
      </c>
      <c r="Y544">
        <v>5.9299998283386204</v>
      </c>
      <c r="Z544">
        <v>4.3499999046325604</v>
      </c>
      <c r="AA544">
        <v>1.12000000476837</v>
      </c>
      <c r="AB544">
        <v>0.92000001668929998</v>
      </c>
      <c r="AC544">
        <v>248.314453125</v>
      </c>
      <c r="AD544">
        <v>112</v>
      </c>
      <c r="AE544">
        <v>2</v>
      </c>
      <c r="AG544">
        <v>75.699996948242102</v>
      </c>
      <c r="AH544">
        <v>5.7699999809265101</v>
      </c>
      <c r="AI544">
        <v>6.3099999427795401</v>
      </c>
      <c r="AJ544">
        <v>12</v>
      </c>
      <c r="AK544">
        <v>4.3499999046325604</v>
      </c>
      <c r="AL544">
        <v>8.1599998474121005</v>
      </c>
      <c r="AM544">
        <v>9.2799997329711896</v>
      </c>
      <c r="AN544" t="s">
        <v>812</v>
      </c>
      <c r="AO544">
        <v>93</v>
      </c>
      <c r="AP544">
        <v>28.703703703703702</v>
      </c>
      <c r="AS544" s="1">
        <v>42135.520354166663</v>
      </c>
      <c r="AT544" s="1">
        <v>42682.446114317128</v>
      </c>
      <c r="AU544" s="1">
        <v>40990.482413738428</v>
      </c>
      <c r="AV544" s="1">
        <v>40577.474726122688</v>
      </c>
      <c r="AW544" s="1"/>
      <c r="AX544" s="1"/>
      <c r="BB544" s="2">
        <v>2</v>
      </c>
      <c r="BC544">
        <f t="shared" si="32"/>
        <v>18.967878549570738</v>
      </c>
      <c r="BD544">
        <v>132</v>
      </c>
      <c r="BE544">
        <v>4</v>
      </c>
      <c r="BF544">
        <v>4</v>
      </c>
      <c r="BG544">
        <v>13.5</v>
      </c>
      <c r="BH544">
        <v>186</v>
      </c>
      <c r="BI544">
        <v>5.8099999999999898</v>
      </c>
      <c r="BJ544">
        <v>8.9</v>
      </c>
      <c r="BK544">
        <v>5.7999999999999901</v>
      </c>
      <c r="BL544">
        <v>11.4</v>
      </c>
      <c r="BM544">
        <v>49.39</v>
      </c>
      <c r="BN544">
        <v>6.7999999999999901</v>
      </c>
    </row>
    <row r="545" spans="1:66" x14ac:dyDescent="0.3">
      <c r="A545">
        <v>544</v>
      </c>
      <c r="B545" s="2" t="s">
        <v>434</v>
      </c>
      <c r="C545" s="2" t="s">
        <v>448</v>
      </c>
      <c r="D545">
        <v>53.510259917920102</v>
      </c>
      <c r="E545" s="3">
        <v>43616</v>
      </c>
      <c r="F545" s="1">
        <v>42824</v>
      </c>
      <c r="G545" s="1">
        <v>42557.426087962973</v>
      </c>
      <c r="H545" t="s">
        <v>451</v>
      </c>
      <c r="I545" t="s">
        <v>451</v>
      </c>
      <c r="J545" t="s">
        <v>451</v>
      </c>
      <c r="K545" t="s">
        <v>74</v>
      </c>
      <c r="L545">
        <v>55</v>
      </c>
      <c r="M545" t="s">
        <v>451</v>
      </c>
      <c r="N545" t="s">
        <v>451</v>
      </c>
      <c r="O545" t="s">
        <v>451</v>
      </c>
      <c r="P545" t="s">
        <v>15</v>
      </c>
      <c r="S545" t="s">
        <v>451</v>
      </c>
      <c r="T545" t="s">
        <v>23</v>
      </c>
      <c r="U545" t="s">
        <v>526</v>
      </c>
      <c r="V545" t="s">
        <v>451</v>
      </c>
      <c r="W545" t="s">
        <v>23</v>
      </c>
      <c r="X545" t="s">
        <v>15</v>
      </c>
      <c r="Y545">
        <v>4.5999999046325604</v>
      </c>
      <c r="Z545">
        <v>3.2999999523162802</v>
      </c>
      <c r="AA545">
        <v>1.1000000238418499</v>
      </c>
      <c r="AB545">
        <v>1.1000000238418499</v>
      </c>
      <c r="AC545">
        <v>181.223876953125</v>
      </c>
      <c r="AD545">
        <v>84</v>
      </c>
      <c r="AE545">
        <v>1</v>
      </c>
      <c r="AF545">
        <v>31</v>
      </c>
      <c r="AG545">
        <v>120</v>
      </c>
      <c r="AH545">
        <v>3.2999999523162802</v>
      </c>
      <c r="AI545">
        <v>4.8000001907348597</v>
      </c>
      <c r="AJ545">
        <v>25</v>
      </c>
      <c r="AK545">
        <v>3.70000004768371</v>
      </c>
      <c r="AL545">
        <v>9.8000001907348597</v>
      </c>
      <c r="AM545">
        <v>12.2399997711181</v>
      </c>
      <c r="AN545" t="s">
        <v>813</v>
      </c>
      <c r="AO545">
        <v>84.099999999999895</v>
      </c>
      <c r="AP545">
        <v>25.389445719116019</v>
      </c>
      <c r="AQ545" s="1">
        <v>41031</v>
      </c>
      <c r="AS545" s="1">
        <v>41031.413995451388</v>
      </c>
      <c r="AT545" s="1"/>
      <c r="AU545" s="1"/>
      <c r="AV545" s="1"/>
      <c r="AW545" s="1"/>
      <c r="AX545" s="1"/>
      <c r="BB545" s="5">
        <v>0</v>
      </c>
      <c r="BC545">
        <f t="shared" si="32"/>
        <v>12.739573947216826</v>
      </c>
      <c r="BD545">
        <v>141</v>
      </c>
      <c r="BE545">
        <v>3.8999999999999901</v>
      </c>
      <c r="BF545">
        <v>3.2999999999999901</v>
      </c>
      <c r="BG545">
        <v>9.5999999999999908</v>
      </c>
      <c r="BH545">
        <v>239</v>
      </c>
      <c r="BI545">
        <v>7.9299999999999899</v>
      </c>
      <c r="BJ545">
        <v>7.9</v>
      </c>
      <c r="BK545">
        <v>7.5</v>
      </c>
      <c r="BL545">
        <v>7.9</v>
      </c>
      <c r="BM545">
        <v>49.09</v>
      </c>
      <c r="BN545">
        <v>5.4</v>
      </c>
    </row>
    <row r="546" spans="1:66" x14ac:dyDescent="0.3">
      <c r="A546">
        <v>545</v>
      </c>
      <c r="B546" s="2" t="s">
        <v>430</v>
      </c>
      <c r="C546" s="2" t="s">
        <v>448</v>
      </c>
      <c r="D546">
        <v>56.290013679890002</v>
      </c>
      <c r="E546" s="3">
        <v>43936</v>
      </c>
      <c r="F546" s="1">
        <v>43864</v>
      </c>
      <c r="G546" s="1">
        <v>43653.434224537043</v>
      </c>
      <c r="H546" t="s">
        <v>451</v>
      </c>
      <c r="I546" t="s">
        <v>451</v>
      </c>
      <c r="J546" t="s">
        <v>451</v>
      </c>
      <c r="L546">
        <v>28</v>
      </c>
      <c r="M546" t="s">
        <v>451</v>
      </c>
      <c r="N546" t="s">
        <v>451</v>
      </c>
      <c r="O546" t="s">
        <v>451</v>
      </c>
      <c r="P546" t="s">
        <v>451</v>
      </c>
      <c r="Q546" t="s">
        <v>23</v>
      </c>
      <c r="S546" t="s">
        <v>451</v>
      </c>
      <c r="T546" t="s">
        <v>451</v>
      </c>
      <c r="V546" t="s">
        <v>451</v>
      </c>
      <c r="W546" t="s">
        <v>19</v>
      </c>
      <c r="Y546">
        <v>5.0900001525878897</v>
      </c>
      <c r="Z546">
        <v>4.0999999046325604</v>
      </c>
      <c r="AA546">
        <v>1.04999995231628</v>
      </c>
      <c r="AB546">
        <v>1.2699999809265099</v>
      </c>
      <c r="AC546">
        <v>229.39732360839801</v>
      </c>
      <c r="AD546">
        <v>100</v>
      </c>
      <c r="AE546">
        <v>1</v>
      </c>
      <c r="AG546">
        <v>73.269996643066406</v>
      </c>
      <c r="AN546" t="s">
        <v>814</v>
      </c>
      <c r="AO546">
        <v>93</v>
      </c>
      <c r="AP546">
        <v>27.770312639971333</v>
      </c>
      <c r="AQ546" s="1">
        <v>42995</v>
      </c>
      <c r="AS546" s="1">
        <v>43072.540171793982</v>
      </c>
      <c r="AT546" s="1"/>
      <c r="AU546" s="1">
        <v>43086.709756944438</v>
      </c>
      <c r="AV546" s="1">
        <v>43032.624246527783</v>
      </c>
      <c r="AW546" s="1">
        <v>43032.624246527783</v>
      </c>
      <c r="AX546" s="1">
        <v>43032.624246527783</v>
      </c>
      <c r="BB546" s="5">
        <v>0</v>
      </c>
      <c r="BC546">
        <f t="shared" si="32"/>
        <v>16.894593593251368</v>
      </c>
      <c r="BD546">
        <v>134</v>
      </c>
      <c r="BE546">
        <v>5.2999999999999901</v>
      </c>
      <c r="BF546">
        <v>1.8999999999999899</v>
      </c>
      <c r="BH546">
        <v>146</v>
      </c>
      <c r="BI546">
        <v>6.4</v>
      </c>
      <c r="BJ546">
        <v>7.7999999999999901</v>
      </c>
      <c r="BK546">
        <v>8</v>
      </c>
      <c r="BL546">
        <v>8.5</v>
      </c>
      <c r="BM546">
        <v>91.09</v>
      </c>
      <c r="BN546">
        <v>6</v>
      </c>
    </row>
    <row r="547" spans="1:66" x14ac:dyDescent="0.3">
      <c r="A547">
        <v>546</v>
      </c>
      <c r="B547" s="2" t="s">
        <v>430</v>
      </c>
      <c r="C547" s="2" t="s">
        <v>448</v>
      </c>
      <c r="D547">
        <v>58.606266149870002</v>
      </c>
      <c r="E547" s="3">
        <v>45015.899305555547</v>
      </c>
      <c r="F547" s="1">
        <v>44965.590277777781</v>
      </c>
      <c r="G547" s="1">
        <v>44957.421226851853</v>
      </c>
      <c r="H547" t="s">
        <v>15</v>
      </c>
      <c r="I547" t="s">
        <v>78</v>
      </c>
      <c r="J547" t="s">
        <v>15</v>
      </c>
      <c r="L547">
        <v>55</v>
      </c>
      <c r="M547" t="s">
        <v>15</v>
      </c>
      <c r="N547" t="s">
        <v>15</v>
      </c>
      <c r="O547" t="s">
        <v>17</v>
      </c>
      <c r="P547" t="s">
        <v>451</v>
      </c>
      <c r="Q547" t="s">
        <v>18</v>
      </c>
      <c r="S547" t="s">
        <v>451</v>
      </c>
      <c r="T547" t="s">
        <v>19</v>
      </c>
      <c r="V547" t="s">
        <v>451</v>
      </c>
      <c r="W547" t="s">
        <v>19</v>
      </c>
      <c r="X547" t="s">
        <v>78</v>
      </c>
      <c r="Y547">
        <v>5.6999998092651296</v>
      </c>
      <c r="Z547">
        <v>4.4000000953674299</v>
      </c>
      <c r="AA547">
        <v>1.3999999761581401</v>
      </c>
      <c r="AB547">
        <v>9</v>
      </c>
      <c r="AC547">
        <v>3318.68920898437</v>
      </c>
      <c r="AD547">
        <v>1468</v>
      </c>
      <c r="AE547">
        <v>1</v>
      </c>
      <c r="AF547">
        <v>44</v>
      </c>
      <c r="AG547">
        <v>100</v>
      </c>
      <c r="AI547">
        <v>4</v>
      </c>
      <c r="AJ547">
        <v>25</v>
      </c>
      <c r="AL547">
        <v>8</v>
      </c>
      <c r="AM547">
        <v>12.5</v>
      </c>
      <c r="AN547" t="s">
        <v>815</v>
      </c>
      <c r="AR547" s="1">
        <v>43466</v>
      </c>
      <c r="AS547" s="1">
        <v>39824.400062418979</v>
      </c>
      <c r="AT547" s="1"/>
      <c r="AU547" s="1">
        <v>43569.625229548612</v>
      </c>
      <c r="AV547" s="1">
        <v>39824.400344560177</v>
      </c>
      <c r="AW547" s="1"/>
      <c r="AX547" s="1"/>
      <c r="AZ547">
        <v>143</v>
      </c>
      <c r="BA547">
        <v>78</v>
      </c>
      <c r="BB547" s="5">
        <v>0</v>
      </c>
      <c r="BC547">
        <v>19</v>
      </c>
      <c r="BD547">
        <v>140</v>
      </c>
      <c r="BE547">
        <v>3.8999999999999901</v>
      </c>
      <c r="BF547">
        <v>2.8999999999999901</v>
      </c>
      <c r="BG547">
        <v>8.1999999999999904</v>
      </c>
      <c r="BH547">
        <v>237</v>
      </c>
      <c r="BI547">
        <v>3.3599999999999901</v>
      </c>
      <c r="BJ547">
        <v>8.4</v>
      </c>
      <c r="BK547">
        <v>6.2</v>
      </c>
      <c r="BL547">
        <v>11.6</v>
      </c>
      <c r="BM547">
        <v>311.73</v>
      </c>
      <c r="BN547">
        <v>7.7</v>
      </c>
    </row>
    <row r="548" spans="1:66" x14ac:dyDescent="0.3">
      <c r="A548">
        <v>547</v>
      </c>
      <c r="B548" s="2" t="s">
        <v>430</v>
      </c>
      <c r="C548" s="2" t="s">
        <v>449</v>
      </c>
      <c r="D548">
        <v>48.292749658002002</v>
      </c>
      <c r="E548" s="3">
        <v>42392.942361111112</v>
      </c>
      <c r="F548" s="1">
        <v>41343</v>
      </c>
      <c r="G548" s="1">
        <v>41099.466203703712</v>
      </c>
      <c r="H548" t="s">
        <v>451</v>
      </c>
      <c r="I548" t="s">
        <v>451</v>
      </c>
      <c r="J548" t="s">
        <v>453</v>
      </c>
      <c r="K548" t="s">
        <v>473</v>
      </c>
      <c r="L548">
        <v>55</v>
      </c>
      <c r="M548" t="s">
        <v>17</v>
      </c>
      <c r="N548" t="s">
        <v>14</v>
      </c>
      <c r="O548" t="s">
        <v>25</v>
      </c>
      <c r="P548" t="s">
        <v>75</v>
      </c>
      <c r="Q548" t="s">
        <v>19</v>
      </c>
      <c r="S548" t="s">
        <v>451</v>
      </c>
      <c r="T548" t="s">
        <v>19</v>
      </c>
      <c r="V548" t="s">
        <v>451</v>
      </c>
      <c r="W548" t="s">
        <v>26</v>
      </c>
      <c r="X548" t="s">
        <v>78</v>
      </c>
      <c r="Y548">
        <v>4.5300002098083398</v>
      </c>
      <c r="Z548">
        <v>2.7999999523162802</v>
      </c>
      <c r="AA548">
        <v>1.3200000524520801</v>
      </c>
      <c r="AB548">
        <v>1.00999999046325</v>
      </c>
      <c r="AC548">
        <v>191.851150512695</v>
      </c>
      <c r="AD548">
        <v>91</v>
      </c>
      <c r="AE548">
        <v>1.25</v>
      </c>
      <c r="AF548">
        <v>42</v>
      </c>
      <c r="AG548">
        <v>138</v>
      </c>
      <c r="AH548">
        <v>4</v>
      </c>
      <c r="AI548">
        <v>6.4699997901916504</v>
      </c>
      <c r="AJ548">
        <v>21.329999923706001</v>
      </c>
      <c r="AK548">
        <v>7</v>
      </c>
      <c r="AL548">
        <v>11.199999809265099</v>
      </c>
      <c r="AM548">
        <v>12.319999694824199</v>
      </c>
      <c r="AN548" t="s">
        <v>816</v>
      </c>
      <c r="AO548">
        <v>127.2</v>
      </c>
      <c r="AP548">
        <v>53.63467701130039</v>
      </c>
      <c r="AS548" s="1"/>
      <c r="AT548" s="1">
        <v>40791.569486111111</v>
      </c>
      <c r="AU548" s="1">
        <v>39743.647449340278</v>
      </c>
      <c r="AV548" s="1">
        <v>39743.647210266201</v>
      </c>
      <c r="AW548" s="1"/>
      <c r="AX548" s="1"/>
      <c r="AZ548">
        <v>95</v>
      </c>
      <c r="BA548">
        <v>75</v>
      </c>
      <c r="BB548" s="2">
        <v>7</v>
      </c>
      <c r="BC548">
        <f t="shared" ref="BC548:BC561" si="33">(140-D548)*AO548/(72*BI548)</f>
        <v>32.533361901779742</v>
      </c>
      <c r="BD548">
        <v>135</v>
      </c>
      <c r="BE548">
        <v>8.1999999999999904</v>
      </c>
      <c r="BF548">
        <v>3.1</v>
      </c>
      <c r="BG548">
        <v>10.4</v>
      </c>
      <c r="BH548">
        <v>265</v>
      </c>
      <c r="BI548">
        <v>4.9800000000000004</v>
      </c>
      <c r="BJ548">
        <v>8.0999999999999908</v>
      </c>
      <c r="BK548">
        <v>7.0999999999999899</v>
      </c>
      <c r="BL548">
        <v>3.8999999999999901</v>
      </c>
      <c r="BM548">
        <v>22.84</v>
      </c>
      <c r="BN548">
        <v>5.7</v>
      </c>
    </row>
    <row r="549" spans="1:66" x14ac:dyDescent="0.3">
      <c r="A549">
        <v>548</v>
      </c>
      <c r="B549" s="2" t="s">
        <v>430</v>
      </c>
      <c r="C549" s="2" t="s">
        <v>448</v>
      </c>
      <c r="D549">
        <v>54.322845417236003</v>
      </c>
      <c r="E549" s="3"/>
      <c r="F549" s="1">
        <v>43682</v>
      </c>
      <c r="G549" s="1">
        <v>43488.62300925926</v>
      </c>
      <c r="H549" t="s">
        <v>25</v>
      </c>
      <c r="I549" t="s">
        <v>451</v>
      </c>
      <c r="J549" t="s">
        <v>35</v>
      </c>
      <c r="L549">
        <v>25</v>
      </c>
      <c r="M549" t="s">
        <v>17</v>
      </c>
      <c r="N549" t="s">
        <v>14</v>
      </c>
      <c r="O549" t="s">
        <v>451</v>
      </c>
      <c r="P549" t="s">
        <v>451</v>
      </c>
      <c r="Q549" t="s">
        <v>19</v>
      </c>
      <c r="S549" t="s">
        <v>451</v>
      </c>
      <c r="T549" t="s">
        <v>29</v>
      </c>
      <c r="V549" t="s">
        <v>451</v>
      </c>
      <c r="W549" t="s">
        <v>29</v>
      </c>
      <c r="X549" t="s">
        <v>90</v>
      </c>
      <c r="Y549">
        <v>6.5</v>
      </c>
      <c r="Z549">
        <v>4.5900001525878897</v>
      </c>
      <c r="AA549">
        <v>1.00999999046325</v>
      </c>
      <c r="AB549">
        <v>1.0900000333786</v>
      </c>
      <c r="AC549">
        <v>301.31057739257801</v>
      </c>
      <c r="AD549">
        <v>148</v>
      </c>
      <c r="AE549">
        <v>2.3099999427795401</v>
      </c>
      <c r="AF549">
        <v>64</v>
      </c>
      <c r="AG549">
        <v>92.370002746582003</v>
      </c>
      <c r="AN549" t="s">
        <v>817</v>
      </c>
      <c r="AO549">
        <v>108</v>
      </c>
      <c r="AP549">
        <v>35.265306122448976</v>
      </c>
      <c r="AS549" s="1">
        <v>43065.583238425927</v>
      </c>
      <c r="AT549" s="1">
        <v>43065.583238425927</v>
      </c>
      <c r="AU549" s="1">
        <v>43065.583238425927</v>
      </c>
      <c r="AV549" s="1">
        <v>43065.583238425927</v>
      </c>
      <c r="AW549" s="1"/>
      <c r="AX549" s="1"/>
      <c r="AZ549">
        <v>123</v>
      </c>
      <c r="BA549">
        <v>66</v>
      </c>
      <c r="BB549" s="5">
        <v>0</v>
      </c>
      <c r="BC549">
        <f t="shared" si="33"/>
        <v>31.345300457108856</v>
      </c>
      <c r="BD549">
        <v>133</v>
      </c>
      <c r="BE549">
        <v>4.2999999999999901</v>
      </c>
      <c r="BF549">
        <v>2.5</v>
      </c>
      <c r="BH549">
        <v>346</v>
      </c>
      <c r="BI549">
        <v>4.0999999999999899</v>
      </c>
      <c r="BJ549">
        <v>7.7</v>
      </c>
      <c r="BK549">
        <v>9.4</v>
      </c>
      <c r="BL549">
        <v>7.7</v>
      </c>
      <c r="BM549">
        <v>283.85000000000002</v>
      </c>
      <c r="BN549">
        <v>7.2999999999999901</v>
      </c>
    </row>
    <row r="550" spans="1:66" x14ac:dyDescent="0.3">
      <c r="A550">
        <v>549</v>
      </c>
      <c r="B550" s="2" t="s">
        <v>430</v>
      </c>
      <c r="C550" s="2" t="s">
        <v>448</v>
      </c>
      <c r="D550">
        <v>48.562845797233003</v>
      </c>
      <c r="E550" s="3"/>
      <c r="F550" s="1">
        <v>42468.720138888893</v>
      </c>
      <c r="G550" s="1">
        <v>42242.293206018519</v>
      </c>
      <c r="H550" t="s">
        <v>15</v>
      </c>
      <c r="I550" t="s">
        <v>15</v>
      </c>
      <c r="J550" t="s">
        <v>30</v>
      </c>
      <c r="L550">
        <v>30</v>
      </c>
      <c r="M550" t="s">
        <v>15</v>
      </c>
      <c r="N550" t="s">
        <v>15</v>
      </c>
      <c r="O550" t="s">
        <v>451</v>
      </c>
      <c r="P550" t="s">
        <v>451</v>
      </c>
      <c r="Q550" t="s">
        <v>451</v>
      </c>
      <c r="S550" t="s">
        <v>451</v>
      </c>
      <c r="V550" t="s">
        <v>451</v>
      </c>
      <c r="W550" t="s">
        <v>18</v>
      </c>
      <c r="X550" t="s">
        <v>78</v>
      </c>
      <c r="Y550">
        <v>5.1500000953674299</v>
      </c>
      <c r="Z550">
        <v>4.0199999809265101</v>
      </c>
      <c r="AA550">
        <v>1.0299999713897701</v>
      </c>
      <c r="AB550">
        <v>0.91000002622604304</v>
      </c>
      <c r="AC550">
        <v>183.48188781738199</v>
      </c>
      <c r="AD550">
        <v>93</v>
      </c>
      <c r="AE550">
        <v>1.5599999427795399</v>
      </c>
      <c r="AF550">
        <v>45</v>
      </c>
      <c r="AG550">
        <v>95.819999694824205</v>
      </c>
      <c r="AH550">
        <v>5</v>
      </c>
      <c r="AI550">
        <v>6</v>
      </c>
      <c r="AJ550">
        <v>15.9700002670288</v>
      </c>
      <c r="AK550">
        <v>4</v>
      </c>
      <c r="AL550">
        <v>5</v>
      </c>
      <c r="AM550">
        <v>19.159999847412099</v>
      </c>
      <c r="AN550" t="s">
        <v>818</v>
      </c>
      <c r="AO550">
        <v>86.4</v>
      </c>
      <c r="AP550">
        <v>29.20497566252028</v>
      </c>
      <c r="AS550" s="1"/>
      <c r="AT550" s="1"/>
      <c r="AU550" s="1"/>
      <c r="AV550" s="1">
        <v>41395.366704166663</v>
      </c>
      <c r="AW550" s="1">
        <v>41395.366704166663</v>
      </c>
      <c r="AX550" s="1"/>
      <c r="AZ550">
        <v>149</v>
      </c>
      <c r="BA550">
        <v>78</v>
      </c>
      <c r="BB550" s="2">
        <v>1</v>
      </c>
      <c r="BC550">
        <f t="shared" si="33"/>
        <v>26.062846803639054</v>
      </c>
      <c r="BD550">
        <v>133</v>
      </c>
      <c r="BE550">
        <v>4.7</v>
      </c>
      <c r="BF550">
        <v>3.5</v>
      </c>
      <c r="BG550">
        <v>10.5</v>
      </c>
      <c r="BH550">
        <v>174</v>
      </c>
      <c r="BI550">
        <v>4.21</v>
      </c>
      <c r="BJ550">
        <v>8.9</v>
      </c>
      <c r="BK550">
        <v>5.95</v>
      </c>
      <c r="BL550">
        <v>9</v>
      </c>
      <c r="BM550">
        <v>36.0399999999999</v>
      </c>
      <c r="BN550">
        <v>7.0999999999999899</v>
      </c>
    </row>
    <row r="551" spans="1:66" x14ac:dyDescent="0.3">
      <c r="A551">
        <v>550</v>
      </c>
      <c r="B551" s="2" t="s">
        <v>434</v>
      </c>
      <c r="C551" s="2" t="s">
        <v>449</v>
      </c>
      <c r="D551">
        <v>72.180574555402899</v>
      </c>
      <c r="E551" s="3"/>
      <c r="F551" s="1">
        <v>45376</v>
      </c>
      <c r="G551" s="1">
        <v>45104.658402777779</v>
      </c>
      <c r="H551" t="s">
        <v>451</v>
      </c>
      <c r="I551" t="s">
        <v>451</v>
      </c>
      <c r="J551" t="s">
        <v>451</v>
      </c>
      <c r="K551" t="s">
        <v>74</v>
      </c>
      <c r="L551">
        <v>55</v>
      </c>
      <c r="M551" t="s">
        <v>79</v>
      </c>
      <c r="N551" t="s">
        <v>14</v>
      </c>
      <c r="O551" t="s">
        <v>31</v>
      </c>
      <c r="P551" t="s">
        <v>75</v>
      </c>
      <c r="Q551" t="s">
        <v>19</v>
      </c>
      <c r="S551" t="s">
        <v>126</v>
      </c>
      <c r="T551" t="s">
        <v>23</v>
      </c>
      <c r="U551" t="s">
        <v>527</v>
      </c>
      <c r="V551" t="s">
        <v>159</v>
      </c>
      <c r="W551" t="s">
        <v>34</v>
      </c>
      <c r="X551" t="s">
        <v>90</v>
      </c>
      <c r="Y551">
        <v>5.0599999427795401</v>
      </c>
      <c r="Z551">
        <v>3.0399999618530198</v>
      </c>
      <c r="AA551">
        <v>1.00999999046325</v>
      </c>
      <c r="AB551">
        <v>0.70999997854232699</v>
      </c>
      <c r="AC551">
        <v>152.11679077148401</v>
      </c>
      <c r="AD551">
        <v>93</v>
      </c>
      <c r="AE551">
        <v>1</v>
      </c>
      <c r="AF551">
        <v>87</v>
      </c>
      <c r="AN551" t="s">
        <v>819</v>
      </c>
      <c r="AO551">
        <v>57.299999999999898</v>
      </c>
      <c r="AP551">
        <v>22.665242672362602</v>
      </c>
      <c r="AQ551" s="1">
        <v>43497</v>
      </c>
      <c r="AR551" s="1">
        <v>36892</v>
      </c>
      <c r="AS551" s="1">
        <v>43065.541031597233</v>
      </c>
      <c r="AT551" s="1">
        <v>40483.504210451392</v>
      </c>
      <c r="AU551" s="1">
        <v>40483.504210451392</v>
      </c>
      <c r="AV551" s="1">
        <v>40483.514335219908</v>
      </c>
      <c r="AW551" s="1">
        <v>40483.504210451392</v>
      </c>
      <c r="AX551" s="1"/>
      <c r="BB551" s="5">
        <v>0</v>
      </c>
      <c r="BC551">
        <f t="shared" si="33"/>
        <v>44.977466180270923</v>
      </c>
      <c r="BD551">
        <v>139</v>
      </c>
      <c r="BE551">
        <v>4</v>
      </c>
      <c r="BF551">
        <v>3.2999999999999901</v>
      </c>
      <c r="BG551">
        <v>11.6</v>
      </c>
      <c r="BH551">
        <v>76</v>
      </c>
      <c r="BI551">
        <v>1.2</v>
      </c>
      <c r="BJ551">
        <v>9.0999999999999908</v>
      </c>
      <c r="BK551">
        <v>3.3999999999999901</v>
      </c>
      <c r="BL551">
        <v>7.2999999999999901</v>
      </c>
      <c r="BM551">
        <v>2.4700000000000002</v>
      </c>
      <c r="BN551">
        <v>5.9</v>
      </c>
    </row>
    <row r="552" spans="1:66" x14ac:dyDescent="0.3">
      <c r="A552">
        <v>551</v>
      </c>
      <c r="B552" s="2" t="s">
        <v>434</v>
      </c>
      <c r="C552" s="2" t="s">
        <v>449</v>
      </c>
      <c r="D552">
        <v>73.828712570299004</v>
      </c>
      <c r="E552" s="3">
        <v>44333.975694444453</v>
      </c>
      <c r="F552" s="1">
        <v>44242.394444444442</v>
      </c>
      <c r="G552" s="1">
        <v>44130.476238425923</v>
      </c>
      <c r="H552" t="s">
        <v>17</v>
      </c>
      <c r="I552" t="s">
        <v>15</v>
      </c>
      <c r="J552" t="s">
        <v>28</v>
      </c>
      <c r="L552">
        <v>35</v>
      </c>
      <c r="M552" t="s">
        <v>79</v>
      </c>
      <c r="N552" t="s">
        <v>15</v>
      </c>
      <c r="O552" t="s">
        <v>17</v>
      </c>
      <c r="P552" t="s">
        <v>75</v>
      </c>
      <c r="S552" t="s">
        <v>451</v>
      </c>
      <c r="T552" t="s">
        <v>23</v>
      </c>
      <c r="V552" t="s">
        <v>451</v>
      </c>
      <c r="W552" t="s">
        <v>34</v>
      </c>
      <c r="X552" t="s">
        <v>90</v>
      </c>
      <c r="Y552">
        <v>6</v>
      </c>
      <c r="Z552">
        <v>5.0999999046325604</v>
      </c>
      <c r="AA552">
        <v>0.80000001192092796</v>
      </c>
      <c r="AB552">
        <v>0.80000001192092796</v>
      </c>
      <c r="AC552">
        <v>186.11602783203099</v>
      </c>
      <c r="AD552">
        <v>100</v>
      </c>
      <c r="AE552">
        <v>1.87999999523162</v>
      </c>
      <c r="AF552">
        <v>63</v>
      </c>
      <c r="AG552">
        <v>106</v>
      </c>
      <c r="AH552">
        <v>4.6799998283386204</v>
      </c>
      <c r="AI552">
        <v>3.3699998855590798</v>
      </c>
      <c r="AJ552">
        <v>31.4500007629394</v>
      </c>
      <c r="AK552">
        <v>5.6599998474120996</v>
      </c>
      <c r="AL552">
        <v>10.6000003814697</v>
      </c>
      <c r="AM552">
        <v>10</v>
      </c>
      <c r="AN552" t="s">
        <v>820</v>
      </c>
      <c r="AO552">
        <v>89.099999999999895</v>
      </c>
      <c r="AP552">
        <v>35.243859024563861</v>
      </c>
      <c r="AS552" s="1"/>
      <c r="AT552" s="1">
        <v>43382.576948495371</v>
      </c>
      <c r="AU552" s="1">
        <v>43382.395076076391</v>
      </c>
      <c r="AV552" s="1">
        <v>43382.395076076391</v>
      </c>
      <c r="AW552" s="1"/>
      <c r="AX552" s="1"/>
      <c r="BB552" s="2">
        <v>1</v>
      </c>
      <c r="BC552">
        <f t="shared" si="33"/>
        <v>23.598549911889013</v>
      </c>
      <c r="BD552">
        <v>142</v>
      </c>
      <c r="BE552">
        <v>4.2999999999999901</v>
      </c>
      <c r="BF552">
        <v>3.3999999999999901</v>
      </c>
      <c r="BG552">
        <v>8.9</v>
      </c>
      <c r="BH552">
        <v>128</v>
      </c>
      <c r="BI552">
        <v>3.47</v>
      </c>
      <c r="BJ552">
        <v>7.7999999999999901</v>
      </c>
      <c r="BK552">
        <v>5.4</v>
      </c>
      <c r="BL552">
        <v>11.8</v>
      </c>
      <c r="BM552">
        <v>15.41</v>
      </c>
      <c r="BN552">
        <v>7</v>
      </c>
    </row>
    <row r="553" spans="1:66" x14ac:dyDescent="0.3">
      <c r="A553">
        <v>552</v>
      </c>
      <c r="B553" s="2" t="s">
        <v>430</v>
      </c>
      <c r="C553" s="2" t="s">
        <v>448</v>
      </c>
      <c r="D553">
        <v>66.451436388508</v>
      </c>
      <c r="E553" s="3">
        <v>42405</v>
      </c>
      <c r="F553" s="1">
        <v>41501</v>
      </c>
      <c r="G553" s="1">
        <v>41499.457152777781</v>
      </c>
      <c r="H553" t="s">
        <v>17</v>
      </c>
      <c r="I553" t="s">
        <v>451</v>
      </c>
      <c r="J553" t="s">
        <v>28</v>
      </c>
      <c r="K553" t="s">
        <v>464</v>
      </c>
      <c r="L553">
        <v>35</v>
      </c>
      <c r="M553" t="s">
        <v>451</v>
      </c>
      <c r="N553" t="s">
        <v>451</v>
      </c>
      <c r="O553" t="s">
        <v>25</v>
      </c>
      <c r="P553" t="s">
        <v>75</v>
      </c>
      <c r="Q553" t="s">
        <v>19</v>
      </c>
      <c r="S553" t="s">
        <v>451</v>
      </c>
      <c r="T553" t="s">
        <v>19</v>
      </c>
      <c r="V553" t="s">
        <v>451</v>
      </c>
      <c r="W553" t="s">
        <v>19</v>
      </c>
      <c r="X553" t="s">
        <v>87</v>
      </c>
      <c r="Y553">
        <v>5.5</v>
      </c>
      <c r="Z553">
        <v>4.0999999046325604</v>
      </c>
      <c r="AA553">
        <v>1.1000000238418499</v>
      </c>
      <c r="AB553">
        <v>1</v>
      </c>
      <c r="AC553">
        <v>227.404037475585</v>
      </c>
      <c r="AD553">
        <v>101</v>
      </c>
      <c r="AE553">
        <v>2.25</v>
      </c>
      <c r="AF553">
        <v>52</v>
      </c>
      <c r="AG553">
        <v>150</v>
      </c>
      <c r="AN553" t="s">
        <v>821</v>
      </c>
      <c r="AO553">
        <v>101.3</v>
      </c>
      <c r="AP553">
        <v>32.702737603305785</v>
      </c>
      <c r="AQ553" s="1">
        <v>40391</v>
      </c>
      <c r="AS553" s="1">
        <v>40423.801084837964</v>
      </c>
      <c r="AT553" s="1">
        <v>40423.801084837964</v>
      </c>
      <c r="AU553" s="1">
        <v>40423.801084837964</v>
      </c>
      <c r="AV553" s="1"/>
      <c r="AW553" s="1">
        <v>40423.801084837964</v>
      </c>
      <c r="AX553" s="1"/>
      <c r="AZ553">
        <v>135</v>
      </c>
      <c r="BA553">
        <v>98</v>
      </c>
      <c r="BB553" s="2">
        <v>5</v>
      </c>
      <c r="BC553">
        <f t="shared" si="33"/>
        <v>31.839613221556149</v>
      </c>
      <c r="BD553">
        <v>139</v>
      </c>
      <c r="BE553">
        <v>4.5</v>
      </c>
      <c r="BF553">
        <v>2.7</v>
      </c>
      <c r="BG553">
        <v>10</v>
      </c>
      <c r="BH553">
        <v>160</v>
      </c>
      <c r="BI553">
        <v>3.25</v>
      </c>
      <c r="BJ553">
        <v>9</v>
      </c>
      <c r="BK553">
        <v>3.62</v>
      </c>
      <c r="BL553">
        <v>8.8000000000000007</v>
      </c>
      <c r="BM553">
        <v>66.6099999999999</v>
      </c>
      <c r="BN553">
        <v>6.9</v>
      </c>
    </row>
    <row r="554" spans="1:66" x14ac:dyDescent="0.3">
      <c r="A554">
        <v>553</v>
      </c>
      <c r="B554" s="2" t="s">
        <v>430</v>
      </c>
      <c r="C554" s="2" t="s">
        <v>448</v>
      </c>
      <c r="D554">
        <v>68.683994528043002</v>
      </c>
      <c r="E554" s="3">
        <v>43772.878472222219</v>
      </c>
      <c r="F554" s="1">
        <v>41907</v>
      </c>
      <c r="G554" s="1">
        <v>41568.596122685187</v>
      </c>
      <c r="H554" t="s">
        <v>17</v>
      </c>
      <c r="I554" t="s">
        <v>87</v>
      </c>
      <c r="J554" t="s">
        <v>453</v>
      </c>
      <c r="K554" t="s">
        <v>456</v>
      </c>
      <c r="L554">
        <v>50</v>
      </c>
      <c r="M554" t="s">
        <v>451</v>
      </c>
      <c r="N554" t="s">
        <v>451</v>
      </c>
      <c r="O554" t="s">
        <v>31</v>
      </c>
      <c r="P554" t="s">
        <v>451</v>
      </c>
      <c r="Q554" t="s">
        <v>451</v>
      </c>
      <c r="S554" t="s">
        <v>451</v>
      </c>
      <c r="T554" t="s">
        <v>23</v>
      </c>
      <c r="V554" t="s">
        <v>451</v>
      </c>
      <c r="W554" t="s">
        <v>19</v>
      </c>
      <c r="X554" t="s">
        <v>90</v>
      </c>
      <c r="Y554">
        <v>5.9000000953674299</v>
      </c>
      <c r="Z554">
        <v>3.7999999523162802</v>
      </c>
      <c r="AA554">
        <v>1.6000000238418499</v>
      </c>
      <c r="AB554">
        <v>1.6000000238418499</v>
      </c>
      <c r="AC554">
        <v>456.69573974609301</v>
      </c>
      <c r="AD554">
        <v>205</v>
      </c>
      <c r="AE554">
        <v>1.12000000476837</v>
      </c>
      <c r="AF554">
        <v>62</v>
      </c>
      <c r="AG554">
        <v>118.84999847412099</v>
      </c>
      <c r="AH554">
        <v>4</v>
      </c>
      <c r="AI554">
        <v>5</v>
      </c>
      <c r="AJ554">
        <v>23.770000457763601</v>
      </c>
      <c r="AK554">
        <v>5</v>
      </c>
      <c r="AL554">
        <v>6</v>
      </c>
      <c r="AM554">
        <v>19.809999465942301</v>
      </c>
      <c r="AN554" t="s">
        <v>822</v>
      </c>
      <c r="AO554">
        <v>107</v>
      </c>
      <c r="AP554">
        <v>37.024221453287197</v>
      </c>
      <c r="AQ554" s="1">
        <v>42736</v>
      </c>
      <c r="AS554" s="1"/>
      <c r="AT554" s="1"/>
      <c r="AU554" s="1">
        <v>41265.674690243053</v>
      </c>
      <c r="AV554" s="1"/>
      <c r="AW554" s="1"/>
      <c r="AX554" s="1"/>
      <c r="AY554" t="s">
        <v>21</v>
      </c>
      <c r="AZ554">
        <v>161</v>
      </c>
      <c r="BA554">
        <v>62</v>
      </c>
      <c r="BB554" s="2">
        <v>4</v>
      </c>
      <c r="BC554">
        <f t="shared" si="33"/>
        <v>12.366803749350771</v>
      </c>
      <c r="BD554">
        <v>134</v>
      </c>
      <c r="BE554">
        <v>5.2</v>
      </c>
      <c r="BF554">
        <v>2.8999999999999901</v>
      </c>
      <c r="BG554">
        <v>9.0999999999999908</v>
      </c>
      <c r="BH554">
        <v>230</v>
      </c>
      <c r="BI554">
        <v>8.57</v>
      </c>
      <c r="BJ554">
        <v>7.7</v>
      </c>
      <c r="BK554">
        <v>7.7</v>
      </c>
      <c r="BL554">
        <v>14.1999999999999</v>
      </c>
      <c r="BN554">
        <v>5.5</v>
      </c>
    </row>
    <row r="555" spans="1:66" x14ac:dyDescent="0.3">
      <c r="A555">
        <v>554</v>
      </c>
      <c r="B555" s="2" t="s">
        <v>430</v>
      </c>
      <c r="C555" s="2" t="s">
        <v>448</v>
      </c>
      <c r="D555">
        <v>66.361149110807105</v>
      </c>
      <c r="E555" s="3">
        <v>42890</v>
      </c>
      <c r="F555" s="1">
        <v>42884</v>
      </c>
      <c r="G555" s="1">
        <v>42634.556956018518</v>
      </c>
      <c r="H555" t="s">
        <v>17</v>
      </c>
      <c r="I555" t="s">
        <v>15</v>
      </c>
      <c r="J555" t="s">
        <v>35</v>
      </c>
      <c r="K555" t="s">
        <v>157</v>
      </c>
      <c r="L555">
        <v>25</v>
      </c>
      <c r="M555" t="s">
        <v>451</v>
      </c>
      <c r="N555" t="s">
        <v>451</v>
      </c>
      <c r="O555" t="s">
        <v>17</v>
      </c>
      <c r="P555" t="s">
        <v>15</v>
      </c>
      <c r="Q555" t="s">
        <v>451</v>
      </c>
      <c r="S555" t="s">
        <v>451</v>
      </c>
      <c r="T555" t="s">
        <v>29</v>
      </c>
      <c r="V555" t="s">
        <v>451</v>
      </c>
      <c r="W555" t="s">
        <v>19</v>
      </c>
      <c r="X555" t="s">
        <v>90</v>
      </c>
      <c r="Y555">
        <v>5.71000003814697</v>
      </c>
      <c r="Z555">
        <v>5.0999999046325604</v>
      </c>
      <c r="AA555">
        <v>0.46000000834464999</v>
      </c>
      <c r="AB555">
        <v>0.80000001192092796</v>
      </c>
      <c r="AC555">
        <v>127.429634094238</v>
      </c>
      <c r="AD555">
        <v>78</v>
      </c>
      <c r="AE555">
        <v>2.6199998855590798</v>
      </c>
      <c r="AF555">
        <v>62</v>
      </c>
      <c r="AG555">
        <v>87</v>
      </c>
      <c r="AH555">
        <v>5</v>
      </c>
      <c r="AI555">
        <v>7</v>
      </c>
      <c r="AJ555">
        <v>12.4300003051757</v>
      </c>
      <c r="AK555">
        <v>3</v>
      </c>
      <c r="AL555">
        <v>3</v>
      </c>
      <c r="AM555">
        <v>29</v>
      </c>
      <c r="AN555" t="s">
        <v>823</v>
      </c>
      <c r="AO555">
        <v>64</v>
      </c>
      <c r="AP555">
        <v>25</v>
      </c>
      <c r="AQ555" s="1">
        <v>42305</v>
      </c>
      <c r="AS555" s="1">
        <v>42305.273259525457</v>
      </c>
      <c r="AT555" s="1"/>
      <c r="AU555" s="1">
        <v>42610.537851076391</v>
      </c>
      <c r="AV555" s="1">
        <v>42455.887277083333</v>
      </c>
      <c r="AW555" s="1"/>
      <c r="AX555" s="1"/>
      <c r="BB555" s="2">
        <v>1</v>
      </c>
      <c r="BC555">
        <f t="shared" si="33"/>
        <v>11.24686535153767</v>
      </c>
      <c r="BD555">
        <v>125</v>
      </c>
      <c r="BE555">
        <v>4.7999999999999901</v>
      </c>
      <c r="BF555">
        <v>2.7</v>
      </c>
      <c r="BG555">
        <v>11.6999999999999</v>
      </c>
      <c r="BH555">
        <v>310</v>
      </c>
      <c r="BI555">
        <v>5.82</v>
      </c>
      <c r="BJ555">
        <v>8.6999999999999904</v>
      </c>
      <c r="BK555">
        <v>4.7999999999999901</v>
      </c>
      <c r="BL555">
        <v>16.3</v>
      </c>
      <c r="BM555">
        <v>33.14</v>
      </c>
      <c r="BN555">
        <v>6.4</v>
      </c>
    </row>
    <row r="556" spans="1:66" x14ac:dyDescent="0.3">
      <c r="A556">
        <v>555</v>
      </c>
      <c r="B556" s="2" t="s">
        <v>430</v>
      </c>
      <c r="C556" s="2" t="s">
        <v>449</v>
      </c>
      <c r="D556">
        <v>81.592339261285005</v>
      </c>
      <c r="E556" s="3">
        <v>45371</v>
      </c>
      <c r="F556" s="1">
        <v>45135</v>
      </c>
      <c r="G556" s="1">
        <v>44972.566817129627</v>
      </c>
      <c r="H556" t="s">
        <v>451</v>
      </c>
      <c r="I556" t="s">
        <v>451</v>
      </c>
      <c r="J556" t="s">
        <v>451</v>
      </c>
      <c r="K556" t="s">
        <v>74</v>
      </c>
      <c r="L556">
        <v>55</v>
      </c>
      <c r="M556" t="s">
        <v>451</v>
      </c>
      <c r="N556" t="s">
        <v>451</v>
      </c>
      <c r="O556" t="s">
        <v>31</v>
      </c>
      <c r="P556" t="s">
        <v>75</v>
      </c>
      <c r="Q556" t="s">
        <v>19</v>
      </c>
      <c r="S556" t="s">
        <v>75</v>
      </c>
      <c r="T556" t="s">
        <v>29</v>
      </c>
      <c r="U556" t="s">
        <v>96</v>
      </c>
      <c r="V556" t="s">
        <v>451</v>
      </c>
      <c r="W556" t="s">
        <v>19</v>
      </c>
      <c r="X556" t="s">
        <v>87</v>
      </c>
      <c r="Y556">
        <v>4.7300000190734801</v>
      </c>
      <c r="Z556">
        <v>3.38000011444091</v>
      </c>
      <c r="AA556">
        <v>1.1100000143051101</v>
      </c>
      <c r="AB556">
        <v>1.1000000238418499</v>
      </c>
      <c r="AC556">
        <v>190.65505981445301</v>
      </c>
      <c r="AD556">
        <v>108</v>
      </c>
      <c r="AE556">
        <v>1</v>
      </c>
      <c r="AF556">
        <v>50</v>
      </c>
      <c r="AG556">
        <v>134</v>
      </c>
      <c r="AH556">
        <v>4.0900001525878897</v>
      </c>
      <c r="AI556">
        <v>8.3599996566772408</v>
      </c>
      <c r="AJ556">
        <v>16.030000686645501</v>
      </c>
      <c r="AK556">
        <v>7.5199999809265101</v>
      </c>
      <c r="AL556">
        <v>11.899999618530201</v>
      </c>
      <c r="AM556">
        <v>11.2600002288818</v>
      </c>
      <c r="AN556" t="s">
        <v>824</v>
      </c>
      <c r="AO556">
        <v>51.1</v>
      </c>
      <c r="AP556">
        <v>21.269510926118627</v>
      </c>
      <c r="AS556" s="1">
        <v>43684.537242824073</v>
      </c>
      <c r="AT556" s="1"/>
      <c r="AU556" s="1">
        <v>43684.537242824073</v>
      </c>
      <c r="AV556" s="1">
        <v>43556.532524108799</v>
      </c>
      <c r="AW556" s="1">
        <v>43684.537242824073</v>
      </c>
      <c r="AX556" s="1"/>
      <c r="AY556" t="s">
        <v>21</v>
      </c>
      <c r="BB556" s="2">
        <v>1</v>
      </c>
      <c r="BC556">
        <f t="shared" si="33"/>
        <v>8.2906429548564908</v>
      </c>
      <c r="BD556">
        <v>128</v>
      </c>
      <c r="BE556">
        <v>6</v>
      </c>
      <c r="BF556">
        <v>3</v>
      </c>
      <c r="BG556">
        <v>13.1999999999999</v>
      </c>
      <c r="BH556">
        <v>413</v>
      </c>
      <c r="BI556">
        <v>5</v>
      </c>
      <c r="BJ556">
        <v>8.3000000000000007</v>
      </c>
      <c r="BK556">
        <v>11.5</v>
      </c>
      <c r="BL556">
        <v>9.1999999999999904</v>
      </c>
      <c r="BM556">
        <v>28.059999999999899</v>
      </c>
      <c r="BN556">
        <v>5.2999999999999901</v>
      </c>
    </row>
    <row r="557" spans="1:66" x14ac:dyDescent="0.3">
      <c r="A557">
        <v>556</v>
      </c>
      <c r="B557" s="2" t="s">
        <v>434</v>
      </c>
      <c r="C557" s="2" t="s">
        <v>448</v>
      </c>
      <c r="D557">
        <v>64.930232558138897</v>
      </c>
      <c r="E557" s="3">
        <v>42049.82708333333</v>
      </c>
      <c r="F557" s="1">
        <v>41585</v>
      </c>
      <c r="G557" s="1">
        <v>41441.53162037037</v>
      </c>
      <c r="H557" t="s">
        <v>25</v>
      </c>
      <c r="I557" t="s">
        <v>451</v>
      </c>
      <c r="J557" t="s">
        <v>35</v>
      </c>
      <c r="L557">
        <v>25</v>
      </c>
      <c r="M557" t="s">
        <v>451</v>
      </c>
      <c r="N557" t="s">
        <v>451</v>
      </c>
      <c r="O557" t="s">
        <v>25</v>
      </c>
      <c r="P557" t="s">
        <v>75</v>
      </c>
      <c r="Q557" t="s">
        <v>451</v>
      </c>
      <c r="S557" t="s">
        <v>451</v>
      </c>
      <c r="T557" t="s">
        <v>23</v>
      </c>
      <c r="V557" t="s">
        <v>451</v>
      </c>
      <c r="W557" t="s">
        <v>19</v>
      </c>
      <c r="X557" t="s">
        <v>78</v>
      </c>
      <c r="Y557">
        <v>6.4499998092651296</v>
      </c>
      <c r="Z557">
        <v>4.6500000953674299</v>
      </c>
      <c r="AA557">
        <v>1.1799999475479099</v>
      </c>
      <c r="AB557">
        <v>1.1399999856948799</v>
      </c>
      <c r="AC557">
        <v>338.55007934570301</v>
      </c>
      <c r="AD557">
        <v>164</v>
      </c>
      <c r="AF557">
        <v>37</v>
      </c>
      <c r="AG557">
        <v>90.599998474120994</v>
      </c>
      <c r="AN557" t="s">
        <v>825</v>
      </c>
      <c r="AO557">
        <v>107.2</v>
      </c>
      <c r="AP557">
        <v>33.834111854563815</v>
      </c>
      <c r="AQ557" s="1">
        <v>34700</v>
      </c>
      <c r="AS557" s="1">
        <v>40724.796705937501</v>
      </c>
      <c r="AT557" s="1">
        <v>40713.361840277779</v>
      </c>
      <c r="AU557" s="1">
        <v>40713.361840277779</v>
      </c>
      <c r="AV557" s="1"/>
      <c r="AW557" s="1"/>
      <c r="AX557" s="1">
        <v>40713.361840277779</v>
      </c>
      <c r="BB557" s="2">
        <v>1</v>
      </c>
      <c r="BC557">
        <f t="shared" si="33"/>
        <v>42.019000990849577</v>
      </c>
      <c r="BD557">
        <v>131</v>
      </c>
      <c r="BE557">
        <v>4.2</v>
      </c>
      <c r="BF557">
        <v>3.2999999999999901</v>
      </c>
      <c r="BG557">
        <v>10.6</v>
      </c>
      <c r="BH557">
        <v>208</v>
      </c>
      <c r="BI557">
        <v>2.66</v>
      </c>
      <c r="BJ557">
        <v>8.5999999999999908</v>
      </c>
      <c r="BK557">
        <v>4.2</v>
      </c>
      <c r="BL557">
        <v>7.5</v>
      </c>
      <c r="BM557">
        <v>101.47</v>
      </c>
      <c r="BN557">
        <v>6.4</v>
      </c>
    </row>
    <row r="558" spans="1:66" x14ac:dyDescent="0.3">
      <c r="A558">
        <v>557</v>
      </c>
      <c r="B558" s="2" t="s">
        <v>430</v>
      </c>
      <c r="C558" s="2" t="s">
        <v>448</v>
      </c>
      <c r="D558">
        <v>76.153214774280897</v>
      </c>
      <c r="E558" s="3">
        <v>41709.104166666657</v>
      </c>
      <c r="F558" s="1">
        <v>40984</v>
      </c>
      <c r="G558" s="1">
        <v>40981.513831018521</v>
      </c>
      <c r="H558" t="s">
        <v>451</v>
      </c>
      <c r="I558" t="s">
        <v>451</v>
      </c>
      <c r="J558" t="s">
        <v>451</v>
      </c>
      <c r="L558">
        <v>50</v>
      </c>
      <c r="M558" t="s">
        <v>79</v>
      </c>
      <c r="N558" t="s">
        <v>28</v>
      </c>
      <c r="O558" t="s">
        <v>17</v>
      </c>
      <c r="P558" t="s">
        <v>451</v>
      </c>
      <c r="Q558" t="s">
        <v>18</v>
      </c>
      <c r="S558" t="s">
        <v>451</v>
      </c>
      <c r="T558" t="s">
        <v>19</v>
      </c>
      <c r="V558" t="s">
        <v>451</v>
      </c>
      <c r="W558" t="s">
        <v>26</v>
      </c>
      <c r="X558" t="s">
        <v>90</v>
      </c>
      <c r="Y558">
        <v>5</v>
      </c>
      <c r="Z558">
        <v>2.7999999523162802</v>
      </c>
      <c r="AA558">
        <v>0.89999997615814198</v>
      </c>
      <c r="AB558">
        <v>0.89999997615814198</v>
      </c>
      <c r="AC558">
        <v>158.207427978515</v>
      </c>
      <c r="AD558">
        <v>89</v>
      </c>
      <c r="AE558">
        <v>1</v>
      </c>
      <c r="AF558">
        <v>75</v>
      </c>
      <c r="AG558">
        <v>97</v>
      </c>
      <c r="AH558">
        <v>6</v>
      </c>
      <c r="AI558">
        <v>7</v>
      </c>
      <c r="AJ558">
        <v>13.8599996566772</v>
      </c>
      <c r="AK558">
        <v>5</v>
      </c>
      <c r="AL558">
        <v>7</v>
      </c>
      <c r="AM558">
        <v>13.8599996566772</v>
      </c>
      <c r="AN558" t="s">
        <v>826</v>
      </c>
      <c r="AO558">
        <v>166.5</v>
      </c>
      <c r="AP558">
        <v>59.700957366703719</v>
      </c>
      <c r="AQ558" s="1">
        <v>39083</v>
      </c>
      <c r="AS558" s="1">
        <v>39837.863310416673</v>
      </c>
      <c r="AT558" s="1"/>
      <c r="AU558" s="1">
        <v>39837.862528043981</v>
      </c>
      <c r="AV558" s="1">
        <v>39837.862314664351</v>
      </c>
      <c r="AW558" s="1"/>
      <c r="AX558" s="1">
        <v>39837.86972195602</v>
      </c>
      <c r="AZ558">
        <v>129</v>
      </c>
      <c r="BA558">
        <v>62</v>
      </c>
      <c r="BB558" s="2">
        <v>9</v>
      </c>
      <c r="BC558">
        <f t="shared" si="33"/>
        <v>33.178806929095593</v>
      </c>
      <c r="BD558">
        <v>139</v>
      </c>
      <c r="BE558">
        <v>5.2999999999999901</v>
      </c>
      <c r="BF558">
        <v>3.2</v>
      </c>
      <c r="BG558">
        <v>9.5</v>
      </c>
      <c r="BH558">
        <v>257</v>
      </c>
      <c r="BI558">
        <v>4.45</v>
      </c>
      <c r="BJ558">
        <v>7.7999999999999901</v>
      </c>
      <c r="BK558">
        <v>5.2</v>
      </c>
      <c r="BL558">
        <v>5.7</v>
      </c>
      <c r="BM558">
        <v>128.22</v>
      </c>
      <c r="BN558">
        <v>5.7999999999999901</v>
      </c>
    </row>
    <row r="559" spans="1:66" x14ac:dyDescent="0.3">
      <c r="A559">
        <v>558</v>
      </c>
      <c r="B559" s="2" t="s">
        <v>434</v>
      </c>
      <c r="C559" s="2" t="s">
        <v>448</v>
      </c>
      <c r="D559">
        <v>64.374829001367004</v>
      </c>
      <c r="E559" s="3">
        <v>41874</v>
      </c>
      <c r="F559" s="1">
        <v>41600</v>
      </c>
      <c r="G559" s="1">
        <v>41242.344097222223</v>
      </c>
      <c r="H559" t="s">
        <v>25</v>
      </c>
      <c r="I559" t="s">
        <v>78</v>
      </c>
      <c r="J559" t="s">
        <v>35</v>
      </c>
      <c r="L559">
        <v>25</v>
      </c>
      <c r="M559" t="s">
        <v>451</v>
      </c>
      <c r="N559" t="s">
        <v>451</v>
      </c>
      <c r="O559" t="s">
        <v>25</v>
      </c>
      <c r="P559" t="s">
        <v>451</v>
      </c>
      <c r="Q559" t="s">
        <v>451</v>
      </c>
      <c r="S559" t="s">
        <v>451</v>
      </c>
      <c r="T559" t="s">
        <v>19</v>
      </c>
      <c r="V559" t="s">
        <v>451</v>
      </c>
      <c r="W559" t="s">
        <v>19</v>
      </c>
      <c r="X559" t="s">
        <v>90</v>
      </c>
      <c r="Y559">
        <v>6.3000001907348597</v>
      </c>
      <c r="Z559">
        <v>5.5999999046325604</v>
      </c>
      <c r="AA559">
        <v>1.20000004768371</v>
      </c>
      <c r="AB559">
        <v>1</v>
      </c>
      <c r="AC559">
        <v>303.51290893554602</v>
      </c>
      <c r="AD559">
        <v>156</v>
      </c>
      <c r="AE559">
        <v>2.6900000572204501</v>
      </c>
      <c r="AF559">
        <v>62</v>
      </c>
      <c r="AG559">
        <v>62.950000762939403</v>
      </c>
      <c r="AH559">
        <v>4</v>
      </c>
      <c r="AI559">
        <v>2</v>
      </c>
      <c r="AJ559">
        <v>31.4799995422363</v>
      </c>
      <c r="AN559" t="s">
        <v>827</v>
      </c>
      <c r="AO559">
        <v>79.900000000000006</v>
      </c>
      <c r="AP559">
        <v>26.696515085702831</v>
      </c>
      <c r="AQ559" s="1">
        <v>40696</v>
      </c>
      <c r="AS559" s="1">
        <v>40696.479124571757</v>
      </c>
      <c r="AT559" s="1"/>
      <c r="AU559" s="1"/>
      <c r="AV559" s="1">
        <v>40696.479124571757</v>
      </c>
      <c r="AW559" s="1"/>
      <c r="AX559" s="1"/>
      <c r="BB559" s="5">
        <v>0</v>
      </c>
      <c r="BC559">
        <f t="shared" si="33"/>
        <v>38.320973888830565</v>
      </c>
      <c r="BD559">
        <v>140</v>
      </c>
      <c r="BE559">
        <v>3.8999999999999901</v>
      </c>
      <c r="BF559">
        <v>3.2</v>
      </c>
      <c r="BH559">
        <v>158</v>
      </c>
      <c r="BI559">
        <v>2.1899999999999902</v>
      </c>
      <c r="BJ559">
        <v>8.8000000000000007</v>
      </c>
      <c r="BK559">
        <v>3.5</v>
      </c>
      <c r="BL559">
        <v>9.8000000000000007</v>
      </c>
      <c r="BM559">
        <v>18.43</v>
      </c>
      <c r="BN559">
        <v>10.9</v>
      </c>
    </row>
    <row r="560" spans="1:66" x14ac:dyDescent="0.3">
      <c r="A560">
        <v>559</v>
      </c>
      <c r="B560" s="2" t="s">
        <v>434</v>
      </c>
      <c r="C560" s="2" t="s">
        <v>448</v>
      </c>
      <c r="D560">
        <v>67.378932968536006</v>
      </c>
      <c r="E560" s="3">
        <v>41754</v>
      </c>
      <c r="F560" s="1">
        <v>41349</v>
      </c>
      <c r="G560" s="1">
        <v>41057.355567129627</v>
      </c>
      <c r="H560" t="s">
        <v>15</v>
      </c>
      <c r="I560" t="s">
        <v>451</v>
      </c>
      <c r="J560" t="s">
        <v>22</v>
      </c>
      <c r="L560">
        <v>30</v>
      </c>
      <c r="M560" t="s">
        <v>451</v>
      </c>
      <c r="N560" t="s">
        <v>451</v>
      </c>
      <c r="O560" t="s">
        <v>451</v>
      </c>
      <c r="P560" t="s">
        <v>479</v>
      </c>
      <c r="Q560" t="s">
        <v>18</v>
      </c>
      <c r="S560" t="s">
        <v>451</v>
      </c>
      <c r="T560" t="s">
        <v>19</v>
      </c>
      <c r="V560" t="s">
        <v>451</v>
      </c>
      <c r="W560" t="s">
        <v>23</v>
      </c>
      <c r="X560" t="s">
        <v>90</v>
      </c>
      <c r="Y560">
        <v>4.8099999427795401</v>
      </c>
      <c r="Z560">
        <v>3.66000008583068</v>
      </c>
      <c r="AA560">
        <v>1</v>
      </c>
      <c r="AB560">
        <v>0.89999997615814198</v>
      </c>
      <c r="AC560">
        <v>159.36811828613199</v>
      </c>
      <c r="AD560">
        <v>90</v>
      </c>
      <c r="AE560">
        <v>2</v>
      </c>
      <c r="AF560">
        <v>64</v>
      </c>
      <c r="AG560">
        <v>103.61000061035099</v>
      </c>
      <c r="AH560">
        <v>6</v>
      </c>
      <c r="AI560">
        <v>6</v>
      </c>
      <c r="AJ560">
        <v>17.270000457763601</v>
      </c>
      <c r="AK560">
        <v>6</v>
      </c>
      <c r="AL560">
        <v>14</v>
      </c>
      <c r="AM560">
        <v>7.4000000953674299</v>
      </c>
      <c r="AN560" t="s">
        <v>828</v>
      </c>
      <c r="AO560">
        <v>63</v>
      </c>
      <c r="AP560">
        <v>21.295294753921038</v>
      </c>
      <c r="AQ560" s="1">
        <v>35796</v>
      </c>
      <c r="AS560" s="1">
        <v>40922.939391516207</v>
      </c>
      <c r="AT560" s="1"/>
      <c r="AU560" s="1">
        <v>40400.384667824073</v>
      </c>
      <c r="AV560" s="1"/>
      <c r="AW560" s="1">
        <v>40995.346140196758</v>
      </c>
      <c r="AX560" s="1"/>
      <c r="AZ560">
        <v>124</v>
      </c>
      <c r="BA560">
        <v>60</v>
      </c>
      <c r="BB560" s="2">
        <v>1</v>
      </c>
      <c r="BC560">
        <f t="shared" si="33"/>
        <v>6.028788771587438</v>
      </c>
      <c r="BD560">
        <v>135</v>
      </c>
      <c r="BE560">
        <v>5</v>
      </c>
      <c r="BF560">
        <v>3.1</v>
      </c>
      <c r="BG560">
        <v>8.8000000000000007</v>
      </c>
      <c r="BH560">
        <v>350</v>
      </c>
      <c r="BI560">
        <v>10.5399999999999</v>
      </c>
      <c r="BJ560">
        <v>6.5999999999999899</v>
      </c>
      <c r="BK560">
        <v>9.4499999999999904</v>
      </c>
      <c r="BL560">
        <v>10.4</v>
      </c>
      <c r="BM560">
        <v>104.38</v>
      </c>
      <c r="BN560">
        <v>4.9000000000000004</v>
      </c>
    </row>
    <row r="561" spans="1:66" x14ac:dyDescent="0.3">
      <c r="A561">
        <v>560</v>
      </c>
      <c r="B561" s="2" t="s">
        <v>430</v>
      </c>
      <c r="C561" s="2" t="s">
        <v>448</v>
      </c>
      <c r="D561">
        <v>69.474692202461895</v>
      </c>
      <c r="E561" s="3">
        <v>43440.957638888889</v>
      </c>
      <c r="F561" s="1">
        <v>42999</v>
      </c>
      <c r="G561" s="1">
        <v>42974.359780092593</v>
      </c>
      <c r="H561" t="s">
        <v>15</v>
      </c>
      <c r="I561" t="s">
        <v>15</v>
      </c>
      <c r="J561" t="s">
        <v>14</v>
      </c>
      <c r="L561">
        <v>48</v>
      </c>
      <c r="M561" t="s">
        <v>451</v>
      </c>
      <c r="N561" t="s">
        <v>451</v>
      </c>
      <c r="O561" t="s">
        <v>15</v>
      </c>
      <c r="P561" t="s">
        <v>480</v>
      </c>
      <c r="S561" t="s">
        <v>15</v>
      </c>
      <c r="T561" t="s">
        <v>18</v>
      </c>
      <c r="V561" t="s">
        <v>15</v>
      </c>
      <c r="W561" t="s">
        <v>18</v>
      </c>
      <c r="Y561">
        <v>5.2600002288818297</v>
      </c>
      <c r="Z561">
        <v>3.1099998950958199</v>
      </c>
      <c r="AA561">
        <v>0.91000002622604304</v>
      </c>
      <c r="AB561">
        <v>0.92000001668929998</v>
      </c>
      <c r="AC561">
        <v>176.043212890625</v>
      </c>
      <c r="AD561">
        <v>93</v>
      </c>
      <c r="AE561">
        <v>2</v>
      </c>
      <c r="AG561">
        <v>73.099998474120994</v>
      </c>
      <c r="AH561">
        <v>5.5999999046325604</v>
      </c>
      <c r="AI561">
        <v>5.2600002288818297</v>
      </c>
      <c r="AJ561">
        <v>13.899999618530201</v>
      </c>
      <c r="AK561">
        <v>5.7600002288818297</v>
      </c>
      <c r="AN561" t="s">
        <v>829</v>
      </c>
      <c r="AO561">
        <v>64.5</v>
      </c>
      <c r="AP561">
        <v>19.907407407407408</v>
      </c>
      <c r="AQ561" s="10" t="s">
        <v>915</v>
      </c>
      <c r="AS561" s="1">
        <v>40893.428576157406</v>
      </c>
      <c r="AT561" s="1"/>
      <c r="AU561" s="1">
        <v>40893.428576157406</v>
      </c>
      <c r="AV561" s="1"/>
      <c r="AW561" s="1">
        <v>41046.478503854167</v>
      </c>
      <c r="AX561" s="1">
        <v>42988.403701006937</v>
      </c>
      <c r="AZ561">
        <v>125</v>
      </c>
      <c r="BA561">
        <v>52</v>
      </c>
      <c r="BB561" s="2">
        <v>2</v>
      </c>
      <c r="BC561">
        <f t="shared" si="33"/>
        <v>14.727021344668504</v>
      </c>
      <c r="BD561">
        <v>135</v>
      </c>
      <c r="BE561">
        <v>4.5</v>
      </c>
      <c r="BF561">
        <v>2.7</v>
      </c>
      <c r="BG561">
        <v>10</v>
      </c>
      <c r="BH561">
        <v>99</v>
      </c>
      <c r="BI561">
        <v>4.29</v>
      </c>
      <c r="BJ561">
        <v>6.7999999999999901</v>
      </c>
      <c r="BK561">
        <v>5.2999999999999901</v>
      </c>
      <c r="BL561">
        <v>6.7999999999999901</v>
      </c>
      <c r="BM561">
        <v>329.18</v>
      </c>
      <c r="BN561">
        <v>5.7</v>
      </c>
    </row>
    <row r="562" spans="1:66" x14ac:dyDescent="0.3">
      <c r="A562">
        <v>561</v>
      </c>
      <c r="B562" s="2" t="s">
        <v>434</v>
      </c>
      <c r="C562" s="2" t="s">
        <v>448</v>
      </c>
      <c r="D562">
        <v>63.348005015958996</v>
      </c>
      <c r="E562" s="3">
        <v>41156</v>
      </c>
      <c r="F562" s="1">
        <v>41052.695833333331</v>
      </c>
      <c r="G562" s="1">
        <v>40988.540925925918</v>
      </c>
      <c r="H562" t="s">
        <v>15</v>
      </c>
      <c r="I562" t="s">
        <v>15</v>
      </c>
      <c r="J562" t="s">
        <v>15</v>
      </c>
      <c r="L562">
        <v>55</v>
      </c>
      <c r="M562" t="s">
        <v>17</v>
      </c>
      <c r="N562" t="s">
        <v>35</v>
      </c>
      <c r="O562" t="s">
        <v>31</v>
      </c>
      <c r="P562" t="s">
        <v>75</v>
      </c>
      <c r="Q562" t="s">
        <v>19</v>
      </c>
      <c r="S562" t="s">
        <v>126</v>
      </c>
      <c r="T562" t="s">
        <v>451</v>
      </c>
      <c r="U562" t="s">
        <v>528</v>
      </c>
      <c r="V562" t="s">
        <v>504</v>
      </c>
      <c r="W562" t="s">
        <v>19</v>
      </c>
      <c r="X562" t="s">
        <v>90</v>
      </c>
      <c r="Y562">
        <v>4.4000000953674299</v>
      </c>
      <c r="Z562">
        <v>2</v>
      </c>
      <c r="AA562">
        <v>1.1000000238418499</v>
      </c>
      <c r="AB562">
        <v>0.80000001192092796</v>
      </c>
      <c r="AC562">
        <v>137.766021728515</v>
      </c>
      <c r="AD562">
        <v>82</v>
      </c>
      <c r="AE562">
        <v>1</v>
      </c>
      <c r="AF562">
        <v>88</v>
      </c>
      <c r="AH562">
        <v>7</v>
      </c>
      <c r="AI562">
        <v>3.5999999046325599</v>
      </c>
      <c r="AK562">
        <v>10</v>
      </c>
      <c r="AL562">
        <v>5</v>
      </c>
      <c r="AN562" t="s">
        <v>830</v>
      </c>
      <c r="AS562" s="1"/>
      <c r="AT562" s="1">
        <v>39462.58427172454</v>
      </c>
      <c r="AU562" s="1"/>
      <c r="AV562" s="1">
        <v>39462.582895370368</v>
      </c>
      <c r="AW562" s="1"/>
      <c r="AX562" s="1"/>
      <c r="AZ562">
        <v>93</v>
      </c>
      <c r="BA562">
        <v>51</v>
      </c>
      <c r="BB562" s="5">
        <v>0</v>
      </c>
      <c r="BC562">
        <v>24.5</v>
      </c>
      <c r="BD562">
        <v>137</v>
      </c>
      <c r="BE562">
        <v>3.7999999999999901</v>
      </c>
      <c r="BF562">
        <v>2.7999999999999901</v>
      </c>
      <c r="BG562">
        <v>7.4</v>
      </c>
      <c r="BH562">
        <v>141</v>
      </c>
      <c r="BI562">
        <v>2.6499999999999901</v>
      </c>
      <c r="BJ562">
        <v>8.4</v>
      </c>
      <c r="BK562">
        <v>4.2999999999999901</v>
      </c>
      <c r="BL562">
        <v>7.0999999999999899</v>
      </c>
      <c r="BM562">
        <v>70.299999999999898</v>
      </c>
      <c r="BN562">
        <v>5.5999999999999899</v>
      </c>
    </row>
    <row r="563" spans="1:66" x14ac:dyDescent="0.3">
      <c r="A563">
        <v>562</v>
      </c>
      <c r="B563" s="2" t="s">
        <v>430</v>
      </c>
      <c r="C563" s="2" t="s">
        <v>448</v>
      </c>
      <c r="D563">
        <v>76.093023255812895</v>
      </c>
      <c r="E563" s="3">
        <v>44335</v>
      </c>
      <c r="F563" s="1">
        <v>43884</v>
      </c>
      <c r="G563" s="1">
        <v>43872.537094907413</v>
      </c>
      <c r="H563" t="s">
        <v>15</v>
      </c>
      <c r="I563" t="s">
        <v>78</v>
      </c>
      <c r="J563" t="s">
        <v>15</v>
      </c>
      <c r="L563">
        <v>60</v>
      </c>
      <c r="M563" t="s">
        <v>451</v>
      </c>
      <c r="N563" t="s">
        <v>451</v>
      </c>
      <c r="O563" t="s">
        <v>31</v>
      </c>
      <c r="P563" t="s">
        <v>479</v>
      </c>
      <c r="S563" t="s">
        <v>92</v>
      </c>
      <c r="T563" t="s">
        <v>19</v>
      </c>
      <c r="V563" t="s">
        <v>451</v>
      </c>
      <c r="W563" t="s">
        <v>23</v>
      </c>
      <c r="X563" t="s">
        <v>87</v>
      </c>
      <c r="Y563">
        <v>5.13000011444091</v>
      </c>
      <c r="Z563">
        <v>4.3200001716613698</v>
      </c>
      <c r="AA563">
        <v>1.33000004291534</v>
      </c>
      <c r="AB563">
        <v>1.21000003814697</v>
      </c>
      <c r="AC563">
        <v>263.68835449218699</v>
      </c>
      <c r="AD563">
        <v>133</v>
      </c>
      <c r="AE563">
        <v>1</v>
      </c>
      <c r="AF563">
        <v>46</v>
      </c>
      <c r="AG563">
        <v>111</v>
      </c>
      <c r="AN563" t="s">
        <v>831</v>
      </c>
      <c r="AO563">
        <v>98.099999999999895</v>
      </c>
      <c r="AP563">
        <v>38.320312499999957</v>
      </c>
      <c r="AS563" s="1">
        <v>40034.442467824083</v>
      </c>
      <c r="AT563" s="1"/>
      <c r="AU563" s="1">
        <v>40034.44226797454</v>
      </c>
      <c r="AV563" s="1"/>
      <c r="AW563" s="1"/>
      <c r="AX563" s="1"/>
      <c r="AY563" t="s">
        <v>21</v>
      </c>
      <c r="AZ563">
        <v>171</v>
      </c>
      <c r="BA563">
        <v>61</v>
      </c>
      <c r="BB563" s="2">
        <v>4</v>
      </c>
      <c r="BC563">
        <f t="shared" ref="BC563:BC568" si="34">(140-D563)*AO563/(72*BI563)</f>
        <v>20.249594375338383</v>
      </c>
      <c r="BD563">
        <v>147</v>
      </c>
      <c r="BE563">
        <v>3.6</v>
      </c>
      <c r="BF563">
        <v>3.7</v>
      </c>
      <c r="BG563">
        <v>11.6</v>
      </c>
      <c r="BH563">
        <v>279</v>
      </c>
      <c r="BI563">
        <v>4.2999999999999901</v>
      </c>
      <c r="BJ563">
        <v>9</v>
      </c>
      <c r="BK563">
        <v>4.5999999999999899</v>
      </c>
      <c r="BL563">
        <v>8.5999999999999908</v>
      </c>
      <c r="BM563">
        <v>65.540000000000006</v>
      </c>
      <c r="BN563">
        <v>6.0999999999999899</v>
      </c>
    </row>
    <row r="564" spans="1:66" x14ac:dyDescent="0.3">
      <c r="A564">
        <v>563</v>
      </c>
      <c r="B564" s="2" t="s">
        <v>430</v>
      </c>
      <c r="C564" s="2" t="s">
        <v>448</v>
      </c>
      <c r="D564">
        <v>65.184678522571005</v>
      </c>
      <c r="E564" s="3">
        <v>45479</v>
      </c>
      <c r="F564" s="1">
        <v>42819</v>
      </c>
      <c r="G564" s="1">
        <v>42519.530428240738</v>
      </c>
      <c r="H564" t="s">
        <v>15</v>
      </c>
      <c r="I564" t="s">
        <v>451</v>
      </c>
      <c r="J564" t="s">
        <v>15</v>
      </c>
      <c r="K564" t="s">
        <v>145</v>
      </c>
      <c r="L564">
        <v>60</v>
      </c>
      <c r="M564" t="s">
        <v>15</v>
      </c>
      <c r="N564" t="s">
        <v>15</v>
      </c>
      <c r="O564" t="s">
        <v>17</v>
      </c>
      <c r="P564" t="s">
        <v>75</v>
      </c>
      <c r="Q564" t="s">
        <v>18</v>
      </c>
      <c r="S564" t="s">
        <v>451</v>
      </c>
      <c r="T564" t="s">
        <v>18</v>
      </c>
      <c r="U564" t="s">
        <v>132</v>
      </c>
      <c r="V564" t="s">
        <v>451</v>
      </c>
      <c r="W564" t="s">
        <v>18</v>
      </c>
      <c r="X564" t="s">
        <v>78</v>
      </c>
      <c r="Y564">
        <v>5.3000001907348597</v>
      </c>
      <c r="Z564">
        <v>3.1199998855590798</v>
      </c>
      <c r="AA564">
        <v>1.29999995231628</v>
      </c>
      <c r="AB564">
        <v>0.980000019073486</v>
      </c>
      <c r="AC564">
        <v>239.08656311035099</v>
      </c>
      <c r="AD564">
        <v>107</v>
      </c>
      <c r="AE564">
        <v>1</v>
      </c>
      <c r="AF564">
        <v>38</v>
      </c>
      <c r="AG564">
        <v>110</v>
      </c>
      <c r="AH564">
        <v>7.4099998474120996</v>
      </c>
      <c r="AI564">
        <v>8</v>
      </c>
      <c r="AJ564">
        <v>13.75</v>
      </c>
      <c r="AK564">
        <v>7.25</v>
      </c>
      <c r="AL564">
        <v>8.6000003814697195</v>
      </c>
      <c r="AM564">
        <v>12.789999961853001</v>
      </c>
      <c r="AN564" t="s">
        <v>832</v>
      </c>
      <c r="AO564">
        <v>92</v>
      </c>
      <c r="AP564">
        <v>30.38710529792575</v>
      </c>
      <c r="AQ564" s="1">
        <v>42887</v>
      </c>
      <c r="AS564" s="1">
        <v>42817.867604548614</v>
      </c>
      <c r="AT564" s="1">
        <v>42817.867604548614</v>
      </c>
      <c r="AU564" s="1">
        <v>42417.638564780093</v>
      </c>
      <c r="AV564" s="1">
        <v>42417.638658449083</v>
      </c>
      <c r="AW564" s="1">
        <v>42817.867604548614</v>
      </c>
      <c r="AX564" s="1"/>
      <c r="AZ564">
        <v>111</v>
      </c>
      <c r="BA564">
        <v>60</v>
      </c>
      <c r="BB564" s="2">
        <v>6</v>
      </c>
      <c r="BC564">
        <f t="shared" si="34"/>
        <v>20.168218401088453</v>
      </c>
      <c r="BD564">
        <v>138</v>
      </c>
      <c r="BE564">
        <v>5.2999999999999901</v>
      </c>
      <c r="BF564">
        <v>3.7999999999999901</v>
      </c>
      <c r="BG564">
        <v>8.6999999999999904</v>
      </c>
      <c r="BH564">
        <v>254</v>
      </c>
      <c r="BI564">
        <v>4.74</v>
      </c>
      <c r="BJ564">
        <v>8</v>
      </c>
      <c r="BK564">
        <v>10.3</v>
      </c>
      <c r="BL564">
        <v>14.3</v>
      </c>
      <c r="BM564">
        <v>12.69</v>
      </c>
      <c r="BN564">
        <v>5.2</v>
      </c>
    </row>
    <row r="565" spans="1:66" x14ac:dyDescent="0.3">
      <c r="A565">
        <v>564</v>
      </c>
      <c r="B565" s="2" t="s">
        <v>430</v>
      </c>
      <c r="C565" s="2" t="s">
        <v>448</v>
      </c>
      <c r="D565">
        <v>82.395288037694897</v>
      </c>
      <c r="E565" s="3"/>
      <c r="F565" s="1">
        <v>44937.477777777778</v>
      </c>
      <c r="G565" s="1">
        <v>44867.376828703702</v>
      </c>
      <c r="H565" t="s">
        <v>17</v>
      </c>
      <c r="I565" t="s">
        <v>451</v>
      </c>
      <c r="J565" t="s">
        <v>14</v>
      </c>
      <c r="L565">
        <v>45</v>
      </c>
      <c r="M565" t="s">
        <v>451</v>
      </c>
      <c r="N565" t="s">
        <v>451</v>
      </c>
      <c r="O565" t="s">
        <v>25</v>
      </c>
      <c r="P565" t="s">
        <v>451</v>
      </c>
      <c r="Q565" t="s">
        <v>18</v>
      </c>
      <c r="S565" t="s">
        <v>451</v>
      </c>
      <c r="T565" t="s">
        <v>19</v>
      </c>
      <c r="V565" t="s">
        <v>451</v>
      </c>
      <c r="W565" t="s">
        <v>18</v>
      </c>
      <c r="Y565">
        <v>6.0100002288818297</v>
      </c>
      <c r="Z565">
        <v>4.7300000190734801</v>
      </c>
      <c r="AA565">
        <v>1.3600000143051101</v>
      </c>
      <c r="AB565">
        <v>0.99000000953674305</v>
      </c>
      <c r="AC565">
        <v>306.1064453125</v>
      </c>
      <c r="AD565">
        <v>173</v>
      </c>
      <c r="AE565">
        <v>1.62000000476837</v>
      </c>
      <c r="AG565">
        <v>56.599998474121001</v>
      </c>
      <c r="AI565">
        <v>3.67000007629394</v>
      </c>
      <c r="AJ565">
        <v>15.420000076293899</v>
      </c>
      <c r="AK565">
        <v>4.8400001525878897</v>
      </c>
      <c r="AL565">
        <v>6.4800000190734801</v>
      </c>
      <c r="AM565">
        <v>8.7299995422363192</v>
      </c>
      <c r="AN565" t="s">
        <v>833</v>
      </c>
      <c r="AO565">
        <v>65.799999999999898</v>
      </c>
      <c r="AP565">
        <v>21.733386180472948</v>
      </c>
      <c r="AQ565" s="1">
        <v>44866</v>
      </c>
      <c r="AS565" s="1">
        <v>42407.873096030089</v>
      </c>
      <c r="AT565" s="1"/>
      <c r="AU565" s="1">
        <v>42407.85577962963</v>
      </c>
      <c r="AV565" s="1">
        <v>42407.85577962963</v>
      </c>
      <c r="AW565" s="1"/>
      <c r="AX565" s="1"/>
      <c r="AZ565">
        <v>144</v>
      </c>
      <c r="BA565">
        <v>67</v>
      </c>
      <c r="BB565" s="2">
        <v>4</v>
      </c>
      <c r="BC565">
        <f t="shared" si="34"/>
        <v>7.8926995817084702</v>
      </c>
      <c r="BD565">
        <v>133</v>
      </c>
      <c r="BE565">
        <v>3.7</v>
      </c>
      <c r="BF565">
        <v>3</v>
      </c>
      <c r="BG565">
        <v>9.5999999999999908</v>
      </c>
      <c r="BH565">
        <v>262</v>
      </c>
      <c r="BI565">
        <v>6.6699999999999902</v>
      </c>
      <c r="BJ565">
        <v>8.0999999999999908</v>
      </c>
      <c r="BK565">
        <v>7.5</v>
      </c>
      <c r="BL565">
        <v>11.1999999999999</v>
      </c>
      <c r="BM565">
        <v>131.08000000000001</v>
      </c>
      <c r="BN565">
        <v>6.4</v>
      </c>
    </row>
    <row r="566" spans="1:66" x14ac:dyDescent="0.3">
      <c r="A566">
        <v>565</v>
      </c>
      <c r="B566" s="2" t="s">
        <v>434</v>
      </c>
      <c r="C566" s="2" t="s">
        <v>449</v>
      </c>
      <c r="D566">
        <v>75.808481532146899</v>
      </c>
      <c r="E566" s="3"/>
      <c r="F566" s="1">
        <v>45512</v>
      </c>
      <c r="G566" s="1">
        <v>45278.737569444442</v>
      </c>
      <c r="H566" t="s">
        <v>15</v>
      </c>
      <c r="I566" t="s">
        <v>78</v>
      </c>
      <c r="J566" t="s">
        <v>15</v>
      </c>
      <c r="L566">
        <v>60</v>
      </c>
      <c r="M566" t="s">
        <v>15</v>
      </c>
      <c r="N566" t="s">
        <v>15</v>
      </c>
      <c r="O566" t="s">
        <v>17</v>
      </c>
      <c r="P566" t="s">
        <v>75</v>
      </c>
      <c r="Q566" t="s">
        <v>19</v>
      </c>
      <c r="R566" t="s">
        <v>498</v>
      </c>
      <c r="S566" t="s">
        <v>451</v>
      </c>
      <c r="T566" t="s">
        <v>18</v>
      </c>
      <c r="V566" t="s">
        <v>451</v>
      </c>
      <c r="W566" t="s">
        <v>23</v>
      </c>
      <c r="X566" t="s">
        <v>90</v>
      </c>
      <c r="Y566">
        <v>4.1900000572204501</v>
      </c>
      <c r="Z566">
        <v>2.3900001049041699</v>
      </c>
      <c r="AA566">
        <v>1.3400000333786</v>
      </c>
      <c r="AB566">
        <v>0.95999997854232699</v>
      </c>
      <c r="AC566">
        <v>166.83309936523401</v>
      </c>
      <c r="AD566">
        <v>104</v>
      </c>
      <c r="AE566">
        <v>1</v>
      </c>
      <c r="AF566">
        <v>60</v>
      </c>
      <c r="AN566" t="s">
        <v>834</v>
      </c>
      <c r="AO566">
        <v>60.1</v>
      </c>
      <c r="AP566">
        <v>153.36483989833519</v>
      </c>
      <c r="AS566" s="1">
        <v>45414.529448530091</v>
      </c>
      <c r="AT566" s="1"/>
      <c r="AU566" s="1">
        <v>41569.550276307869</v>
      </c>
      <c r="AV566" s="1"/>
      <c r="AW566" s="1">
        <v>41569.550276307869</v>
      </c>
      <c r="AX566" s="1"/>
      <c r="AY566" t="s">
        <v>21</v>
      </c>
      <c r="BB566" s="5">
        <v>0</v>
      </c>
      <c r="BC566">
        <f t="shared" si="34"/>
        <v>10.245140906941712</v>
      </c>
      <c r="BD566">
        <v>139</v>
      </c>
      <c r="BE566">
        <v>4.5</v>
      </c>
      <c r="BF566">
        <v>3.5</v>
      </c>
      <c r="BG566">
        <v>8.9</v>
      </c>
      <c r="BH566">
        <v>110</v>
      </c>
      <c r="BI566">
        <v>5.23</v>
      </c>
      <c r="BJ566">
        <v>7.7999999999999901</v>
      </c>
      <c r="BK566">
        <v>7.0999999999999899</v>
      </c>
      <c r="BL566">
        <v>6</v>
      </c>
      <c r="BM566">
        <v>2.52999999999999</v>
      </c>
      <c r="BN566">
        <v>5</v>
      </c>
    </row>
    <row r="567" spans="1:66" x14ac:dyDescent="0.3">
      <c r="A567">
        <v>566</v>
      </c>
      <c r="B567" s="2" t="s">
        <v>430</v>
      </c>
      <c r="C567" s="2" t="s">
        <v>448</v>
      </c>
      <c r="D567">
        <v>63.425444596443</v>
      </c>
      <c r="E567" s="3">
        <v>44604</v>
      </c>
      <c r="F567" s="1">
        <v>44519</v>
      </c>
      <c r="G567" s="1">
        <v>44518.533692129633</v>
      </c>
      <c r="H567" t="s">
        <v>17</v>
      </c>
      <c r="I567" t="s">
        <v>451</v>
      </c>
      <c r="J567" t="s">
        <v>35</v>
      </c>
      <c r="L567">
        <v>20</v>
      </c>
      <c r="M567" t="s">
        <v>79</v>
      </c>
      <c r="N567" t="s">
        <v>28</v>
      </c>
      <c r="O567" t="s">
        <v>17</v>
      </c>
      <c r="P567" t="s">
        <v>451</v>
      </c>
      <c r="Q567" t="s">
        <v>451</v>
      </c>
      <c r="S567" t="s">
        <v>451</v>
      </c>
      <c r="T567" t="s">
        <v>23</v>
      </c>
      <c r="V567" t="s">
        <v>451</v>
      </c>
      <c r="W567" t="s">
        <v>34</v>
      </c>
      <c r="X567" t="s">
        <v>90</v>
      </c>
      <c r="Y567">
        <v>6.0999999046325604</v>
      </c>
      <c r="Z567">
        <v>5.6999998092651296</v>
      </c>
      <c r="AA567">
        <v>1.1000000238418499</v>
      </c>
      <c r="AB567">
        <v>0.89999997615814198</v>
      </c>
      <c r="AC567">
        <v>253.910720825195</v>
      </c>
      <c r="AD567">
        <v>133</v>
      </c>
      <c r="AE567">
        <v>2.5599999427795401</v>
      </c>
      <c r="AF567">
        <v>61</v>
      </c>
      <c r="AG567">
        <v>77.599998474120994</v>
      </c>
      <c r="AI567">
        <v>2.8399999141693102</v>
      </c>
      <c r="AJ567">
        <v>27.319999694824201</v>
      </c>
      <c r="AK567">
        <v>4.0500001907348597</v>
      </c>
      <c r="AL567">
        <v>4.9499998092651296</v>
      </c>
      <c r="AM567">
        <v>15.6800003051757</v>
      </c>
      <c r="AN567" t="s">
        <v>835</v>
      </c>
      <c r="AO567">
        <v>79.900000000000006</v>
      </c>
      <c r="AP567">
        <v>270078.42076798272</v>
      </c>
      <c r="AQ567" s="1">
        <v>35065</v>
      </c>
      <c r="AR567" s="1">
        <v>35431</v>
      </c>
      <c r="AS567" s="1">
        <v>42355.614243206022</v>
      </c>
      <c r="AT567" s="1">
        <v>44518.824644131942</v>
      </c>
      <c r="AU567" s="1">
        <v>42355.614243206022</v>
      </c>
      <c r="AV567" s="1">
        <v>42355.614243206022</v>
      </c>
      <c r="AW567" s="1"/>
      <c r="AX567" s="1"/>
      <c r="AZ567">
        <v>139</v>
      </c>
      <c r="BA567">
        <v>65</v>
      </c>
      <c r="BB567" s="2">
        <v>0</v>
      </c>
      <c r="BC567">
        <f t="shared" si="34"/>
        <v>19.225449273328994</v>
      </c>
      <c r="BD567">
        <v>142</v>
      </c>
      <c r="BE567">
        <v>4.7</v>
      </c>
      <c r="BF567">
        <v>3.3999999999999901</v>
      </c>
      <c r="BG567">
        <v>10.4</v>
      </c>
      <c r="BH567">
        <v>110</v>
      </c>
      <c r="BI567">
        <v>4.4199999999999902</v>
      </c>
      <c r="BJ567">
        <v>8.8000000000000007</v>
      </c>
      <c r="BK567">
        <v>5.2</v>
      </c>
      <c r="BL567">
        <v>6.0999999999999899</v>
      </c>
      <c r="BM567">
        <v>43.74</v>
      </c>
      <c r="BN567">
        <v>7.5999999999999899</v>
      </c>
    </row>
    <row r="568" spans="1:66" x14ac:dyDescent="0.3">
      <c r="A568">
        <v>567</v>
      </c>
      <c r="B568" s="2" t="s">
        <v>430</v>
      </c>
      <c r="C568" s="2" t="s">
        <v>448</v>
      </c>
      <c r="D568">
        <v>80.777017783857005</v>
      </c>
      <c r="E568" s="3">
        <v>44151</v>
      </c>
      <c r="F568" s="1">
        <v>42949</v>
      </c>
      <c r="G568" s="1">
        <v>42677.669166666667</v>
      </c>
      <c r="H568" t="s">
        <v>15</v>
      </c>
      <c r="I568" t="s">
        <v>78</v>
      </c>
      <c r="J568" t="s">
        <v>453</v>
      </c>
      <c r="L568">
        <v>50</v>
      </c>
      <c r="M568" t="s">
        <v>79</v>
      </c>
      <c r="N568" t="s">
        <v>35</v>
      </c>
      <c r="O568" t="s">
        <v>25</v>
      </c>
      <c r="P568" t="s">
        <v>75</v>
      </c>
      <c r="Q568" t="s">
        <v>18</v>
      </c>
      <c r="S568" t="s">
        <v>451</v>
      </c>
      <c r="T568" t="s">
        <v>19</v>
      </c>
      <c r="V568" t="s">
        <v>15</v>
      </c>
      <c r="W568" t="s">
        <v>19</v>
      </c>
      <c r="Y568">
        <v>5.8000001907348597</v>
      </c>
      <c r="Z568">
        <v>4.1999998092651296</v>
      </c>
      <c r="AA568">
        <v>1.3899999856948799</v>
      </c>
      <c r="AB568">
        <v>1.1000000238418499</v>
      </c>
      <c r="AC568">
        <v>312.27618408203102</v>
      </c>
      <c r="AD568">
        <v>143</v>
      </c>
      <c r="AE568">
        <v>1</v>
      </c>
      <c r="AG568">
        <v>90.800003051757798</v>
      </c>
      <c r="AH568">
        <v>5.3499999046325604</v>
      </c>
      <c r="AI568">
        <v>7.5199999809265101</v>
      </c>
      <c r="AJ568">
        <v>12.069999694824199</v>
      </c>
      <c r="AK568">
        <v>6.2699999809265101</v>
      </c>
      <c r="AL568">
        <v>11.699999809265099</v>
      </c>
      <c r="AM568">
        <v>7.7600002288818297</v>
      </c>
      <c r="AN568" t="s">
        <v>836</v>
      </c>
      <c r="AO568">
        <v>90</v>
      </c>
      <c r="AP568">
        <v>27.777777777777779</v>
      </c>
      <c r="AR568" s="1">
        <v>32874</v>
      </c>
      <c r="AS568" s="1">
        <v>40337.965563807869</v>
      </c>
      <c r="AT568" s="1">
        <v>39976.568375312498</v>
      </c>
      <c r="AU568" s="1">
        <v>40356.411479826391</v>
      </c>
      <c r="AV568" s="1"/>
      <c r="AW568" s="1">
        <v>40356.411513194442</v>
      </c>
      <c r="AX568" s="1"/>
      <c r="AY568" t="s">
        <v>21</v>
      </c>
      <c r="AZ568">
        <v>117</v>
      </c>
      <c r="BA568">
        <v>79</v>
      </c>
      <c r="BB568" s="2">
        <v>4</v>
      </c>
      <c r="BC568">
        <f t="shared" si="34"/>
        <v>10.822913416692815</v>
      </c>
      <c r="BD568">
        <v>142</v>
      </c>
      <c r="BE568">
        <v>4.5999999999999899</v>
      </c>
      <c r="BF568">
        <v>2.7</v>
      </c>
      <c r="BG568">
        <v>10.9</v>
      </c>
      <c r="BH568">
        <v>339</v>
      </c>
      <c r="BI568">
        <v>6.8399999999999901</v>
      </c>
      <c r="BJ568">
        <v>8.0999999999999908</v>
      </c>
      <c r="BK568">
        <v>7.2999999999999901</v>
      </c>
      <c r="BL568">
        <v>13.1</v>
      </c>
      <c r="BM568">
        <v>232.49</v>
      </c>
      <c r="BN568">
        <v>5.9</v>
      </c>
    </row>
    <row r="569" spans="1:66" x14ac:dyDescent="0.3">
      <c r="A569">
        <v>568</v>
      </c>
      <c r="B569" s="2" t="s">
        <v>430</v>
      </c>
      <c r="C569" s="2" t="s">
        <v>448</v>
      </c>
      <c r="D569">
        <v>80.350205198357898</v>
      </c>
      <c r="E569" s="3">
        <v>45504</v>
      </c>
      <c r="F569" s="1">
        <v>45440</v>
      </c>
      <c r="G569" s="1">
        <v>45140.818622685183</v>
      </c>
      <c r="H569" t="s">
        <v>15</v>
      </c>
      <c r="I569" t="s">
        <v>78</v>
      </c>
      <c r="J569" t="s">
        <v>15</v>
      </c>
      <c r="L569">
        <v>60</v>
      </c>
      <c r="M569" t="s">
        <v>17</v>
      </c>
      <c r="N569" t="s">
        <v>15</v>
      </c>
      <c r="O569" t="s">
        <v>17</v>
      </c>
      <c r="P569" t="s">
        <v>124</v>
      </c>
      <c r="Q569" t="s">
        <v>19</v>
      </c>
      <c r="R569" t="s">
        <v>494</v>
      </c>
      <c r="S569" t="s">
        <v>451</v>
      </c>
      <c r="T569" t="s">
        <v>19</v>
      </c>
      <c r="U569" t="s">
        <v>529</v>
      </c>
      <c r="V569" t="s">
        <v>451</v>
      </c>
      <c r="W569" t="s">
        <v>19</v>
      </c>
      <c r="X569" t="s">
        <v>78</v>
      </c>
      <c r="Y569">
        <v>4.8000001907348597</v>
      </c>
      <c r="Z569">
        <v>2.5999999046325599</v>
      </c>
      <c r="AA569">
        <v>1.3999999761581401</v>
      </c>
      <c r="AB569">
        <v>1.29999995231628</v>
      </c>
      <c r="AC569">
        <v>259.58746337890602</v>
      </c>
      <c r="AD569">
        <v>154</v>
      </c>
      <c r="AE569">
        <v>1</v>
      </c>
      <c r="AF569">
        <v>40</v>
      </c>
      <c r="AG569">
        <v>112</v>
      </c>
      <c r="AI569">
        <v>4.3499999046325604</v>
      </c>
      <c r="AJ569">
        <v>25.75</v>
      </c>
      <c r="AL569">
        <v>6.7399997711181596</v>
      </c>
      <c r="AM569">
        <v>16.620000839233299</v>
      </c>
      <c r="AN569" t="s">
        <v>837</v>
      </c>
      <c r="AS569" s="1">
        <v>44919.543446643518</v>
      </c>
      <c r="AT569" s="1"/>
      <c r="AU569" s="1">
        <v>40601.505414664352</v>
      </c>
      <c r="AV569" s="1">
        <v>40601.505414664352</v>
      </c>
      <c r="AW569" s="1">
        <v>44895.408993136567</v>
      </c>
      <c r="AX569" s="1"/>
      <c r="AZ569">
        <v>176</v>
      </c>
      <c r="BA569">
        <v>83</v>
      </c>
      <c r="BB569" s="2">
        <v>0</v>
      </c>
      <c r="BC569">
        <v>9.8000000000000007</v>
      </c>
      <c r="BD569">
        <v>129</v>
      </c>
      <c r="BE569">
        <v>5.7</v>
      </c>
      <c r="BF569">
        <v>2</v>
      </c>
      <c r="BG569">
        <v>11.3</v>
      </c>
      <c r="BH569">
        <v>222</v>
      </c>
      <c r="BI569">
        <v>5.7</v>
      </c>
      <c r="BJ569">
        <v>7.7999999999999901</v>
      </c>
      <c r="BK569">
        <v>6.7999999999999901</v>
      </c>
      <c r="BL569">
        <v>6.7</v>
      </c>
      <c r="BM569">
        <v>69.7</v>
      </c>
      <c r="BN569">
        <v>7.7999999999999901</v>
      </c>
    </row>
    <row r="570" spans="1:66" x14ac:dyDescent="0.3">
      <c r="A570">
        <v>569</v>
      </c>
      <c r="B570" s="2" t="s">
        <v>430</v>
      </c>
      <c r="C570" s="2" t="s">
        <v>448</v>
      </c>
      <c r="D570">
        <v>80.027359781121007</v>
      </c>
      <c r="E570" s="3">
        <v>45352</v>
      </c>
      <c r="F570" s="1">
        <v>44227</v>
      </c>
      <c r="G570" s="1">
        <v>44180.529618055552</v>
      </c>
      <c r="H570" t="s">
        <v>15</v>
      </c>
      <c r="I570" t="s">
        <v>78</v>
      </c>
      <c r="J570" t="s">
        <v>15</v>
      </c>
      <c r="L570">
        <v>60</v>
      </c>
      <c r="M570" t="s">
        <v>451</v>
      </c>
      <c r="N570" t="s">
        <v>451</v>
      </c>
      <c r="O570" t="s">
        <v>15</v>
      </c>
      <c r="P570" t="s">
        <v>75</v>
      </c>
      <c r="Q570" t="s">
        <v>451</v>
      </c>
      <c r="S570" t="s">
        <v>451</v>
      </c>
      <c r="T570" t="s">
        <v>18</v>
      </c>
      <c r="U570" t="s">
        <v>96</v>
      </c>
      <c r="V570" t="s">
        <v>451</v>
      </c>
      <c r="W570" t="s">
        <v>18</v>
      </c>
      <c r="X570" t="s">
        <v>78</v>
      </c>
      <c r="Y570">
        <v>4.5999999046325604</v>
      </c>
      <c r="Z570">
        <v>3</v>
      </c>
      <c r="AA570">
        <v>1.20000004768371</v>
      </c>
      <c r="AB570">
        <v>1.1000000238418499</v>
      </c>
      <c r="AC570">
        <v>192.935943603515</v>
      </c>
      <c r="AE570">
        <v>1</v>
      </c>
      <c r="AF570">
        <v>41</v>
      </c>
      <c r="AG570">
        <v>115</v>
      </c>
      <c r="AH570">
        <v>4</v>
      </c>
      <c r="AI570">
        <v>5</v>
      </c>
      <c r="AJ570">
        <v>23</v>
      </c>
      <c r="AK570">
        <v>8</v>
      </c>
      <c r="AL570">
        <v>6</v>
      </c>
      <c r="AM570">
        <v>19.170000076293899</v>
      </c>
      <c r="AN570" t="s">
        <v>838</v>
      </c>
      <c r="AO570">
        <v>78</v>
      </c>
      <c r="AP570">
        <v>24.618103774775914</v>
      </c>
      <c r="AQ570" s="1">
        <v>36526</v>
      </c>
      <c r="AS570" s="1">
        <v>44176.147864733794</v>
      </c>
      <c r="AT570" s="1"/>
      <c r="AU570" s="1">
        <v>44176.147864733794</v>
      </c>
      <c r="AV570" s="1"/>
      <c r="AW570" s="1"/>
      <c r="AX570" s="1">
        <v>42150.133202743047</v>
      </c>
      <c r="AZ570">
        <v>138</v>
      </c>
      <c r="BA570">
        <v>51</v>
      </c>
      <c r="BB570" s="2">
        <v>1</v>
      </c>
      <c r="BC570">
        <f>(140-D570)*AO570/(72*BI570)</f>
        <v>15.432389605016368</v>
      </c>
      <c r="BD570">
        <v>134</v>
      </c>
      <c r="BE570">
        <v>6.7999999999999901</v>
      </c>
      <c r="BF570">
        <v>2.3999999999999901</v>
      </c>
      <c r="BG570">
        <v>8.5999999999999908</v>
      </c>
      <c r="BH570">
        <v>249</v>
      </c>
      <c r="BI570">
        <v>4.21</v>
      </c>
      <c r="BJ570">
        <v>8</v>
      </c>
      <c r="BK570">
        <v>10.5</v>
      </c>
      <c r="BL570">
        <v>9.3000000000000007</v>
      </c>
      <c r="BM570">
        <v>304.41000000000003</v>
      </c>
      <c r="BN570">
        <v>5.0999999999999899</v>
      </c>
    </row>
    <row r="571" spans="1:66" x14ac:dyDescent="0.3">
      <c r="A571">
        <v>570</v>
      </c>
      <c r="B571" s="2" t="s">
        <v>434</v>
      </c>
      <c r="C571" s="2" t="s">
        <v>448</v>
      </c>
      <c r="D571">
        <v>74.358413132693997</v>
      </c>
      <c r="E571" s="3">
        <v>43374</v>
      </c>
      <c r="F571" s="1">
        <v>43250</v>
      </c>
      <c r="G571" s="1">
        <v>43110.481678240743</v>
      </c>
      <c r="H571" t="s">
        <v>17</v>
      </c>
      <c r="I571" t="s">
        <v>78</v>
      </c>
      <c r="J571" t="s">
        <v>28</v>
      </c>
      <c r="L571">
        <v>35</v>
      </c>
      <c r="M571" t="s">
        <v>79</v>
      </c>
      <c r="N571" t="s">
        <v>28</v>
      </c>
      <c r="O571" t="s">
        <v>25</v>
      </c>
      <c r="P571" t="s">
        <v>451</v>
      </c>
      <c r="Q571" t="s">
        <v>19</v>
      </c>
      <c r="S571" t="s">
        <v>451</v>
      </c>
      <c r="T571" t="s">
        <v>29</v>
      </c>
      <c r="V571" t="s">
        <v>451</v>
      </c>
      <c r="W571" t="s">
        <v>29</v>
      </c>
      <c r="X571" t="s">
        <v>87</v>
      </c>
      <c r="Y571">
        <v>5.8000001907348597</v>
      </c>
      <c r="Z571">
        <v>4.5</v>
      </c>
      <c r="AA571">
        <v>1.29999995231628</v>
      </c>
      <c r="AB571">
        <v>1.20000004768371</v>
      </c>
      <c r="AC571">
        <v>313.99359130859301</v>
      </c>
      <c r="AE571">
        <v>1</v>
      </c>
      <c r="AF571">
        <v>50</v>
      </c>
      <c r="AG571">
        <v>79</v>
      </c>
      <c r="AH571">
        <v>6</v>
      </c>
      <c r="AI571">
        <v>8</v>
      </c>
      <c r="AJ571">
        <v>9.8800001144409109</v>
      </c>
      <c r="AK571">
        <v>4</v>
      </c>
      <c r="AL571">
        <v>10</v>
      </c>
      <c r="AM571">
        <v>7.9000000953674299</v>
      </c>
      <c r="AN571" t="s">
        <v>839</v>
      </c>
      <c r="AS571" s="1"/>
      <c r="AT571" s="1">
        <v>41027.763074849543</v>
      </c>
      <c r="AU571" s="1"/>
      <c r="AV571" s="1">
        <v>39988.415321296299</v>
      </c>
      <c r="AW571" s="1"/>
      <c r="AX571" s="1"/>
      <c r="AZ571">
        <v>108</v>
      </c>
      <c r="BA571">
        <v>71</v>
      </c>
      <c r="BB571" s="2">
        <v>0</v>
      </c>
      <c r="BC571">
        <v>23.6</v>
      </c>
      <c r="BD571">
        <v>141</v>
      </c>
      <c r="BE571">
        <v>4.7</v>
      </c>
      <c r="BF571">
        <v>2.3999999999999901</v>
      </c>
      <c r="BH571">
        <v>377</v>
      </c>
      <c r="BI571">
        <v>2.66</v>
      </c>
      <c r="BJ571">
        <v>6.7999999999999901</v>
      </c>
      <c r="BK571">
        <v>7.7999999999999901</v>
      </c>
      <c r="BL571">
        <v>8.6999999999999904</v>
      </c>
      <c r="BM571">
        <v>30.68</v>
      </c>
      <c r="BN571">
        <v>7.4</v>
      </c>
    </row>
    <row r="572" spans="1:66" x14ac:dyDescent="0.3">
      <c r="A572">
        <v>571</v>
      </c>
      <c r="B572" s="2" t="s">
        <v>434</v>
      </c>
      <c r="C572" s="2" t="s">
        <v>448</v>
      </c>
      <c r="D572">
        <v>69.871409028727001</v>
      </c>
      <c r="E572" s="3">
        <v>42226.496527777781</v>
      </c>
      <c r="F572" s="1">
        <v>41976</v>
      </c>
      <c r="G572" s="1">
        <v>41631.604583333326</v>
      </c>
      <c r="H572" t="s">
        <v>31</v>
      </c>
      <c r="I572" t="s">
        <v>78</v>
      </c>
      <c r="J572" t="s">
        <v>35</v>
      </c>
      <c r="L572">
        <v>10</v>
      </c>
      <c r="M572" t="s">
        <v>17</v>
      </c>
      <c r="N572" t="s">
        <v>14</v>
      </c>
      <c r="O572" t="s">
        <v>31</v>
      </c>
      <c r="P572" t="s">
        <v>126</v>
      </c>
      <c r="Q572" t="s">
        <v>451</v>
      </c>
      <c r="R572" t="s">
        <v>491</v>
      </c>
      <c r="S572" t="s">
        <v>126</v>
      </c>
      <c r="T572" t="s">
        <v>18</v>
      </c>
      <c r="V572" t="s">
        <v>451</v>
      </c>
      <c r="W572" t="s">
        <v>23</v>
      </c>
      <c r="X572" t="s">
        <v>87</v>
      </c>
      <c r="Y572">
        <v>7.1999998092651296</v>
      </c>
      <c r="Z572">
        <v>6.8000001907348597</v>
      </c>
      <c r="AA572">
        <v>1.20000004768371</v>
      </c>
      <c r="AB572">
        <v>0.80000001192092796</v>
      </c>
      <c r="AC572">
        <v>337.92608642578102</v>
      </c>
      <c r="AD572">
        <v>174</v>
      </c>
      <c r="AE572">
        <v>1</v>
      </c>
      <c r="AF572">
        <v>51</v>
      </c>
      <c r="AG572">
        <v>150</v>
      </c>
      <c r="AN572" t="s">
        <v>840</v>
      </c>
      <c r="AO572">
        <v>87</v>
      </c>
      <c r="AP572">
        <v>30.82482993197279</v>
      </c>
      <c r="AQ572" s="1">
        <v>42226</v>
      </c>
      <c r="AS572" s="1">
        <v>41043.719513888893</v>
      </c>
      <c r="AT572" s="1"/>
      <c r="AU572" s="1">
        <v>40342.439751238417</v>
      </c>
      <c r="AV572" s="1"/>
      <c r="AW572" s="1">
        <v>41046.616242245371</v>
      </c>
      <c r="AX572" s="1"/>
      <c r="BB572" s="2">
        <v>7</v>
      </c>
      <c r="BC572">
        <f t="shared" ref="BC572:BC588" si="35">(140-D572)*AO572/(72*BI572)</f>
        <v>50.141250940999228</v>
      </c>
      <c r="BD572">
        <v>141</v>
      </c>
      <c r="BE572">
        <v>4</v>
      </c>
      <c r="BF572">
        <v>2.8999999999999901</v>
      </c>
      <c r="BG572">
        <v>8.3000000000000007</v>
      </c>
      <c r="BH572">
        <v>174</v>
      </c>
      <c r="BI572">
        <v>1.68999999999999</v>
      </c>
      <c r="BJ572">
        <v>8.5</v>
      </c>
      <c r="BK572">
        <v>3.6</v>
      </c>
      <c r="BL572">
        <v>10.1999999999999</v>
      </c>
      <c r="BM572">
        <v>24.489999999999899</v>
      </c>
      <c r="BN572">
        <v>5.7</v>
      </c>
    </row>
    <row r="573" spans="1:66" x14ac:dyDescent="0.3">
      <c r="A573">
        <v>572</v>
      </c>
      <c r="B573" s="2" t="s">
        <v>430</v>
      </c>
      <c r="C573" s="2" t="s">
        <v>448</v>
      </c>
      <c r="D573">
        <v>66.383036935703899</v>
      </c>
      <c r="E573" s="3">
        <v>42901.520833333343</v>
      </c>
      <c r="F573" s="1">
        <v>42601</v>
      </c>
      <c r="G573" s="1">
        <v>42599.439212962963</v>
      </c>
      <c r="H573" t="s">
        <v>17</v>
      </c>
      <c r="I573" t="s">
        <v>78</v>
      </c>
      <c r="J573" t="s">
        <v>15</v>
      </c>
      <c r="L573">
        <v>60</v>
      </c>
      <c r="M573" t="s">
        <v>15</v>
      </c>
      <c r="N573" t="s">
        <v>15</v>
      </c>
      <c r="O573" t="s">
        <v>17</v>
      </c>
      <c r="P573" t="s">
        <v>451</v>
      </c>
      <c r="Q573" t="s">
        <v>451</v>
      </c>
      <c r="S573" t="s">
        <v>451</v>
      </c>
      <c r="T573" t="s">
        <v>19</v>
      </c>
      <c r="V573" t="s">
        <v>451</v>
      </c>
      <c r="W573" t="s">
        <v>18</v>
      </c>
      <c r="X573" t="s">
        <v>15</v>
      </c>
      <c r="Y573">
        <v>5.5</v>
      </c>
      <c r="Z573">
        <v>3.4000000953674299</v>
      </c>
      <c r="AA573">
        <v>1.3999999761581401</v>
      </c>
      <c r="AB573">
        <v>0.92000001668929998</v>
      </c>
      <c r="AC573">
        <v>260.04818725585898</v>
      </c>
      <c r="AD573">
        <v>123</v>
      </c>
      <c r="AE573">
        <v>1.0599999427795399</v>
      </c>
      <c r="AF573">
        <v>27</v>
      </c>
      <c r="AG573">
        <v>102</v>
      </c>
      <c r="AH573">
        <v>5.63000011444091</v>
      </c>
      <c r="AI573">
        <v>3.8399999141693102</v>
      </c>
      <c r="AJ573">
        <v>26.559999465942301</v>
      </c>
      <c r="AK573">
        <v>9.3000001907348597</v>
      </c>
      <c r="AL573">
        <v>7.1900000572204501</v>
      </c>
      <c r="AM573">
        <v>14.189999580383301</v>
      </c>
      <c r="AN573" t="s">
        <v>841</v>
      </c>
      <c r="AO573">
        <v>87</v>
      </c>
      <c r="AP573">
        <v>29.068796150890442</v>
      </c>
      <c r="AR573" s="1">
        <v>40544</v>
      </c>
      <c r="AS573" s="1">
        <v>40615.660104166673</v>
      </c>
      <c r="AT573" s="1"/>
      <c r="AU573" s="1">
        <v>40615.660104166673</v>
      </c>
      <c r="AV573" s="1">
        <v>40622.679923229167</v>
      </c>
      <c r="AW573" s="1"/>
      <c r="AX573" s="1"/>
      <c r="AZ573">
        <v>174</v>
      </c>
      <c r="BA573">
        <v>72</v>
      </c>
      <c r="BB573" s="2">
        <v>6</v>
      </c>
      <c r="BC573">
        <f t="shared" si="35"/>
        <v>12.08611825670622</v>
      </c>
      <c r="BD573">
        <v>134</v>
      </c>
      <c r="BE573">
        <v>3.6</v>
      </c>
      <c r="BF573">
        <v>3.2999999999999901</v>
      </c>
      <c r="BH573">
        <v>143</v>
      </c>
      <c r="BI573">
        <v>7.36</v>
      </c>
      <c r="BJ573">
        <v>7.5999999999999899</v>
      </c>
      <c r="BK573">
        <v>6.5999999999999899</v>
      </c>
      <c r="BL573">
        <v>9.8000000000000007</v>
      </c>
      <c r="BM573">
        <v>50.939999999999898</v>
      </c>
      <c r="BN573">
        <v>7.9</v>
      </c>
    </row>
    <row r="574" spans="1:66" x14ac:dyDescent="0.3">
      <c r="A574">
        <v>573</v>
      </c>
      <c r="B574" s="2" t="s">
        <v>430</v>
      </c>
      <c r="C574" s="2" t="s">
        <v>448</v>
      </c>
      <c r="D574">
        <v>77.868673050615001</v>
      </c>
      <c r="E574" s="3">
        <v>42307.616666666669</v>
      </c>
      <c r="F574" s="1">
        <v>41647</v>
      </c>
      <c r="G574" s="1">
        <v>41646.399004629631</v>
      </c>
      <c r="H574" t="s">
        <v>15</v>
      </c>
      <c r="I574" t="s">
        <v>78</v>
      </c>
      <c r="J574" t="s">
        <v>15</v>
      </c>
      <c r="L574">
        <v>60</v>
      </c>
      <c r="M574" t="s">
        <v>451</v>
      </c>
      <c r="N574" t="s">
        <v>451</v>
      </c>
      <c r="O574" t="s">
        <v>25</v>
      </c>
      <c r="P574" t="s">
        <v>75</v>
      </c>
      <c r="Q574" t="s">
        <v>18</v>
      </c>
      <c r="R574" t="s">
        <v>493</v>
      </c>
      <c r="S574" t="s">
        <v>451</v>
      </c>
      <c r="T574" t="s">
        <v>29</v>
      </c>
      <c r="U574" t="s">
        <v>96</v>
      </c>
      <c r="V574" t="s">
        <v>451</v>
      </c>
      <c r="W574" t="s">
        <v>23</v>
      </c>
      <c r="X574" t="s">
        <v>90</v>
      </c>
      <c r="Y574">
        <v>5.5999999046325604</v>
      </c>
      <c r="Z574">
        <v>3.4000000953674299</v>
      </c>
      <c r="AA574">
        <v>1.3999999761581401</v>
      </c>
      <c r="AB574">
        <v>1.20000004768371</v>
      </c>
      <c r="AC574">
        <v>313.22567749023398</v>
      </c>
      <c r="AD574">
        <v>159</v>
      </c>
      <c r="AE574">
        <v>1</v>
      </c>
      <c r="AF574">
        <v>81</v>
      </c>
      <c r="AG574">
        <v>151</v>
      </c>
      <c r="AH574">
        <v>5</v>
      </c>
      <c r="AI574">
        <v>6</v>
      </c>
      <c r="AJ574">
        <v>25.170000076293899</v>
      </c>
      <c r="AK574">
        <v>7</v>
      </c>
      <c r="AL574">
        <v>7</v>
      </c>
      <c r="AM574">
        <v>21.569999694824201</v>
      </c>
      <c r="AN574" t="s">
        <v>842</v>
      </c>
      <c r="AO574">
        <v>94</v>
      </c>
      <c r="AP574">
        <v>34.527089072543617</v>
      </c>
      <c r="AQ574" s="1">
        <v>41640</v>
      </c>
      <c r="AS574" s="1">
        <v>39790.580468946762</v>
      </c>
      <c r="AT574" s="1"/>
      <c r="AU574" s="1">
        <v>39790.579630868058</v>
      </c>
      <c r="AV574" s="1">
        <v>39790.579522534717</v>
      </c>
      <c r="AW574" s="1"/>
      <c r="AX574" s="1">
        <v>41644.574342210653</v>
      </c>
      <c r="AZ574">
        <v>141</v>
      </c>
      <c r="BA574">
        <v>81</v>
      </c>
      <c r="BB574" s="2">
        <v>4</v>
      </c>
      <c r="BC574">
        <f t="shared" si="35"/>
        <v>16.288333147150237</v>
      </c>
      <c r="BD574">
        <v>132</v>
      </c>
      <c r="BE574">
        <v>4.9000000000000004</v>
      </c>
      <c r="BF574">
        <v>3.6</v>
      </c>
      <c r="BG574">
        <v>10.3</v>
      </c>
      <c r="BH574">
        <v>245</v>
      </c>
      <c r="BI574">
        <v>4.9800000000000004</v>
      </c>
      <c r="BJ574">
        <v>8.5999999999999908</v>
      </c>
      <c r="BK574">
        <v>7.2999999999999901</v>
      </c>
      <c r="BL574">
        <v>10.1999999999999</v>
      </c>
      <c r="BM574">
        <v>47.78</v>
      </c>
      <c r="BN574">
        <v>8.5999999999999908</v>
      </c>
    </row>
    <row r="575" spans="1:66" x14ac:dyDescent="0.3">
      <c r="A575">
        <v>574</v>
      </c>
      <c r="B575" s="2" t="s">
        <v>434</v>
      </c>
      <c r="C575" s="2" t="s">
        <v>448</v>
      </c>
      <c r="D575">
        <v>75.027291381667894</v>
      </c>
      <c r="E575" s="3"/>
      <c r="F575" s="1">
        <v>45321.474999999999</v>
      </c>
      <c r="G575" s="1">
        <v>45065.432916666658</v>
      </c>
      <c r="H575" t="s">
        <v>15</v>
      </c>
      <c r="I575" t="s">
        <v>78</v>
      </c>
      <c r="J575" t="s">
        <v>30</v>
      </c>
      <c r="L575">
        <v>30</v>
      </c>
      <c r="M575" t="s">
        <v>15</v>
      </c>
      <c r="N575" t="s">
        <v>35</v>
      </c>
      <c r="O575" t="s">
        <v>17</v>
      </c>
      <c r="P575" t="s">
        <v>124</v>
      </c>
      <c r="Q575" t="s">
        <v>19</v>
      </c>
      <c r="S575" t="s">
        <v>451</v>
      </c>
      <c r="T575" t="s">
        <v>23</v>
      </c>
      <c r="V575" t="s">
        <v>451</v>
      </c>
      <c r="W575" t="s">
        <v>23</v>
      </c>
      <c r="Y575">
        <v>4.92000007629394</v>
      </c>
      <c r="Z575">
        <v>4.1900000572204501</v>
      </c>
      <c r="AA575">
        <v>1.20000004768371</v>
      </c>
      <c r="AB575">
        <v>1.21000003814697</v>
      </c>
      <c r="AC575">
        <v>229.18147277832</v>
      </c>
      <c r="AD575">
        <v>129</v>
      </c>
      <c r="AE575">
        <v>1</v>
      </c>
      <c r="AG575">
        <v>135</v>
      </c>
      <c r="AI575">
        <v>4.1999998092651296</v>
      </c>
      <c r="AJ575">
        <v>32.139999389648402</v>
      </c>
      <c r="AK575">
        <v>5.5</v>
      </c>
      <c r="AL575">
        <v>11.199999809265099</v>
      </c>
      <c r="AM575">
        <v>12.050000190734799</v>
      </c>
      <c r="AN575" t="s">
        <v>843</v>
      </c>
      <c r="AO575">
        <v>65.099999999999895</v>
      </c>
      <c r="AP575">
        <v>23.911845730027508</v>
      </c>
      <c r="AR575" s="1">
        <v>36892</v>
      </c>
      <c r="AS575" s="1"/>
      <c r="AT575" s="1">
        <v>43690.561487581021</v>
      </c>
      <c r="AU575" s="1">
        <v>41238.62745482639</v>
      </c>
      <c r="AV575" s="1"/>
      <c r="AW575" s="1"/>
      <c r="AX575" s="1"/>
      <c r="AY575" t="s">
        <v>21</v>
      </c>
      <c r="BB575" s="2">
        <v>0</v>
      </c>
      <c r="BC575">
        <f t="shared" si="35"/>
        <v>9.010146836770236</v>
      </c>
      <c r="BD575">
        <v>137</v>
      </c>
      <c r="BE575">
        <v>4.9000000000000004</v>
      </c>
      <c r="BF575">
        <v>3.2</v>
      </c>
      <c r="BG575">
        <v>10.1</v>
      </c>
      <c r="BH575">
        <v>235</v>
      </c>
      <c r="BI575">
        <v>6.5199999999999898</v>
      </c>
      <c r="BJ575">
        <v>8.0999999999999908</v>
      </c>
      <c r="BK575">
        <v>6.7</v>
      </c>
      <c r="BL575">
        <v>12.6</v>
      </c>
      <c r="BM575">
        <v>67.439999999999898</v>
      </c>
      <c r="BN575">
        <v>5.4</v>
      </c>
    </row>
    <row r="576" spans="1:66" x14ac:dyDescent="0.3">
      <c r="A576">
        <v>575</v>
      </c>
      <c r="B576" s="2" t="s">
        <v>430</v>
      </c>
      <c r="C576" s="2" t="s">
        <v>448</v>
      </c>
      <c r="D576">
        <v>68.351231190150003</v>
      </c>
      <c r="E576" s="3">
        <v>42058</v>
      </c>
      <c r="F576" s="1">
        <v>41646.375</v>
      </c>
      <c r="G576" s="1">
        <v>41344.568078703713</v>
      </c>
      <c r="H576" t="s">
        <v>17</v>
      </c>
      <c r="I576" t="s">
        <v>78</v>
      </c>
      <c r="J576" t="s">
        <v>28</v>
      </c>
      <c r="K576" t="s">
        <v>268</v>
      </c>
      <c r="L576">
        <v>35</v>
      </c>
      <c r="M576" t="s">
        <v>15</v>
      </c>
      <c r="N576" t="s">
        <v>451</v>
      </c>
      <c r="O576" t="s">
        <v>17</v>
      </c>
      <c r="P576" t="s">
        <v>75</v>
      </c>
      <c r="Q576" t="s">
        <v>451</v>
      </c>
      <c r="S576" t="s">
        <v>451</v>
      </c>
      <c r="T576" t="s">
        <v>23</v>
      </c>
      <c r="V576" t="s">
        <v>451</v>
      </c>
      <c r="W576" t="s">
        <v>451</v>
      </c>
      <c r="X576" t="s">
        <v>78</v>
      </c>
      <c r="Y576">
        <v>6.0199999809265101</v>
      </c>
      <c r="Z576">
        <v>4.6100001335143999</v>
      </c>
      <c r="AA576">
        <v>1.16999995708465</v>
      </c>
      <c r="AB576">
        <v>1.1499999761581401</v>
      </c>
      <c r="AC576">
        <v>301.72283935546801</v>
      </c>
      <c r="AD576">
        <v>166</v>
      </c>
      <c r="AE576">
        <v>1</v>
      </c>
      <c r="AF576">
        <v>38</v>
      </c>
      <c r="AG576">
        <v>116</v>
      </c>
      <c r="AH576">
        <v>5</v>
      </c>
      <c r="AI576">
        <v>4</v>
      </c>
      <c r="AJ576">
        <v>29</v>
      </c>
      <c r="AK576">
        <v>5</v>
      </c>
      <c r="AL576">
        <v>6</v>
      </c>
      <c r="AM576">
        <v>19.329999923706001</v>
      </c>
      <c r="AN576" t="s">
        <v>844</v>
      </c>
      <c r="AO576">
        <v>74</v>
      </c>
      <c r="AP576">
        <v>26.218820861678005</v>
      </c>
      <c r="AR576" s="1">
        <v>34700</v>
      </c>
      <c r="AS576" s="1">
        <v>40546.550819328702</v>
      </c>
      <c r="AT576" s="1"/>
      <c r="AU576" s="1">
        <v>40491.364928391202</v>
      </c>
      <c r="AV576" s="1">
        <v>41319.460107175917</v>
      </c>
      <c r="AW576" s="1"/>
      <c r="AX576" s="1">
        <v>40665.457933067133</v>
      </c>
      <c r="AZ576">
        <v>189</v>
      </c>
      <c r="BA576">
        <v>91</v>
      </c>
      <c r="BB576" s="2">
        <v>4</v>
      </c>
      <c r="BC576">
        <f t="shared" si="35"/>
        <v>8.5230338411922908</v>
      </c>
      <c r="BD576">
        <v>135</v>
      </c>
      <c r="BE576">
        <v>4.4000000000000004</v>
      </c>
      <c r="BF576">
        <v>3.1</v>
      </c>
      <c r="BG576">
        <v>9.1999999999999904</v>
      </c>
      <c r="BH576">
        <v>195</v>
      </c>
      <c r="BI576">
        <v>8.64</v>
      </c>
      <c r="BJ576">
        <v>7.9</v>
      </c>
      <c r="BK576">
        <v>5.7999999999999901</v>
      </c>
      <c r="BL576">
        <v>8.5</v>
      </c>
    </row>
    <row r="577" spans="1:66" x14ac:dyDescent="0.3">
      <c r="A577">
        <v>576</v>
      </c>
      <c r="B577" s="2" t="s">
        <v>430</v>
      </c>
      <c r="C577" s="2" t="s">
        <v>449</v>
      </c>
      <c r="D577">
        <v>69.384404924760005</v>
      </c>
      <c r="E577" s="3"/>
      <c r="F577" s="1">
        <v>43259</v>
      </c>
      <c r="G577" s="1">
        <v>43216.514050925929</v>
      </c>
      <c r="H577" t="s">
        <v>451</v>
      </c>
      <c r="I577" t="s">
        <v>451</v>
      </c>
      <c r="J577" t="s">
        <v>451</v>
      </c>
      <c r="K577" t="s">
        <v>74</v>
      </c>
      <c r="L577">
        <v>60</v>
      </c>
      <c r="M577" t="s">
        <v>451</v>
      </c>
      <c r="N577" t="s">
        <v>451</v>
      </c>
      <c r="O577" t="s">
        <v>15</v>
      </c>
      <c r="P577" t="s">
        <v>451</v>
      </c>
      <c r="Q577" t="s">
        <v>451</v>
      </c>
      <c r="S577" t="s">
        <v>451</v>
      </c>
      <c r="T577" t="s">
        <v>451</v>
      </c>
      <c r="V577" t="s">
        <v>451</v>
      </c>
      <c r="W577" t="s">
        <v>451</v>
      </c>
      <c r="Y577">
        <v>4.0799999237060502</v>
      </c>
      <c r="Z577">
        <v>2.75</v>
      </c>
      <c r="AA577">
        <v>1.0599999427795399</v>
      </c>
      <c r="AB577">
        <v>0.86000001430511397</v>
      </c>
      <c r="AC577">
        <v>123.804794311523</v>
      </c>
      <c r="AD577">
        <v>79</v>
      </c>
      <c r="AE577">
        <v>1</v>
      </c>
      <c r="AG577">
        <v>75.199996948242102</v>
      </c>
      <c r="AH577">
        <v>6.1999998092651296</v>
      </c>
      <c r="AI577">
        <v>3.92000007629394</v>
      </c>
      <c r="AJ577">
        <v>19.1800003051757</v>
      </c>
      <c r="AK577">
        <v>6.42000007629394</v>
      </c>
      <c r="AL577">
        <v>4.6799998283386204</v>
      </c>
      <c r="AM577">
        <v>16.069999694824201</v>
      </c>
      <c r="AN577" t="s">
        <v>845</v>
      </c>
      <c r="AO577">
        <v>72</v>
      </c>
      <c r="AP577">
        <v>29.968782518210197</v>
      </c>
      <c r="AS577" s="1"/>
      <c r="AT577" s="1">
        <v>42856.485407256943</v>
      </c>
      <c r="AU577" s="1"/>
      <c r="AV577" s="1">
        <v>41507.428423611113</v>
      </c>
      <c r="AW577" s="1"/>
      <c r="AX577" s="1"/>
      <c r="AY577" t="s">
        <v>21</v>
      </c>
      <c r="AZ577">
        <v>133</v>
      </c>
      <c r="BA577">
        <v>69</v>
      </c>
      <c r="BB577" s="2">
        <v>7</v>
      </c>
      <c r="BC577">
        <f t="shared" si="35"/>
        <v>20.468288427605795</v>
      </c>
      <c r="BD577">
        <v>137</v>
      </c>
      <c r="BE577">
        <v>4.5999999999999899</v>
      </c>
      <c r="BF577">
        <v>1.6</v>
      </c>
      <c r="BG577">
        <v>8.8000000000000007</v>
      </c>
      <c r="BH577">
        <v>264</v>
      </c>
      <c r="BI577">
        <v>3.45</v>
      </c>
      <c r="BJ577">
        <v>6.5999999999999899</v>
      </c>
      <c r="BK577">
        <v>5.7999999999999901</v>
      </c>
      <c r="BL577">
        <v>9.9</v>
      </c>
      <c r="BM577">
        <v>66.969999999999899</v>
      </c>
      <c r="BN577">
        <v>5.5999999999999899</v>
      </c>
    </row>
    <row r="578" spans="1:66" x14ac:dyDescent="0.3">
      <c r="A578">
        <v>577</v>
      </c>
      <c r="B578" s="2" t="s">
        <v>430</v>
      </c>
      <c r="C578" s="2" t="s">
        <v>448</v>
      </c>
      <c r="D578">
        <v>67.989056087551006</v>
      </c>
      <c r="E578" s="3"/>
      <c r="F578" s="1">
        <v>41900</v>
      </c>
      <c r="G578" s="1">
        <v>41638.403043981481</v>
      </c>
      <c r="H578" t="s">
        <v>15</v>
      </c>
      <c r="I578" t="s">
        <v>78</v>
      </c>
      <c r="J578" t="s">
        <v>15</v>
      </c>
      <c r="L578">
        <v>60</v>
      </c>
      <c r="M578" t="s">
        <v>451</v>
      </c>
      <c r="N578" t="s">
        <v>451</v>
      </c>
      <c r="O578" t="s">
        <v>17</v>
      </c>
      <c r="P578" t="s">
        <v>15</v>
      </c>
      <c r="S578" t="s">
        <v>92</v>
      </c>
      <c r="T578" t="s">
        <v>19</v>
      </c>
      <c r="V578" t="s">
        <v>451</v>
      </c>
      <c r="W578" t="s">
        <v>18</v>
      </c>
      <c r="Y578">
        <v>5.4000000953674299</v>
      </c>
      <c r="Z578">
        <v>3.5</v>
      </c>
      <c r="AA578">
        <v>1.29999995231628</v>
      </c>
      <c r="AB578">
        <v>1.1000000238418499</v>
      </c>
      <c r="AC578">
        <v>264.41720581054602</v>
      </c>
      <c r="AD578">
        <v>134</v>
      </c>
      <c r="AE578">
        <v>1</v>
      </c>
      <c r="AG578">
        <v>79.819999694824205</v>
      </c>
      <c r="AH578">
        <v>6</v>
      </c>
      <c r="AI578">
        <v>5.5</v>
      </c>
      <c r="AJ578">
        <v>14.5100002288818</v>
      </c>
      <c r="AK578">
        <v>8</v>
      </c>
      <c r="AL578">
        <v>5.3000001907348597</v>
      </c>
      <c r="AM578">
        <v>15.0600004196166</v>
      </c>
      <c r="AN578" t="s">
        <v>846</v>
      </c>
      <c r="AO578">
        <v>83</v>
      </c>
      <c r="AP578">
        <v>26.196187350082059</v>
      </c>
      <c r="AS578" s="1"/>
      <c r="AT578" s="1"/>
      <c r="AU578" s="1">
        <v>41037.929270405089</v>
      </c>
      <c r="AV578" s="1">
        <v>41037.929270405089</v>
      </c>
      <c r="AW578" s="1">
        <v>41637.88488179398</v>
      </c>
      <c r="AX578" s="1"/>
      <c r="AZ578">
        <v>133</v>
      </c>
      <c r="BA578">
        <v>69</v>
      </c>
      <c r="BB578" s="2">
        <v>0</v>
      </c>
      <c r="BC578">
        <f t="shared" si="35"/>
        <v>13.81241529102717</v>
      </c>
      <c r="BD578">
        <v>139</v>
      </c>
      <c r="BE578">
        <v>4.2</v>
      </c>
      <c r="BF578">
        <v>3</v>
      </c>
      <c r="BG578">
        <v>12.3</v>
      </c>
      <c r="BH578">
        <v>137</v>
      </c>
      <c r="BI578">
        <v>6.00999999999999</v>
      </c>
      <c r="BJ578">
        <v>8.0999999999999908</v>
      </c>
      <c r="BK578">
        <v>6.0999999999999899</v>
      </c>
      <c r="BL578">
        <v>6.7999999999999901</v>
      </c>
      <c r="BN578">
        <v>6.7</v>
      </c>
    </row>
    <row r="579" spans="1:66" x14ac:dyDescent="0.3">
      <c r="A579">
        <v>578</v>
      </c>
      <c r="B579" s="2" t="s">
        <v>430</v>
      </c>
      <c r="C579" s="2" t="s">
        <v>448</v>
      </c>
      <c r="D579">
        <v>79.504787961695897</v>
      </c>
      <c r="E579" s="3">
        <v>45885</v>
      </c>
      <c r="F579" s="1">
        <v>43858</v>
      </c>
      <c r="G579" s="1">
        <v>43854.486226851863</v>
      </c>
      <c r="H579" t="s">
        <v>15</v>
      </c>
      <c r="I579" t="s">
        <v>90</v>
      </c>
      <c r="J579" t="s">
        <v>451</v>
      </c>
      <c r="L579">
        <v>20</v>
      </c>
      <c r="M579" t="s">
        <v>15</v>
      </c>
      <c r="N579" t="s">
        <v>28</v>
      </c>
      <c r="O579" t="s">
        <v>17</v>
      </c>
      <c r="P579" t="s">
        <v>112</v>
      </c>
      <c r="S579" t="s">
        <v>451</v>
      </c>
      <c r="T579" t="s">
        <v>19</v>
      </c>
      <c r="V579" t="s">
        <v>15</v>
      </c>
      <c r="W579" t="s">
        <v>18</v>
      </c>
      <c r="Y579">
        <v>5.3000001907348597</v>
      </c>
      <c r="Z579">
        <v>4.1999998092651296</v>
      </c>
      <c r="AA579">
        <v>1.1000000238418499</v>
      </c>
      <c r="AB579">
        <v>0.89999997615814198</v>
      </c>
      <c r="AC579">
        <v>200.396484375</v>
      </c>
      <c r="AD579">
        <v>107</v>
      </c>
      <c r="AE579">
        <v>2.6199998855590798</v>
      </c>
      <c r="AG579">
        <v>75</v>
      </c>
      <c r="AH579">
        <v>5</v>
      </c>
      <c r="AI579">
        <v>3</v>
      </c>
      <c r="AJ579">
        <v>25</v>
      </c>
      <c r="AK579">
        <v>5</v>
      </c>
      <c r="AL579">
        <v>6</v>
      </c>
      <c r="AM579">
        <v>12.5</v>
      </c>
      <c r="AN579" t="s">
        <v>847</v>
      </c>
      <c r="AO579">
        <v>73</v>
      </c>
      <c r="AP579">
        <v>26.813590449954088</v>
      </c>
      <c r="AS579" s="1">
        <v>41625.573379513888</v>
      </c>
      <c r="AT579" s="1">
        <v>43854.960940358797</v>
      </c>
      <c r="AU579" s="1">
        <v>41625.573379513888</v>
      </c>
      <c r="AV579" s="1">
        <v>41625.573379513888</v>
      </c>
      <c r="AW579" s="1"/>
      <c r="AX579" s="1"/>
      <c r="AZ579">
        <v>112</v>
      </c>
      <c r="BA579">
        <v>45</v>
      </c>
      <c r="BB579" s="2">
        <v>1</v>
      </c>
      <c r="BC579">
        <f t="shared" si="35"/>
        <v>11.091396621449164</v>
      </c>
      <c r="BD579">
        <v>144</v>
      </c>
      <c r="BE579">
        <v>4.7</v>
      </c>
      <c r="BF579">
        <v>2.3999999999999901</v>
      </c>
      <c r="BG579">
        <v>9.5999999999999908</v>
      </c>
      <c r="BH579">
        <v>246</v>
      </c>
      <c r="BI579">
        <v>5.53</v>
      </c>
      <c r="BJ579">
        <v>7</v>
      </c>
      <c r="BK579">
        <v>7.5</v>
      </c>
      <c r="BL579">
        <v>8.9</v>
      </c>
      <c r="BM579">
        <v>314.12</v>
      </c>
      <c r="BN579">
        <v>7.5999999999999899</v>
      </c>
    </row>
    <row r="580" spans="1:66" x14ac:dyDescent="0.3">
      <c r="A580">
        <v>579</v>
      </c>
      <c r="B580" s="2" t="s">
        <v>430</v>
      </c>
      <c r="C580" s="2" t="s">
        <v>448</v>
      </c>
      <c r="D580">
        <v>71.491108071135002</v>
      </c>
      <c r="E580" s="3">
        <v>45876.159722222219</v>
      </c>
      <c r="F580" s="1">
        <v>44206</v>
      </c>
      <c r="G580" s="1">
        <v>44179.48809027778</v>
      </c>
      <c r="H580" t="s">
        <v>451</v>
      </c>
      <c r="I580" t="s">
        <v>451</v>
      </c>
      <c r="J580" t="s">
        <v>451</v>
      </c>
      <c r="K580" t="s">
        <v>474</v>
      </c>
      <c r="L580">
        <v>60</v>
      </c>
      <c r="M580" t="s">
        <v>15</v>
      </c>
      <c r="N580" t="s">
        <v>15</v>
      </c>
      <c r="O580" t="s">
        <v>25</v>
      </c>
      <c r="P580" t="s">
        <v>75</v>
      </c>
      <c r="Q580" t="s">
        <v>451</v>
      </c>
      <c r="S580" t="s">
        <v>451</v>
      </c>
      <c r="T580" t="s">
        <v>18</v>
      </c>
      <c r="V580" t="s">
        <v>451</v>
      </c>
      <c r="W580" t="s">
        <v>18</v>
      </c>
      <c r="X580" t="s">
        <v>87</v>
      </c>
      <c r="Y580">
        <v>5.1900000572204501</v>
      </c>
      <c r="Z580">
        <v>3.20000004768371</v>
      </c>
      <c r="AA580">
        <v>1.41999995708465</v>
      </c>
      <c r="AB580">
        <v>1.50999999046325</v>
      </c>
      <c r="AC580">
        <v>329.73001098632801</v>
      </c>
      <c r="AD580">
        <v>156</v>
      </c>
      <c r="AE580">
        <v>1</v>
      </c>
      <c r="AF580">
        <v>58</v>
      </c>
      <c r="AG580">
        <v>75.800003051757798</v>
      </c>
      <c r="AH580">
        <v>6.8299999237060502</v>
      </c>
      <c r="AI580">
        <v>6.3099999427795401</v>
      </c>
      <c r="AJ580">
        <v>12.0100002288818</v>
      </c>
      <c r="AK580">
        <v>9.8100004196166903</v>
      </c>
      <c r="AL580">
        <v>5.17000007629394</v>
      </c>
      <c r="AM580">
        <v>14.6599998474121</v>
      </c>
      <c r="AN580" t="s">
        <v>848</v>
      </c>
      <c r="AO580">
        <v>106</v>
      </c>
      <c r="AP580">
        <v>36.678200692041521</v>
      </c>
      <c r="AS580" s="1"/>
      <c r="AT580" s="1"/>
      <c r="AU580" s="1">
        <v>39700.258109224538</v>
      </c>
      <c r="AV580" s="1">
        <v>39700.278721331022</v>
      </c>
      <c r="AW580" s="1"/>
      <c r="AX580" s="1">
        <v>42113.691267708331</v>
      </c>
      <c r="BA580">
        <v>51</v>
      </c>
      <c r="BB580" s="2">
        <v>7</v>
      </c>
      <c r="BC580">
        <f t="shared" si="35"/>
        <v>18.140344085880553</v>
      </c>
      <c r="BD580">
        <v>144</v>
      </c>
      <c r="BE580">
        <v>4.2999999999999901</v>
      </c>
      <c r="BF580">
        <v>3.6</v>
      </c>
      <c r="BG580">
        <v>10.3</v>
      </c>
      <c r="BH580">
        <v>158</v>
      </c>
      <c r="BI580">
        <v>5.5599999999999898</v>
      </c>
      <c r="BJ580">
        <v>8.3000000000000007</v>
      </c>
      <c r="BK580">
        <v>4.2999999999999901</v>
      </c>
      <c r="BL580">
        <v>6.7999999999999901</v>
      </c>
      <c r="BM580">
        <v>8.9600000000000009</v>
      </c>
      <c r="BN580">
        <v>4.9000000000000004</v>
      </c>
    </row>
    <row r="581" spans="1:66" x14ac:dyDescent="0.3">
      <c r="A581">
        <v>580</v>
      </c>
      <c r="B581" s="2" t="s">
        <v>430</v>
      </c>
      <c r="C581" s="2" t="s">
        <v>449</v>
      </c>
      <c r="D581">
        <v>78.476060191518002</v>
      </c>
      <c r="E581" s="3">
        <v>42454</v>
      </c>
      <c r="F581" s="1">
        <v>41833</v>
      </c>
      <c r="G581" s="1">
        <v>41772.489907407413</v>
      </c>
      <c r="H581" t="s">
        <v>451</v>
      </c>
      <c r="I581" t="s">
        <v>451</v>
      </c>
      <c r="J581" t="s">
        <v>451</v>
      </c>
      <c r="K581" t="s">
        <v>74</v>
      </c>
      <c r="L581">
        <v>60</v>
      </c>
      <c r="M581" t="s">
        <v>451</v>
      </c>
      <c r="N581" t="s">
        <v>451</v>
      </c>
      <c r="O581" t="s">
        <v>17</v>
      </c>
      <c r="P581" t="s">
        <v>451</v>
      </c>
      <c r="Q581" t="s">
        <v>18</v>
      </c>
      <c r="S581" t="s">
        <v>451</v>
      </c>
      <c r="T581" t="s">
        <v>23</v>
      </c>
      <c r="U581" t="s">
        <v>96</v>
      </c>
      <c r="V581" t="s">
        <v>451</v>
      </c>
      <c r="W581" t="s">
        <v>23</v>
      </c>
      <c r="X581" t="s">
        <v>90</v>
      </c>
      <c r="Y581">
        <v>4.2899999618530202</v>
      </c>
      <c r="Z581">
        <v>2.5</v>
      </c>
      <c r="AA581">
        <v>10</v>
      </c>
      <c r="AB581">
        <v>0.80000001192092796</v>
      </c>
      <c r="AC581">
        <v>2793.75854492187</v>
      </c>
      <c r="AD581">
        <v>1615</v>
      </c>
      <c r="AE581">
        <v>1</v>
      </c>
      <c r="AF581">
        <v>62</v>
      </c>
      <c r="AG581">
        <v>132</v>
      </c>
      <c r="AH581">
        <v>6.5199999809265101</v>
      </c>
      <c r="AI581">
        <v>7.8499999046325604</v>
      </c>
      <c r="AJ581">
        <v>16.819999694824201</v>
      </c>
      <c r="AK581">
        <v>6.5199999809265101</v>
      </c>
      <c r="AL581">
        <v>5.2600002288818297</v>
      </c>
      <c r="AM581">
        <v>25.100000381469702</v>
      </c>
      <c r="AN581" t="s">
        <v>849</v>
      </c>
      <c r="AO581">
        <v>76</v>
      </c>
      <c r="AP581">
        <v>29.6875</v>
      </c>
      <c r="AS581" s="1"/>
      <c r="AT581" s="1"/>
      <c r="AU581" s="1">
        <v>41760.325706099538</v>
      </c>
      <c r="AV581" s="1">
        <v>41760.325706099538</v>
      </c>
      <c r="AW581" s="1"/>
      <c r="AX581" s="1"/>
      <c r="AZ581">
        <v>96</v>
      </c>
      <c r="BA581">
        <v>63</v>
      </c>
      <c r="BB581" s="2">
        <v>6</v>
      </c>
      <c r="BC581">
        <f t="shared" si="35"/>
        <v>11.120194600087137</v>
      </c>
      <c r="BD581">
        <v>142</v>
      </c>
      <c r="BE581">
        <v>4.2999999999999901</v>
      </c>
      <c r="BF581">
        <v>4.0999999999999899</v>
      </c>
      <c r="BG581">
        <v>12.6</v>
      </c>
      <c r="BH581">
        <v>127</v>
      </c>
      <c r="BI581">
        <v>5.8399999999999901</v>
      </c>
      <c r="BJ581">
        <v>9.3000000000000007</v>
      </c>
      <c r="BK581">
        <v>6.5</v>
      </c>
      <c r="BL581">
        <v>7.9</v>
      </c>
      <c r="BM581">
        <v>22.89</v>
      </c>
      <c r="BN581">
        <v>6.2</v>
      </c>
    </row>
    <row r="582" spans="1:66" x14ac:dyDescent="0.3">
      <c r="A582">
        <v>581</v>
      </c>
      <c r="B582" s="2" t="s">
        <v>430</v>
      </c>
      <c r="C582" s="2" t="s">
        <v>448</v>
      </c>
      <c r="D582">
        <v>86.667578659369894</v>
      </c>
      <c r="E582" s="3">
        <v>45871.282638888893</v>
      </c>
      <c r="F582" s="1">
        <v>44465</v>
      </c>
      <c r="G582" s="1">
        <v>44396.536909722221</v>
      </c>
      <c r="H582" t="s">
        <v>17</v>
      </c>
      <c r="I582" t="s">
        <v>451</v>
      </c>
      <c r="J582" t="s">
        <v>15</v>
      </c>
      <c r="K582" t="s">
        <v>145</v>
      </c>
      <c r="L582">
        <v>55</v>
      </c>
      <c r="M582" t="s">
        <v>451</v>
      </c>
      <c r="N582" t="s">
        <v>451</v>
      </c>
      <c r="O582" t="s">
        <v>25</v>
      </c>
      <c r="P582" t="s">
        <v>479</v>
      </c>
      <c r="Q582" t="s">
        <v>19</v>
      </c>
      <c r="S582" t="s">
        <v>451</v>
      </c>
      <c r="T582" t="s">
        <v>23</v>
      </c>
      <c r="U582" t="s">
        <v>132</v>
      </c>
      <c r="V582" t="s">
        <v>451</v>
      </c>
      <c r="W582" t="s">
        <v>19</v>
      </c>
      <c r="X582" t="s">
        <v>78</v>
      </c>
      <c r="Y582">
        <v>5.5500001907348597</v>
      </c>
      <c r="Z582">
        <v>3.88000011444091</v>
      </c>
      <c r="AA582">
        <v>1.2799999713897701</v>
      </c>
      <c r="AB582">
        <v>1.03999996185302</v>
      </c>
      <c r="AC582">
        <v>263.91928100585898</v>
      </c>
      <c r="AD582">
        <v>161</v>
      </c>
      <c r="AE582">
        <v>1</v>
      </c>
      <c r="AF582">
        <v>45</v>
      </c>
      <c r="AG582">
        <v>107</v>
      </c>
      <c r="AH582">
        <v>6.3400001525878897</v>
      </c>
      <c r="AI582">
        <v>4.0900001525878897</v>
      </c>
      <c r="AJ582">
        <v>26.159999847412099</v>
      </c>
      <c r="AK582">
        <v>8.5799999237060494</v>
      </c>
      <c r="AL582">
        <v>7.2399997711181596</v>
      </c>
      <c r="AM582">
        <v>14.779999732971101</v>
      </c>
      <c r="AN582" t="s">
        <v>850</v>
      </c>
      <c r="AO582">
        <v>62</v>
      </c>
      <c r="AP582">
        <v>23.62444749276025</v>
      </c>
      <c r="AS582" s="1">
        <v>44412.332775150462</v>
      </c>
      <c r="AT582" s="1"/>
      <c r="AU582" s="1">
        <v>42818.332939386572</v>
      </c>
      <c r="AV582" s="1">
        <v>43911.567313807871</v>
      </c>
      <c r="AW582" s="1"/>
      <c r="AX582" s="1"/>
      <c r="AY582" t="s">
        <v>21</v>
      </c>
      <c r="AZ582">
        <v>172</v>
      </c>
      <c r="BA582">
        <v>74</v>
      </c>
      <c r="BB582" s="2">
        <v>8</v>
      </c>
      <c r="BC582">
        <f t="shared" si="35"/>
        <v>8.3805001092839255</v>
      </c>
      <c r="BD582">
        <v>137</v>
      </c>
      <c r="BE582">
        <v>4.4000000000000004</v>
      </c>
      <c r="BF582">
        <v>3</v>
      </c>
      <c r="BG582">
        <v>9.4</v>
      </c>
      <c r="BH582">
        <v>284</v>
      </c>
      <c r="BI582">
        <v>5.48</v>
      </c>
      <c r="BJ582">
        <v>8.5999999999999908</v>
      </c>
      <c r="BK582">
        <v>5.7999999999999901</v>
      </c>
      <c r="BL582">
        <v>16.6999999999999</v>
      </c>
      <c r="BM582">
        <v>18.1999999999999</v>
      </c>
      <c r="BN582">
        <v>8.5</v>
      </c>
    </row>
    <row r="583" spans="1:66" x14ac:dyDescent="0.3">
      <c r="A583">
        <v>582</v>
      </c>
      <c r="B583" s="2" t="s">
        <v>430</v>
      </c>
      <c r="C583" s="2" t="s">
        <v>448</v>
      </c>
      <c r="D583">
        <v>77.975376196989899</v>
      </c>
      <c r="E583" s="3">
        <v>42802.536111111112</v>
      </c>
      <c r="F583" s="1">
        <v>42016</v>
      </c>
      <c r="G583" s="1">
        <v>41974.514594907407</v>
      </c>
      <c r="H583" t="s">
        <v>17</v>
      </c>
      <c r="I583" t="s">
        <v>451</v>
      </c>
      <c r="J583" t="s">
        <v>15</v>
      </c>
      <c r="K583" t="s">
        <v>460</v>
      </c>
      <c r="L583">
        <v>65</v>
      </c>
      <c r="M583" t="s">
        <v>15</v>
      </c>
      <c r="N583" t="s">
        <v>15</v>
      </c>
      <c r="O583" t="s">
        <v>17</v>
      </c>
      <c r="P583" t="s">
        <v>75</v>
      </c>
      <c r="S583" t="s">
        <v>451</v>
      </c>
      <c r="T583" t="s">
        <v>18</v>
      </c>
      <c r="V583" t="s">
        <v>451</v>
      </c>
      <c r="W583" t="s">
        <v>19</v>
      </c>
      <c r="X583" t="s">
        <v>15</v>
      </c>
      <c r="Y583">
        <v>5.5999999046325604</v>
      </c>
      <c r="Z583">
        <v>2.7999999523162802</v>
      </c>
      <c r="AA583">
        <v>1.79999995231628</v>
      </c>
      <c r="AB583">
        <v>1</v>
      </c>
      <c r="AC583">
        <v>347.61721801757801</v>
      </c>
      <c r="AD583">
        <v>200</v>
      </c>
      <c r="AE583">
        <v>1</v>
      </c>
      <c r="AF583">
        <v>37</v>
      </c>
      <c r="AG583">
        <v>129</v>
      </c>
      <c r="AH583">
        <v>8</v>
      </c>
      <c r="AI583">
        <v>4</v>
      </c>
      <c r="AJ583">
        <v>32.25</v>
      </c>
      <c r="AK583">
        <v>8</v>
      </c>
      <c r="AL583">
        <v>7</v>
      </c>
      <c r="AM583">
        <v>18.4300003051757</v>
      </c>
      <c r="AN583" t="s">
        <v>851</v>
      </c>
      <c r="AO583">
        <v>52</v>
      </c>
      <c r="AP583">
        <v>19.814052735863434</v>
      </c>
      <c r="AR583" s="1">
        <v>41974</v>
      </c>
      <c r="AS583" s="1">
        <v>41977.914824189807</v>
      </c>
      <c r="AT583" s="1"/>
      <c r="AU583" s="1">
        <v>40605.58280196759</v>
      </c>
      <c r="AV583" s="1"/>
      <c r="AW583" s="1">
        <v>40605.58280196759</v>
      </c>
      <c r="AX583" s="1">
        <v>41981.787615428242</v>
      </c>
      <c r="AZ583">
        <v>75</v>
      </c>
      <c r="BA583">
        <v>45</v>
      </c>
      <c r="BB583" s="2">
        <v>2</v>
      </c>
      <c r="BC583">
        <f t="shared" si="35"/>
        <v>7.8726821855021605</v>
      </c>
      <c r="BD583">
        <v>137</v>
      </c>
      <c r="BE583">
        <v>5</v>
      </c>
      <c r="BF583">
        <v>2</v>
      </c>
      <c r="BH583">
        <v>204</v>
      </c>
      <c r="BI583">
        <v>5.69</v>
      </c>
      <c r="BJ583">
        <v>8</v>
      </c>
      <c r="BK583">
        <v>6.2</v>
      </c>
      <c r="BL583">
        <v>8.1999999999999904</v>
      </c>
      <c r="BM583">
        <v>109.59</v>
      </c>
      <c r="BN583">
        <v>4.9000000000000004</v>
      </c>
    </row>
    <row r="584" spans="1:66" x14ac:dyDescent="0.3">
      <c r="A584">
        <v>583</v>
      </c>
      <c r="B584" s="2" t="s">
        <v>430</v>
      </c>
      <c r="C584" s="2" t="s">
        <v>448</v>
      </c>
      <c r="D584">
        <v>77.499316005471002</v>
      </c>
      <c r="E584" s="3"/>
      <c r="F584" s="1">
        <v>44398</v>
      </c>
      <c r="G584" s="1">
        <v>44286.441192129627</v>
      </c>
      <c r="H584" t="s">
        <v>15</v>
      </c>
      <c r="I584" t="s">
        <v>451</v>
      </c>
      <c r="J584" t="s">
        <v>14</v>
      </c>
      <c r="L584">
        <v>45</v>
      </c>
      <c r="M584" t="s">
        <v>451</v>
      </c>
      <c r="N584" t="s">
        <v>451</v>
      </c>
      <c r="O584" t="s">
        <v>17</v>
      </c>
      <c r="P584" t="s">
        <v>112</v>
      </c>
      <c r="Q584" t="s">
        <v>19</v>
      </c>
      <c r="S584" t="s">
        <v>451</v>
      </c>
      <c r="T584" t="s">
        <v>34</v>
      </c>
      <c r="V584" t="s">
        <v>451</v>
      </c>
      <c r="W584" t="s">
        <v>23</v>
      </c>
      <c r="X584" t="s">
        <v>78</v>
      </c>
      <c r="Y584">
        <v>4.6999998092651296</v>
      </c>
      <c r="Z584">
        <v>3.5999999046325599</v>
      </c>
      <c r="AA584">
        <v>1.1000000238418499</v>
      </c>
      <c r="AB584">
        <v>0.80000001192092796</v>
      </c>
      <c r="AC584">
        <v>153.41593933105401</v>
      </c>
      <c r="AD584">
        <v>89</v>
      </c>
      <c r="AE584">
        <v>1.6900000572204501</v>
      </c>
      <c r="AF584">
        <v>41</v>
      </c>
      <c r="AG584">
        <v>90.199996948242102</v>
      </c>
      <c r="AH584">
        <v>9.42000007629394</v>
      </c>
      <c r="AI584">
        <v>10.300000190734799</v>
      </c>
      <c r="AJ584">
        <v>8.7600002288818306</v>
      </c>
      <c r="AK584">
        <v>8.0600004196166903</v>
      </c>
      <c r="AL584">
        <v>7.3299999237060502</v>
      </c>
      <c r="AM584">
        <v>12.3100004196166</v>
      </c>
      <c r="AN584" t="s">
        <v>852</v>
      </c>
      <c r="AO584">
        <v>60</v>
      </c>
      <c r="AP584">
        <v>22.582709172343712</v>
      </c>
      <c r="AR584" s="1">
        <v>43845</v>
      </c>
      <c r="AS584" s="1">
        <v>43845.684053819437</v>
      </c>
      <c r="AT584" s="1"/>
      <c r="AU584" s="1">
        <v>43845.684053819437</v>
      </c>
      <c r="AV584" s="1"/>
      <c r="AW584" s="1">
        <v>43845.684053819437</v>
      </c>
      <c r="AX584" s="1"/>
      <c r="AY584" t="s">
        <v>21</v>
      </c>
      <c r="BA584">
        <v>45</v>
      </c>
      <c r="BB584" s="2">
        <v>0</v>
      </c>
      <c r="BC584">
        <f t="shared" si="35"/>
        <v>6.5349941441372943</v>
      </c>
      <c r="BD584">
        <v>138</v>
      </c>
      <c r="BE584">
        <v>4.7</v>
      </c>
      <c r="BF584">
        <v>4.2</v>
      </c>
      <c r="BG584">
        <v>6.7999999999999901</v>
      </c>
      <c r="BH584">
        <v>186</v>
      </c>
      <c r="BI584">
        <v>7.96999999999999</v>
      </c>
      <c r="BJ584">
        <v>9</v>
      </c>
      <c r="BK584">
        <v>5.4</v>
      </c>
      <c r="BL584">
        <v>8.1999999999999904</v>
      </c>
      <c r="BM584">
        <v>56.57</v>
      </c>
      <c r="BN584">
        <v>5.7</v>
      </c>
    </row>
    <row r="585" spans="1:66" x14ac:dyDescent="0.3">
      <c r="A585">
        <v>584</v>
      </c>
      <c r="B585" s="2" t="s">
        <v>434</v>
      </c>
      <c r="C585" s="2" t="s">
        <v>448</v>
      </c>
      <c r="D585">
        <v>61.879616963064002</v>
      </c>
      <c r="E585" s="3">
        <v>43141</v>
      </c>
      <c r="F585" s="1">
        <v>42603</v>
      </c>
      <c r="G585" s="1">
        <v>42250.465462962973</v>
      </c>
      <c r="H585" t="s">
        <v>15</v>
      </c>
      <c r="I585" t="s">
        <v>15</v>
      </c>
      <c r="J585" t="s">
        <v>15</v>
      </c>
      <c r="L585">
        <v>60</v>
      </c>
      <c r="M585" t="s">
        <v>79</v>
      </c>
      <c r="N585" t="s">
        <v>28</v>
      </c>
      <c r="O585" t="s">
        <v>15</v>
      </c>
      <c r="P585" t="s">
        <v>75</v>
      </c>
      <c r="Q585" t="s">
        <v>451</v>
      </c>
      <c r="S585" t="s">
        <v>451</v>
      </c>
      <c r="T585" t="s">
        <v>19</v>
      </c>
      <c r="V585" t="s">
        <v>451</v>
      </c>
      <c r="W585" t="s">
        <v>34</v>
      </c>
      <c r="X585" t="s">
        <v>90</v>
      </c>
      <c r="Y585">
        <v>4.0900001525878897</v>
      </c>
      <c r="Z585">
        <v>2.7799999713897701</v>
      </c>
      <c r="AA585">
        <v>0.99000000953674305</v>
      </c>
      <c r="AB585">
        <v>0.92000001668929998</v>
      </c>
      <c r="AC585">
        <v>123.388282775878</v>
      </c>
      <c r="AD585">
        <v>73</v>
      </c>
      <c r="AE585">
        <v>1</v>
      </c>
      <c r="AF585">
        <v>81</v>
      </c>
      <c r="AG585">
        <v>66.099998474120994</v>
      </c>
      <c r="AH585">
        <v>9.0500001907348597</v>
      </c>
      <c r="AI585">
        <v>8.9099998474121005</v>
      </c>
      <c r="AJ585">
        <v>7.42000007629394</v>
      </c>
      <c r="AK585">
        <v>11.800000190734799</v>
      </c>
      <c r="AL585">
        <v>11.399999618530201</v>
      </c>
      <c r="AM585">
        <v>5.8000001907348597</v>
      </c>
      <c r="AN585" t="s">
        <v>853</v>
      </c>
      <c r="AO585">
        <v>54.299999999999898</v>
      </c>
      <c r="AP585">
        <v>20.188875669244457</v>
      </c>
      <c r="AQ585" s="1">
        <v>42005</v>
      </c>
      <c r="AS585" s="1">
        <v>42173.460034340278</v>
      </c>
      <c r="AT585" s="1"/>
      <c r="AU585" s="1">
        <v>40539.906528240739</v>
      </c>
      <c r="AV585" s="1"/>
      <c r="AW585" s="1"/>
      <c r="AX585" s="1"/>
      <c r="BB585" s="2">
        <v>3</v>
      </c>
      <c r="BC585">
        <f t="shared" si="35"/>
        <v>59.510897852211301</v>
      </c>
      <c r="BD585">
        <v>139</v>
      </c>
      <c r="BE585">
        <v>5</v>
      </c>
      <c r="BF585">
        <v>3.6</v>
      </c>
      <c r="BG585">
        <v>9.1999999999999904</v>
      </c>
      <c r="BH585">
        <v>58</v>
      </c>
      <c r="BI585">
        <v>0.98999999999999899</v>
      </c>
      <c r="BJ585">
        <v>9.6999999999999904</v>
      </c>
      <c r="BK585">
        <v>3.2999999999999901</v>
      </c>
      <c r="BL585">
        <v>8.8000000000000007</v>
      </c>
      <c r="BM585">
        <v>25.559999999999899</v>
      </c>
      <c r="BN585">
        <v>6.9</v>
      </c>
    </row>
    <row r="586" spans="1:66" x14ac:dyDescent="0.3">
      <c r="A586">
        <v>585</v>
      </c>
      <c r="B586" s="2" t="s">
        <v>434</v>
      </c>
      <c r="C586" s="2" t="s">
        <v>449</v>
      </c>
      <c r="D586">
        <v>67.518467852257004</v>
      </c>
      <c r="E586" s="3"/>
      <c r="F586" s="1">
        <v>45482</v>
      </c>
      <c r="G586" s="1">
        <v>45412.347303240742</v>
      </c>
      <c r="H586" t="s">
        <v>15</v>
      </c>
      <c r="I586" t="s">
        <v>87</v>
      </c>
      <c r="J586" t="s">
        <v>15</v>
      </c>
      <c r="L586">
        <v>60</v>
      </c>
      <c r="M586" t="s">
        <v>451</v>
      </c>
      <c r="N586" t="s">
        <v>451</v>
      </c>
      <c r="O586" t="s">
        <v>25</v>
      </c>
      <c r="P586" t="s">
        <v>75</v>
      </c>
      <c r="Q586" t="s">
        <v>18</v>
      </c>
      <c r="R586" t="s">
        <v>499</v>
      </c>
      <c r="S586" t="s">
        <v>92</v>
      </c>
      <c r="T586" t="s">
        <v>29</v>
      </c>
      <c r="V586" t="s">
        <v>15</v>
      </c>
      <c r="W586" t="s">
        <v>23</v>
      </c>
      <c r="X586" t="s">
        <v>90</v>
      </c>
      <c r="Y586">
        <v>5.6100001335143999</v>
      </c>
      <c r="Z586">
        <v>3.2699999809265101</v>
      </c>
      <c r="AA586">
        <v>1.5</v>
      </c>
      <c r="AB586">
        <v>1.25</v>
      </c>
      <c r="AC586">
        <v>339.82186889648398</v>
      </c>
      <c r="AD586">
        <v>198</v>
      </c>
      <c r="AE586">
        <v>1</v>
      </c>
      <c r="AF586">
        <v>63</v>
      </c>
      <c r="AG586">
        <v>131</v>
      </c>
      <c r="AI586">
        <v>5.5100002288818297</v>
      </c>
      <c r="AJ586">
        <v>23.770000457763601</v>
      </c>
      <c r="AK586">
        <v>6.38000011444091</v>
      </c>
      <c r="AL586">
        <v>6.7699999809265101</v>
      </c>
      <c r="AM586">
        <v>19.350000381469702</v>
      </c>
      <c r="AN586" t="s">
        <v>854</v>
      </c>
      <c r="AO586">
        <v>69.150000000000006</v>
      </c>
      <c r="AP586">
        <v>26.026572321126125</v>
      </c>
      <c r="AS586" s="1"/>
      <c r="AT586" s="1"/>
      <c r="AU586" s="1">
        <v>44200.023243252312</v>
      </c>
      <c r="AV586" s="1">
        <v>44335.245090821758</v>
      </c>
      <c r="AW586" s="1">
        <v>44335.245090821758</v>
      </c>
      <c r="AX586" s="1"/>
      <c r="BB586" s="2">
        <v>2</v>
      </c>
      <c r="BC586">
        <f t="shared" si="35"/>
        <v>10.312958740774544</v>
      </c>
      <c r="BD586">
        <v>142</v>
      </c>
      <c r="BE586">
        <v>5.5</v>
      </c>
      <c r="BF586">
        <v>3.6</v>
      </c>
      <c r="BG586">
        <v>9.5999999999999908</v>
      </c>
      <c r="BH586">
        <v>218</v>
      </c>
      <c r="BI586">
        <v>6.75</v>
      </c>
      <c r="BJ586">
        <v>8.0999999999999908</v>
      </c>
      <c r="BK586">
        <v>6.2</v>
      </c>
      <c r="BL586">
        <v>6.5999999999999899</v>
      </c>
      <c r="BM586">
        <v>14.44</v>
      </c>
      <c r="BN586">
        <v>5.5999999999999899</v>
      </c>
    </row>
    <row r="587" spans="1:66" x14ac:dyDescent="0.3">
      <c r="A587">
        <v>586</v>
      </c>
      <c r="B587" s="2" t="s">
        <v>434</v>
      </c>
      <c r="C587" s="2" t="s">
        <v>449</v>
      </c>
      <c r="D587">
        <v>71.865937072503002</v>
      </c>
      <c r="E587" s="3">
        <v>45083.950694444437</v>
      </c>
      <c r="F587" s="1">
        <v>42705</v>
      </c>
      <c r="G587" s="1">
        <v>42695.352094907408</v>
      </c>
      <c r="H587" t="s">
        <v>15</v>
      </c>
      <c r="I587" t="s">
        <v>78</v>
      </c>
      <c r="J587" t="s">
        <v>15</v>
      </c>
      <c r="K587" t="s">
        <v>161</v>
      </c>
      <c r="L587">
        <v>55</v>
      </c>
      <c r="M587" t="s">
        <v>15</v>
      </c>
      <c r="N587" t="s">
        <v>15</v>
      </c>
      <c r="O587" t="s">
        <v>15</v>
      </c>
      <c r="P587" t="s">
        <v>75</v>
      </c>
      <c r="Q587" t="s">
        <v>451</v>
      </c>
      <c r="S587" t="s">
        <v>451</v>
      </c>
      <c r="T587" t="s">
        <v>451</v>
      </c>
      <c r="U587" t="s">
        <v>132</v>
      </c>
      <c r="V587" t="s">
        <v>451</v>
      </c>
      <c r="W587" t="s">
        <v>451</v>
      </c>
      <c r="Y587">
        <v>4.9000000953674299</v>
      </c>
      <c r="Z587">
        <v>3.20000004768371</v>
      </c>
      <c r="AA587">
        <v>1.29999995231628</v>
      </c>
      <c r="AB587">
        <v>1.20000004768371</v>
      </c>
      <c r="AC587">
        <v>239.86239624023401</v>
      </c>
      <c r="AD587">
        <v>118</v>
      </c>
      <c r="AE587">
        <v>1</v>
      </c>
      <c r="AN587" t="s">
        <v>855</v>
      </c>
      <c r="AO587">
        <v>90</v>
      </c>
      <c r="AP587">
        <v>35.15625</v>
      </c>
      <c r="AS587" s="1">
        <v>40773.261923148151</v>
      </c>
      <c r="AT587" s="1"/>
      <c r="AU587" s="1"/>
      <c r="AV587" s="1">
        <v>40554.374430821757</v>
      </c>
      <c r="AW587" s="1">
        <v>40554.374430821757</v>
      </c>
      <c r="AX587" s="1"/>
      <c r="AZ587">
        <v>140</v>
      </c>
      <c r="BA587">
        <v>49</v>
      </c>
      <c r="BB587" s="2">
        <v>3</v>
      </c>
      <c r="BC587">
        <f t="shared" si="35"/>
        <v>13.454593785050751</v>
      </c>
      <c r="BD587">
        <v>139</v>
      </c>
      <c r="BE587">
        <v>3.8999999999999901</v>
      </c>
      <c r="BF587">
        <v>2.2000000000000002</v>
      </c>
      <c r="BG587">
        <v>10.6999999999999</v>
      </c>
      <c r="BH587">
        <v>214</v>
      </c>
      <c r="BI587">
        <v>6.33</v>
      </c>
      <c r="BJ587">
        <v>7.2</v>
      </c>
      <c r="BK587">
        <v>7.0999999999999899</v>
      </c>
      <c r="BL587">
        <v>11.6999999999999</v>
      </c>
      <c r="BM587">
        <v>113.83</v>
      </c>
      <c r="BN587">
        <v>7.0999999999999899</v>
      </c>
    </row>
    <row r="588" spans="1:66" x14ac:dyDescent="0.3">
      <c r="A588">
        <v>587</v>
      </c>
      <c r="B588" s="2" t="s">
        <v>430</v>
      </c>
      <c r="C588" s="2" t="s">
        <v>448</v>
      </c>
      <c r="D588">
        <v>62.0191518467851</v>
      </c>
      <c r="E588" s="3">
        <v>45795</v>
      </c>
      <c r="F588" s="1">
        <v>45680</v>
      </c>
      <c r="G588" s="1">
        <v>45532.650509259263</v>
      </c>
      <c r="H588" t="s">
        <v>17</v>
      </c>
      <c r="I588" t="s">
        <v>78</v>
      </c>
      <c r="J588" t="s">
        <v>35</v>
      </c>
      <c r="L588">
        <v>25</v>
      </c>
      <c r="M588" t="s">
        <v>79</v>
      </c>
      <c r="N588" t="s">
        <v>28</v>
      </c>
      <c r="O588" t="s">
        <v>25</v>
      </c>
      <c r="P588" t="s">
        <v>451</v>
      </c>
      <c r="Q588" t="s">
        <v>18</v>
      </c>
      <c r="S588" t="s">
        <v>451</v>
      </c>
      <c r="T588" t="s">
        <v>19</v>
      </c>
      <c r="V588" t="s">
        <v>451</v>
      </c>
      <c r="W588" t="s">
        <v>23</v>
      </c>
      <c r="X588" t="s">
        <v>90</v>
      </c>
      <c r="Y588">
        <v>5.6999998092651296</v>
      </c>
      <c r="Z588">
        <v>4.6999998092651296</v>
      </c>
      <c r="AA588">
        <v>1.29999995231628</v>
      </c>
      <c r="AB588">
        <v>1</v>
      </c>
      <c r="AC588">
        <v>272.50341796875</v>
      </c>
      <c r="AD588">
        <v>125</v>
      </c>
      <c r="AE588">
        <v>2.4400000572204501</v>
      </c>
      <c r="AF588">
        <v>86</v>
      </c>
      <c r="AG588">
        <v>72.800003051757798</v>
      </c>
      <c r="AI588">
        <v>2.9400000572204501</v>
      </c>
      <c r="AJ588">
        <v>24.7600002288818</v>
      </c>
      <c r="AK588">
        <v>5.8699998855590803</v>
      </c>
      <c r="AL588">
        <v>13.300000190734799</v>
      </c>
      <c r="AM588">
        <v>5.4699997901916504</v>
      </c>
      <c r="AN588" t="s">
        <v>856</v>
      </c>
      <c r="AO588">
        <v>95.5</v>
      </c>
      <c r="AP588">
        <v>30.830320247933887</v>
      </c>
      <c r="AQ588" s="1">
        <v>42766</v>
      </c>
      <c r="AS588" s="1">
        <v>42923.459750810187</v>
      </c>
      <c r="AT588" s="1">
        <v>44496.755417743057</v>
      </c>
      <c r="AU588" s="1">
        <v>42974.393395023151</v>
      </c>
      <c r="AV588" s="1">
        <v>42927.43197982639</v>
      </c>
      <c r="AW588" s="1">
        <v>42927.43197982639</v>
      </c>
      <c r="AX588" s="1"/>
      <c r="BA588">
        <v>74</v>
      </c>
      <c r="BB588" s="2">
        <v>0</v>
      </c>
      <c r="BC588">
        <f t="shared" si="35"/>
        <v>18.21002298178804</v>
      </c>
      <c r="BD588">
        <v>135</v>
      </c>
      <c r="BE588">
        <v>4.2</v>
      </c>
      <c r="BF588">
        <v>3.5</v>
      </c>
      <c r="BG588">
        <v>12.6999999999999</v>
      </c>
      <c r="BH588">
        <v>303</v>
      </c>
      <c r="BI588">
        <v>5.6799999999999899</v>
      </c>
      <c r="BJ588">
        <v>8.6999999999999904</v>
      </c>
      <c r="BK588">
        <v>6.0999999999999899</v>
      </c>
      <c r="BL588">
        <v>17.100000000000001</v>
      </c>
      <c r="BM588">
        <v>9.33</v>
      </c>
      <c r="BN588">
        <v>6.9</v>
      </c>
    </row>
    <row r="589" spans="1:66" x14ac:dyDescent="0.3">
      <c r="A589">
        <v>588</v>
      </c>
      <c r="B589" s="2" t="s">
        <v>430</v>
      </c>
      <c r="C589" s="2" t="s">
        <v>448</v>
      </c>
      <c r="D589">
        <v>84.875512995896003</v>
      </c>
      <c r="E589" s="3"/>
      <c r="F589" s="1">
        <v>45525</v>
      </c>
      <c r="G589" s="1">
        <v>45526.564699074072</v>
      </c>
      <c r="H589" t="s">
        <v>452</v>
      </c>
      <c r="I589" t="s">
        <v>15</v>
      </c>
      <c r="J589" t="s">
        <v>15</v>
      </c>
      <c r="L589">
        <v>65</v>
      </c>
      <c r="M589" t="s">
        <v>451</v>
      </c>
      <c r="N589" t="s">
        <v>451</v>
      </c>
      <c r="O589" t="s">
        <v>17</v>
      </c>
      <c r="P589" t="s">
        <v>75</v>
      </c>
      <c r="Q589" t="s">
        <v>451</v>
      </c>
      <c r="S589" t="s">
        <v>451</v>
      </c>
      <c r="T589" t="s">
        <v>18</v>
      </c>
      <c r="V589" t="s">
        <v>451</v>
      </c>
      <c r="W589" t="s">
        <v>19</v>
      </c>
      <c r="X589" t="s">
        <v>15</v>
      </c>
      <c r="Y589">
        <v>3.1500000953674299</v>
      </c>
      <c r="Z589">
        <v>2.5</v>
      </c>
      <c r="AA589">
        <v>1.12000000476837</v>
      </c>
      <c r="AB589">
        <v>0.94999998807907104</v>
      </c>
      <c r="AC589">
        <v>92.936004638671804</v>
      </c>
      <c r="AE589">
        <v>1</v>
      </c>
      <c r="AF589">
        <v>31</v>
      </c>
      <c r="AG589">
        <v>134</v>
      </c>
      <c r="AI589">
        <v>4.5799999237060502</v>
      </c>
      <c r="AJ589">
        <v>29.2600002288818</v>
      </c>
      <c r="AK589">
        <v>7.2800002098083398</v>
      </c>
      <c r="AL589">
        <v>4.88000011444091</v>
      </c>
      <c r="AM589">
        <v>27.459999084472599</v>
      </c>
      <c r="AN589" t="s">
        <v>857</v>
      </c>
      <c r="AS589" s="1">
        <v>43871.944302511583</v>
      </c>
      <c r="AT589" s="1"/>
      <c r="AU589" s="1">
        <v>44011.185514930563</v>
      </c>
      <c r="AV589" s="1">
        <v>43871.944302511583</v>
      </c>
      <c r="AW589" s="1"/>
      <c r="AX589" s="1"/>
      <c r="BA589">
        <v>57</v>
      </c>
      <c r="BB589" s="2">
        <v>1</v>
      </c>
      <c r="BC589">
        <v>8.8000000000000007</v>
      </c>
      <c r="BD589">
        <v>129</v>
      </c>
      <c r="BE589">
        <v>5.4</v>
      </c>
      <c r="BF589">
        <v>3.1</v>
      </c>
      <c r="BG589">
        <v>9.4</v>
      </c>
      <c r="BH589">
        <v>246</v>
      </c>
      <c r="BI589">
        <v>7.57</v>
      </c>
      <c r="BJ589">
        <v>7.7</v>
      </c>
      <c r="BK589">
        <v>6.2</v>
      </c>
      <c r="BL589">
        <v>8.9</v>
      </c>
      <c r="BM589">
        <v>116.739999999999</v>
      </c>
      <c r="BN589">
        <v>4.7999999999999901</v>
      </c>
    </row>
    <row r="590" spans="1:66" x14ac:dyDescent="0.3">
      <c r="A590">
        <v>589</v>
      </c>
      <c r="B590" s="2" t="s">
        <v>434</v>
      </c>
      <c r="C590" s="2" t="s">
        <v>449</v>
      </c>
      <c r="D590">
        <v>74.946648426812004</v>
      </c>
      <c r="E590" s="3">
        <v>45251</v>
      </c>
      <c r="F590" s="1">
        <v>44113</v>
      </c>
      <c r="G590" s="1">
        <v>44015.418495370373</v>
      </c>
      <c r="H590" t="s">
        <v>17</v>
      </c>
      <c r="I590" t="s">
        <v>451</v>
      </c>
      <c r="J590" t="s">
        <v>35</v>
      </c>
      <c r="L590">
        <v>15</v>
      </c>
      <c r="M590" t="s">
        <v>451</v>
      </c>
      <c r="N590" t="s">
        <v>28</v>
      </c>
      <c r="O590" t="s">
        <v>17</v>
      </c>
      <c r="P590" t="s">
        <v>75</v>
      </c>
      <c r="Q590" t="s">
        <v>451</v>
      </c>
      <c r="S590" t="s">
        <v>451</v>
      </c>
      <c r="T590" t="s">
        <v>23</v>
      </c>
      <c r="U590" t="s">
        <v>266</v>
      </c>
      <c r="V590" t="s">
        <v>451</v>
      </c>
      <c r="W590" t="s">
        <v>34</v>
      </c>
      <c r="X590" t="s">
        <v>87</v>
      </c>
      <c r="Y590">
        <v>5.6999998092651296</v>
      </c>
      <c r="Z590">
        <v>5.13000011444091</v>
      </c>
      <c r="AA590">
        <v>0.97000002861022905</v>
      </c>
      <c r="AB590">
        <v>0.92000001668929998</v>
      </c>
      <c r="AC590">
        <v>210.30766296386699</v>
      </c>
      <c r="AD590">
        <v>131</v>
      </c>
      <c r="AE590">
        <v>2</v>
      </c>
      <c r="AF590">
        <v>57</v>
      </c>
      <c r="AG590">
        <v>71.599998474120994</v>
      </c>
      <c r="AH590">
        <v>4.6799998283386204</v>
      </c>
      <c r="AI590">
        <v>3.3099999427795401</v>
      </c>
      <c r="AJ590">
        <v>21.629999160766602</v>
      </c>
      <c r="AK590">
        <v>6.4299998283386204</v>
      </c>
      <c r="AL590">
        <v>6.8200001716613698</v>
      </c>
      <c r="AM590">
        <v>10.5</v>
      </c>
      <c r="AN590" t="s">
        <v>858</v>
      </c>
      <c r="AO590">
        <v>56.5</v>
      </c>
      <c r="AP590">
        <v>23.21663379355687</v>
      </c>
      <c r="AS590" s="1"/>
      <c r="AT590" s="1"/>
      <c r="AU590" s="1">
        <v>43573.439953854169</v>
      </c>
      <c r="AV590" s="1">
        <v>43573.439953854169</v>
      </c>
      <c r="AW590" s="1">
        <v>43573.439953854169</v>
      </c>
      <c r="AX590" s="1"/>
      <c r="AY590" t="s">
        <v>21</v>
      </c>
      <c r="BB590" s="2">
        <v>2</v>
      </c>
      <c r="BC590">
        <f>(140-D590)*AO590/(72*BI590)</f>
        <v>14.259444304333961</v>
      </c>
      <c r="BD590">
        <v>145</v>
      </c>
      <c r="BE590">
        <v>3.7999999999999901</v>
      </c>
      <c r="BF590">
        <v>3.7999999999999901</v>
      </c>
      <c r="BG590">
        <v>11.8</v>
      </c>
      <c r="BH590">
        <v>342</v>
      </c>
      <c r="BI590">
        <v>3.58</v>
      </c>
      <c r="BJ590">
        <v>9.6999999999999904</v>
      </c>
      <c r="BK590">
        <v>5.2999999999999901</v>
      </c>
      <c r="BL590">
        <v>16.6999999999999</v>
      </c>
      <c r="BM590">
        <v>49.74</v>
      </c>
      <c r="BN590">
        <v>5.5</v>
      </c>
    </row>
    <row r="591" spans="1:66" x14ac:dyDescent="0.3">
      <c r="A591">
        <v>590</v>
      </c>
      <c r="B591" s="2" t="s">
        <v>430</v>
      </c>
      <c r="C591" s="2" t="s">
        <v>448</v>
      </c>
      <c r="D591">
        <v>75.980848153213998</v>
      </c>
      <c r="E591" s="3">
        <v>42042.525000000001</v>
      </c>
      <c r="F591" s="1">
        <v>41652</v>
      </c>
      <c r="G591" s="1">
        <v>41644.473981481482</v>
      </c>
      <c r="H591" t="s">
        <v>17</v>
      </c>
      <c r="I591" t="s">
        <v>78</v>
      </c>
      <c r="J591" t="s">
        <v>15</v>
      </c>
      <c r="L591">
        <v>55</v>
      </c>
      <c r="M591" t="s">
        <v>451</v>
      </c>
      <c r="N591" t="s">
        <v>451</v>
      </c>
      <c r="O591" t="s">
        <v>17</v>
      </c>
      <c r="P591" t="s">
        <v>75</v>
      </c>
      <c r="Q591" t="s">
        <v>451</v>
      </c>
      <c r="R591" t="s">
        <v>289</v>
      </c>
      <c r="S591" t="s">
        <v>451</v>
      </c>
      <c r="T591" t="s">
        <v>19</v>
      </c>
      <c r="U591" t="s">
        <v>111</v>
      </c>
      <c r="V591" t="s">
        <v>451</v>
      </c>
      <c r="W591" t="s">
        <v>18</v>
      </c>
      <c r="X591" t="s">
        <v>87</v>
      </c>
      <c r="Y591">
        <v>5.9000000953674299</v>
      </c>
      <c r="Z591">
        <v>4.0999999046325604</v>
      </c>
      <c r="AA591">
        <v>1.29999995231628</v>
      </c>
      <c r="AB591">
        <v>1.20000004768371</v>
      </c>
      <c r="AC591">
        <v>322.854400634765</v>
      </c>
      <c r="AE591">
        <v>1</v>
      </c>
      <c r="AF591">
        <v>52</v>
      </c>
      <c r="AG591">
        <v>137.77999877929599</v>
      </c>
      <c r="AH591">
        <v>6</v>
      </c>
      <c r="AI591">
        <v>5</v>
      </c>
      <c r="AJ591">
        <v>27.559999465942301</v>
      </c>
      <c r="AK591">
        <v>8</v>
      </c>
      <c r="AL591">
        <v>9</v>
      </c>
      <c r="AM591">
        <v>15.3100004196166</v>
      </c>
      <c r="AN591" t="s">
        <v>859</v>
      </c>
      <c r="AS591" s="1"/>
      <c r="AT591" s="1">
        <v>40950.759085798607</v>
      </c>
      <c r="AU591" s="1">
        <v>40308.065664004629</v>
      </c>
      <c r="AV591" s="1">
        <v>40308.06530234954</v>
      </c>
      <c r="AW591" s="1">
        <v>40308.066051701389</v>
      </c>
      <c r="AX591" s="1"/>
      <c r="AZ591">
        <v>93</v>
      </c>
      <c r="BA591">
        <v>65</v>
      </c>
      <c r="BB591" s="2">
        <v>2</v>
      </c>
      <c r="BC591">
        <v>9.8000000000000007</v>
      </c>
      <c r="BD591">
        <v>154</v>
      </c>
      <c r="BE591">
        <v>4</v>
      </c>
      <c r="BF591">
        <v>2.7</v>
      </c>
      <c r="BG591">
        <v>9.4</v>
      </c>
      <c r="BH591">
        <v>228</v>
      </c>
      <c r="BI591">
        <v>5.75999999999999</v>
      </c>
      <c r="BJ591">
        <v>8.4</v>
      </c>
      <c r="BK591">
        <v>4.5999999999999899</v>
      </c>
      <c r="BL591">
        <v>11.4</v>
      </c>
      <c r="BM591">
        <v>134.88999999999899</v>
      </c>
      <c r="BN591">
        <v>6.2999999999999901</v>
      </c>
    </row>
    <row r="592" spans="1:66" x14ac:dyDescent="0.3">
      <c r="A592">
        <v>591</v>
      </c>
      <c r="B592" s="2" t="s">
        <v>430</v>
      </c>
      <c r="C592" s="2" t="s">
        <v>449</v>
      </c>
      <c r="D592">
        <v>73.452804377563893</v>
      </c>
      <c r="E592" s="3">
        <v>43708.474305555559</v>
      </c>
      <c r="F592" s="1">
        <v>43650</v>
      </c>
      <c r="G592" s="1">
        <v>43468.713159722232</v>
      </c>
      <c r="H592" t="s">
        <v>15</v>
      </c>
      <c r="I592" t="s">
        <v>451</v>
      </c>
      <c r="J592" t="s">
        <v>22</v>
      </c>
      <c r="L592">
        <v>43</v>
      </c>
      <c r="M592" t="s">
        <v>451</v>
      </c>
      <c r="N592" t="s">
        <v>451</v>
      </c>
      <c r="O592" t="s">
        <v>17</v>
      </c>
      <c r="P592" t="s">
        <v>75</v>
      </c>
      <c r="S592" t="s">
        <v>75</v>
      </c>
      <c r="T592" t="s">
        <v>18</v>
      </c>
      <c r="V592" t="s">
        <v>451</v>
      </c>
      <c r="W592" t="s">
        <v>18</v>
      </c>
      <c r="X592" t="s">
        <v>15</v>
      </c>
      <c r="Y592">
        <v>4.6399998664855904</v>
      </c>
      <c r="Z592">
        <v>3.4400000572204501</v>
      </c>
      <c r="AA592">
        <v>1.12999999523162</v>
      </c>
      <c r="AB592">
        <v>0.81999999284744196</v>
      </c>
      <c r="AC592">
        <v>155.59646606445301</v>
      </c>
      <c r="AD592">
        <v>94</v>
      </c>
      <c r="AE592">
        <v>1.87999999523162</v>
      </c>
      <c r="AF592">
        <v>35</v>
      </c>
      <c r="AG592">
        <v>66.699996948242102</v>
      </c>
      <c r="AH592">
        <v>3.2999999523162802</v>
      </c>
      <c r="AI592">
        <v>5.0300002098083398</v>
      </c>
      <c r="AJ592">
        <v>13.2600002288818</v>
      </c>
      <c r="AK592">
        <v>6.5300002098083398</v>
      </c>
      <c r="AL592">
        <v>6.0799999237060502</v>
      </c>
      <c r="AM592">
        <v>10.9700002670288</v>
      </c>
      <c r="AN592" t="s">
        <v>860</v>
      </c>
      <c r="AO592">
        <v>62.2</v>
      </c>
      <c r="AQ592" s="1">
        <v>36526</v>
      </c>
      <c r="AS592" s="1">
        <v>42432.86117916667</v>
      </c>
      <c r="AT592" s="1"/>
      <c r="AU592" s="1">
        <v>42432.86117916667</v>
      </c>
      <c r="AV592" s="1">
        <v>42432.86117916667</v>
      </c>
      <c r="AW592" s="1"/>
      <c r="AX592" s="1"/>
      <c r="BB592" s="2">
        <v>0</v>
      </c>
      <c r="BC592">
        <f t="shared" ref="BC592:BC602" si="36">(140-D592)*AO592/(72*BI592)</f>
        <v>8.5549676912110026</v>
      </c>
      <c r="BD592">
        <v>132</v>
      </c>
      <c r="BE592">
        <v>3.2999999999999901</v>
      </c>
      <c r="BF592">
        <v>3.1</v>
      </c>
      <c r="BG592">
        <v>13.1</v>
      </c>
      <c r="BH592">
        <v>446</v>
      </c>
      <c r="BI592">
        <v>6.71999999999999</v>
      </c>
      <c r="BJ592">
        <v>9.4</v>
      </c>
      <c r="BK592">
        <v>5.7999999999999901</v>
      </c>
      <c r="BL592">
        <v>18.600000000000001</v>
      </c>
      <c r="BM592">
        <v>84.29</v>
      </c>
      <c r="BN592">
        <v>6.5</v>
      </c>
    </row>
    <row r="593" spans="1:66" x14ac:dyDescent="0.3">
      <c r="A593">
        <v>592</v>
      </c>
      <c r="B593" s="2" t="s">
        <v>430</v>
      </c>
      <c r="C593" s="2" t="s">
        <v>448</v>
      </c>
      <c r="D593">
        <v>76.232558139534007</v>
      </c>
      <c r="E593" s="3"/>
      <c r="F593" s="1">
        <v>44666</v>
      </c>
      <c r="G593" s="1">
        <v>44412.58079861111</v>
      </c>
      <c r="H593" t="s">
        <v>15</v>
      </c>
      <c r="I593" t="s">
        <v>451</v>
      </c>
      <c r="J593" t="s">
        <v>15</v>
      </c>
      <c r="K593" t="s">
        <v>131</v>
      </c>
      <c r="L593">
        <v>55</v>
      </c>
      <c r="M593" t="s">
        <v>451</v>
      </c>
      <c r="N593" t="s">
        <v>451</v>
      </c>
      <c r="O593" t="s">
        <v>17</v>
      </c>
      <c r="P593" t="s">
        <v>112</v>
      </c>
      <c r="S593" t="s">
        <v>15</v>
      </c>
      <c r="T593" t="s">
        <v>19</v>
      </c>
      <c r="V593" t="s">
        <v>15</v>
      </c>
      <c r="W593" t="s">
        <v>19</v>
      </c>
      <c r="X593" t="s">
        <v>87</v>
      </c>
      <c r="Y593">
        <v>5.5</v>
      </c>
      <c r="Z593">
        <v>3.7999999523162802</v>
      </c>
      <c r="AA593">
        <v>1.29999995231628</v>
      </c>
      <c r="AB593">
        <v>0.89999997615814198</v>
      </c>
      <c r="AC593">
        <v>242.011459350585</v>
      </c>
      <c r="AD593">
        <v>113</v>
      </c>
      <c r="AE593">
        <v>1</v>
      </c>
      <c r="AF593">
        <v>48</v>
      </c>
      <c r="AG593">
        <v>111</v>
      </c>
      <c r="AH593">
        <v>4.2800002098083398</v>
      </c>
      <c r="AI593">
        <v>3.3199999332427899</v>
      </c>
      <c r="AJ593">
        <v>33.430000305175703</v>
      </c>
      <c r="AK593">
        <v>7.42000007629394</v>
      </c>
      <c r="AL593">
        <v>7.7600002288818297</v>
      </c>
      <c r="AM593">
        <v>14.300000190734799</v>
      </c>
      <c r="AN593" t="s">
        <v>861</v>
      </c>
      <c r="AO593">
        <v>100</v>
      </c>
      <c r="AP593">
        <v>32.653061224489797</v>
      </c>
      <c r="AQ593" s="1">
        <v>44661</v>
      </c>
      <c r="AR593" s="1">
        <v>44661</v>
      </c>
      <c r="AS593" s="1">
        <v>44335.961114965277</v>
      </c>
      <c r="AT593" s="1"/>
      <c r="AU593" s="1">
        <v>44336.301744247678</v>
      </c>
      <c r="AV593" s="1">
        <v>44336.301744247678</v>
      </c>
      <c r="AW593" s="1"/>
      <c r="AX593" s="1">
        <v>44336.303088657412</v>
      </c>
      <c r="AZ593">
        <v>145</v>
      </c>
      <c r="BA593">
        <v>66</v>
      </c>
      <c r="BB593" s="2">
        <v>1</v>
      </c>
      <c r="BC593">
        <f t="shared" si="36"/>
        <v>19.465031092938382</v>
      </c>
      <c r="BD593">
        <v>137</v>
      </c>
      <c r="BE593">
        <v>4.4000000000000004</v>
      </c>
      <c r="BF593">
        <v>2.6</v>
      </c>
      <c r="BG593">
        <v>8.3000000000000007</v>
      </c>
      <c r="BH593">
        <v>126</v>
      </c>
      <c r="BI593">
        <v>4.5499999999999901</v>
      </c>
      <c r="BJ593">
        <v>7.7</v>
      </c>
      <c r="BK593">
        <v>4.2</v>
      </c>
      <c r="BL593">
        <v>6.4</v>
      </c>
      <c r="BM593">
        <v>172.38</v>
      </c>
      <c r="BN593">
        <v>5.7</v>
      </c>
    </row>
    <row r="594" spans="1:66" x14ac:dyDescent="0.3">
      <c r="A594">
        <v>593</v>
      </c>
      <c r="B594" s="2" t="s">
        <v>430</v>
      </c>
      <c r="C594" s="2" t="s">
        <v>448</v>
      </c>
      <c r="D594">
        <v>68.692202462379896</v>
      </c>
      <c r="E594" s="3">
        <v>42502.614583333343</v>
      </c>
      <c r="F594" s="1">
        <v>42275</v>
      </c>
      <c r="G594" s="1">
        <v>42276.351203703707</v>
      </c>
      <c r="H594" t="s">
        <v>15</v>
      </c>
      <c r="I594" t="s">
        <v>78</v>
      </c>
      <c r="J594" t="s">
        <v>30</v>
      </c>
      <c r="L594">
        <v>30</v>
      </c>
      <c r="M594" t="s">
        <v>79</v>
      </c>
      <c r="N594" t="s">
        <v>28</v>
      </c>
      <c r="O594" t="s">
        <v>17</v>
      </c>
      <c r="P594" t="s">
        <v>126</v>
      </c>
      <c r="Q594" t="s">
        <v>451</v>
      </c>
      <c r="R594" t="s">
        <v>491</v>
      </c>
      <c r="S594" t="s">
        <v>75</v>
      </c>
      <c r="T594" t="s">
        <v>19</v>
      </c>
      <c r="U594" t="s">
        <v>96</v>
      </c>
      <c r="V594" t="s">
        <v>451</v>
      </c>
      <c r="W594" t="s">
        <v>19</v>
      </c>
      <c r="X594" t="s">
        <v>87</v>
      </c>
      <c r="Y594">
        <v>4.9400000572204501</v>
      </c>
      <c r="Z594">
        <v>2.5999999046325599</v>
      </c>
      <c r="AA594">
        <v>1.2799999713897701</v>
      </c>
      <c r="AB594">
        <v>1.1100000143051101</v>
      </c>
      <c r="AC594">
        <v>227.968170166015</v>
      </c>
      <c r="AD594">
        <v>112</v>
      </c>
      <c r="AE594">
        <v>2.3099999427795401</v>
      </c>
      <c r="AF594">
        <v>55</v>
      </c>
      <c r="AG594">
        <v>180.94999694824199</v>
      </c>
      <c r="AH594">
        <v>3</v>
      </c>
      <c r="AI594">
        <v>3</v>
      </c>
      <c r="AJ594">
        <v>60.319999694824197</v>
      </c>
      <c r="AK594">
        <v>6</v>
      </c>
      <c r="AL594">
        <v>7</v>
      </c>
      <c r="AM594">
        <v>25.850000381469702</v>
      </c>
      <c r="AN594" t="s">
        <v>862</v>
      </c>
      <c r="AO594">
        <v>77.400000000000006</v>
      </c>
      <c r="AP594">
        <v>26.782006920415224</v>
      </c>
      <c r="AQ594" s="1">
        <v>42248</v>
      </c>
      <c r="AR594" s="1">
        <v>34700</v>
      </c>
      <c r="AS594" s="1"/>
      <c r="AT594" s="1"/>
      <c r="AU594" s="1">
        <v>40342.525183483798</v>
      </c>
      <c r="AV594" s="1">
        <v>40342.525215011578</v>
      </c>
      <c r="AW594" s="1">
        <v>40342.525251192128</v>
      </c>
      <c r="AX594" s="1"/>
      <c r="AZ594">
        <v>110</v>
      </c>
      <c r="BA594">
        <v>48</v>
      </c>
      <c r="BB594" s="2">
        <v>9</v>
      </c>
      <c r="BC594">
        <f t="shared" si="36"/>
        <v>21.777239304812959</v>
      </c>
      <c r="BD594">
        <v>132</v>
      </c>
      <c r="BE594">
        <v>5.5999999999999899</v>
      </c>
      <c r="BF594">
        <v>2.8999999999999901</v>
      </c>
      <c r="BG594">
        <v>9.1999999999999904</v>
      </c>
      <c r="BH594">
        <v>168</v>
      </c>
      <c r="BI594">
        <v>3.52</v>
      </c>
      <c r="BJ594">
        <v>9.4</v>
      </c>
      <c r="BK594">
        <v>5.5999999999999899</v>
      </c>
      <c r="BL594">
        <v>6.0999999999999899</v>
      </c>
      <c r="BM594">
        <v>82.29</v>
      </c>
      <c r="BN594">
        <v>6.2</v>
      </c>
    </row>
    <row r="595" spans="1:66" x14ac:dyDescent="0.3">
      <c r="A595">
        <v>594</v>
      </c>
      <c r="B595" s="2" t="s">
        <v>430</v>
      </c>
      <c r="C595" s="2" t="s">
        <v>448</v>
      </c>
      <c r="D595">
        <v>73.012311901504006</v>
      </c>
      <c r="E595" s="3"/>
      <c r="F595" s="1">
        <v>42159</v>
      </c>
      <c r="G595" s="1">
        <v>42074.611296296287</v>
      </c>
      <c r="H595" t="s">
        <v>25</v>
      </c>
      <c r="I595" t="s">
        <v>451</v>
      </c>
      <c r="J595" t="s">
        <v>35</v>
      </c>
      <c r="L595">
        <v>23</v>
      </c>
      <c r="M595" t="s">
        <v>15</v>
      </c>
      <c r="N595" t="s">
        <v>14</v>
      </c>
      <c r="O595" t="s">
        <v>25</v>
      </c>
      <c r="P595" t="s">
        <v>451</v>
      </c>
      <c r="Q595" t="s">
        <v>451</v>
      </c>
      <c r="S595" t="s">
        <v>451</v>
      </c>
      <c r="T595" t="s">
        <v>19</v>
      </c>
      <c r="U595" t="s">
        <v>132</v>
      </c>
      <c r="V595" t="s">
        <v>451</v>
      </c>
      <c r="W595" t="s">
        <v>19</v>
      </c>
      <c r="X595" t="s">
        <v>87</v>
      </c>
      <c r="Y595">
        <v>6.13000011444091</v>
      </c>
      <c r="Z595">
        <v>5.1900000572204501</v>
      </c>
      <c r="AA595">
        <v>1.5</v>
      </c>
      <c r="AB595">
        <v>0.87999999523162797</v>
      </c>
      <c r="AC595">
        <v>321.70928955078102</v>
      </c>
      <c r="AD595">
        <v>166</v>
      </c>
      <c r="AE595">
        <v>2.5</v>
      </c>
      <c r="AF595">
        <v>50</v>
      </c>
      <c r="AG595">
        <v>115.94000244140599</v>
      </c>
      <c r="AN595" t="s">
        <v>863</v>
      </c>
      <c r="AO595">
        <v>82</v>
      </c>
      <c r="AP595">
        <v>28.042816593139772</v>
      </c>
      <c r="AS595" s="1"/>
      <c r="AT595" s="1"/>
      <c r="AU595" s="1">
        <v>42072.553233136583</v>
      </c>
      <c r="AV595" s="1">
        <v>40079.056568171298</v>
      </c>
      <c r="AW595" s="1">
        <v>42072.553233136583</v>
      </c>
      <c r="AX595" s="1"/>
      <c r="BA595">
        <v>66</v>
      </c>
      <c r="BB595" s="2">
        <v>6</v>
      </c>
      <c r="BC595">
        <f t="shared" si="36"/>
        <v>18.078562480505148</v>
      </c>
      <c r="BD595">
        <v>152</v>
      </c>
      <c r="BE595">
        <v>3.7999999999999901</v>
      </c>
      <c r="BF595">
        <v>2.7</v>
      </c>
      <c r="BG595">
        <v>8</v>
      </c>
      <c r="BH595">
        <v>259</v>
      </c>
      <c r="BI595">
        <v>4.21999999999999</v>
      </c>
      <c r="BJ595">
        <v>7.7999999999999901</v>
      </c>
      <c r="BK595">
        <v>4.7</v>
      </c>
      <c r="BL595">
        <v>13.6</v>
      </c>
      <c r="BM595">
        <v>39.829999999999899</v>
      </c>
      <c r="BN595">
        <v>5.5</v>
      </c>
    </row>
    <row r="596" spans="1:66" x14ac:dyDescent="0.3">
      <c r="A596">
        <v>595</v>
      </c>
      <c r="B596" s="2" t="s">
        <v>430</v>
      </c>
      <c r="C596" s="2" t="s">
        <v>448</v>
      </c>
      <c r="D596">
        <v>83.302325581394896</v>
      </c>
      <c r="E596" s="3">
        <v>43100</v>
      </c>
      <c r="F596" s="1">
        <v>42867</v>
      </c>
      <c r="G596" s="1">
        <v>42870.540879629632</v>
      </c>
      <c r="H596" t="s">
        <v>15</v>
      </c>
      <c r="I596" t="s">
        <v>15</v>
      </c>
      <c r="J596" t="s">
        <v>35</v>
      </c>
      <c r="L596">
        <v>25</v>
      </c>
      <c r="M596" t="s">
        <v>15</v>
      </c>
      <c r="N596" t="s">
        <v>35</v>
      </c>
      <c r="O596" t="s">
        <v>17</v>
      </c>
      <c r="P596" t="s">
        <v>75</v>
      </c>
      <c r="S596" t="s">
        <v>451</v>
      </c>
      <c r="T596" t="s">
        <v>19</v>
      </c>
      <c r="U596" t="s">
        <v>266</v>
      </c>
      <c r="V596" t="s">
        <v>451</v>
      </c>
      <c r="W596" t="s">
        <v>19</v>
      </c>
      <c r="X596" t="s">
        <v>87</v>
      </c>
      <c r="Y596">
        <v>4.8299999237060502</v>
      </c>
      <c r="Z596">
        <v>3.3299999237060498</v>
      </c>
      <c r="AA596">
        <v>1.0599999427795399</v>
      </c>
      <c r="AB596">
        <v>0.79000002145767201</v>
      </c>
      <c r="AC596">
        <v>154.85200500488199</v>
      </c>
      <c r="AD596">
        <v>87</v>
      </c>
      <c r="AE596">
        <v>2.25</v>
      </c>
      <c r="AF596">
        <v>50</v>
      </c>
      <c r="AG596">
        <v>120</v>
      </c>
      <c r="AH596">
        <v>3.3199999332427899</v>
      </c>
      <c r="AI596">
        <v>3.0299999713897701</v>
      </c>
      <c r="AJ596">
        <v>39.599998474121001</v>
      </c>
      <c r="AK596">
        <v>4.5399999618530202</v>
      </c>
      <c r="AL596">
        <v>5.1900000572204501</v>
      </c>
      <c r="AM596">
        <v>23.120000839233299</v>
      </c>
      <c r="AN596" t="s">
        <v>864</v>
      </c>
      <c r="AO596">
        <v>70</v>
      </c>
      <c r="AP596">
        <v>25.099501595611173</v>
      </c>
      <c r="AQ596" s="1">
        <v>42892</v>
      </c>
      <c r="AS596" s="1">
        <v>41673.738808831018</v>
      </c>
      <c r="AT596" s="1"/>
      <c r="AU596" s="1">
        <v>41427.638099108794</v>
      </c>
      <c r="AV596" s="1">
        <v>41427.637743206018</v>
      </c>
      <c r="AW596" s="1"/>
      <c r="AX596" s="1"/>
      <c r="AZ596">
        <v>135</v>
      </c>
      <c r="BA596">
        <v>58</v>
      </c>
      <c r="BB596" s="2">
        <v>0</v>
      </c>
      <c r="BC596">
        <f t="shared" si="36"/>
        <v>8.8337722785397901</v>
      </c>
      <c r="BD596">
        <v>137</v>
      </c>
      <c r="BE596">
        <v>3.8999999999999901</v>
      </c>
      <c r="BF596">
        <v>3</v>
      </c>
      <c r="BG596">
        <v>11.8</v>
      </c>
      <c r="BH596">
        <v>227</v>
      </c>
      <c r="BI596">
        <v>6.24</v>
      </c>
      <c r="BJ596">
        <v>7.2</v>
      </c>
      <c r="BK596">
        <v>9.1999999999999904</v>
      </c>
      <c r="BL596">
        <v>8.5999999999999908</v>
      </c>
      <c r="BM596">
        <v>216.66</v>
      </c>
      <c r="BN596">
        <v>7.5</v>
      </c>
    </row>
    <row r="597" spans="1:66" x14ac:dyDescent="0.3">
      <c r="A597">
        <v>596</v>
      </c>
      <c r="B597" s="2" t="s">
        <v>430</v>
      </c>
      <c r="C597" s="2" t="s">
        <v>448</v>
      </c>
      <c r="D597">
        <v>81.923392612859004</v>
      </c>
      <c r="E597" s="3">
        <v>42795.268750000003</v>
      </c>
      <c r="F597" s="1">
        <v>42363</v>
      </c>
      <c r="G597" s="1">
        <v>42327.536562499998</v>
      </c>
      <c r="H597" t="s">
        <v>17</v>
      </c>
      <c r="I597" t="s">
        <v>78</v>
      </c>
      <c r="J597" t="s">
        <v>453</v>
      </c>
      <c r="L597">
        <v>55</v>
      </c>
      <c r="M597" t="s">
        <v>451</v>
      </c>
      <c r="N597" t="s">
        <v>451</v>
      </c>
      <c r="O597" t="s">
        <v>17</v>
      </c>
      <c r="P597" t="s">
        <v>75</v>
      </c>
      <c r="Q597" t="s">
        <v>19</v>
      </c>
      <c r="S597" t="s">
        <v>451</v>
      </c>
      <c r="T597" t="s">
        <v>18</v>
      </c>
      <c r="V597" t="s">
        <v>451</v>
      </c>
      <c r="W597" t="s">
        <v>19</v>
      </c>
      <c r="X597" t="s">
        <v>87</v>
      </c>
      <c r="Y597">
        <v>5.8099999427795401</v>
      </c>
      <c r="Z597">
        <v>3.8900001049041699</v>
      </c>
      <c r="AA597">
        <v>1.45000004768371</v>
      </c>
      <c r="AB597">
        <v>1.3200000524520801</v>
      </c>
      <c r="AC597">
        <v>362.94079589843699</v>
      </c>
      <c r="AD597">
        <v>179</v>
      </c>
      <c r="AE597">
        <v>1.62000000476837</v>
      </c>
      <c r="AF597">
        <v>47</v>
      </c>
      <c r="AG597">
        <v>91.069999694824205</v>
      </c>
      <c r="AH597">
        <v>4</v>
      </c>
      <c r="AI597">
        <v>4</v>
      </c>
      <c r="AJ597">
        <v>22.770000457763601</v>
      </c>
      <c r="AK597">
        <v>4</v>
      </c>
      <c r="AL597">
        <v>5</v>
      </c>
      <c r="AM597">
        <v>18.209999084472599</v>
      </c>
      <c r="AN597" t="s">
        <v>865</v>
      </c>
      <c r="AO597">
        <v>82</v>
      </c>
      <c r="AP597">
        <v>25.59220998096189</v>
      </c>
      <c r="AQ597" s="1">
        <v>42005</v>
      </c>
      <c r="AR597" s="1">
        <v>37257</v>
      </c>
      <c r="AS597" s="1">
        <v>41112.926526967603</v>
      </c>
      <c r="AT597" s="1"/>
      <c r="AU597" s="1">
        <v>39790.1063321412</v>
      </c>
      <c r="AV597" s="1">
        <v>39789.499848842592</v>
      </c>
      <c r="AW597" s="1"/>
      <c r="AX597" s="1"/>
      <c r="AY597" t="s">
        <v>21</v>
      </c>
      <c r="BB597" s="2">
        <v>5</v>
      </c>
      <c r="BC597">
        <f t="shared" si="36"/>
        <v>13.20215625899748</v>
      </c>
      <c r="BD597">
        <v>135</v>
      </c>
      <c r="BE597">
        <v>5.0999999999999899</v>
      </c>
      <c r="BF597">
        <v>3.2</v>
      </c>
      <c r="BG597">
        <v>10.8</v>
      </c>
      <c r="BH597">
        <v>348</v>
      </c>
      <c r="BI597">
        <v>5.00999999999999</v>
      </c>
      <c r="BJ597">
        <v>8.8000000000000007</v>
      </c>
      <c r="BK597">
        <v>5.2999999999999901</v>
      </c>
      <c r="BL597">
        <v>12.1999999999999</v>
      </c>
      <c r="BM597">
        <v>160.13999999999899</v>
      </c>
      <c r="BN597">
        <v>6.2999999999999901</v>
      </c>
    </row>
    <row r="598" spans="1:66" x14ac:dyDescent="0.3">
      <c r="A598">
        <v>597</v>
      </c>
      <c r="B598" s="2" t="s">
        <v>430</v>
      </c>
      <c r="C598" s="2" t="s">
        <v>448</v>
      </c>
      <c r="D598">
        <v>87.440319577443006</v>
      </c>
      <c r="E598" s="3">
        <v>45446</v>
      </c>
      <c r="F598" s="1">
        <v>45399.436805555553</v>
      </c>
      <c r="G598" s="1">
        <v>45391.471446759257</v>
      </c>
      <c r="H598" t="s">
        <v>15</v>
      </c>
      <c r="I598" t="s">
        <v>15</v>
      </c>
      <c r="J598" t="s">
        <v>28</v>
      </c>
      <c r="L598">
        <v>60</v>
      </c>
      <c r="M598" t="s">
        <v>15</v>
      </c>
      <c r="N598" t="s">
        <v>14</v>
      </c>
      <c r="O598" t="s">
        <v>25</v>
      </c>
      <c r="P598" t="s">
        <v>75</v>
      </c>
      <c r="Q598" t="s">
        <v>18</v>
      </c>
      <c r="R598" t="s">
        <v>98</v>
      </c>
      <c r="S598" t="s">
        <v>137</v>
      </c>
      <c r="T598" t="s">
        <v>18</v>
      </c>
      <c r="U598" t="s">
        <v>518</v>
      </c>
      <c r="V598" t="s">
        <v>15</v>
      </c>
      <c r="W598" t="s">
        <v>26</v>
      </c>
      <c r="X598" t="s">
        <v>87</v>
      </c>
      <c r="Y598">
        <v>5.0399999618530202</v>
      </c>
      <c r="Z598">
        <v>3.4700000286102202</v>
      </c>
      <c r="AA598">
        <v>0.83999997377395597</v>
      </c>
      <c r="AB598">
        <v>0.77999997138976995</v>
      </c>
      <c r="AC598">
        <v>139.863677978515</v>
      </c>
      <c r="AD598">
        <v>71</v>
      </c>
      <c r="AE598">
        <v>2</v>
      </c>
      <c r="AF598">
        <v>50</v>
      </c>
      <c r="AN598" t="s">
        <v>866</v>
      </c>
      <c r="AO598">
        <v>83.299999999999898</v>
      </c>
      <c r="AP598">
        <v>28.823529411764671</v>
      </c>
      <c r="AQ598" s="1">
        <v>29587</v>
      </c>
      <c r="AS598" s="1">
        <v>40868.387511030087</v>
      </c>
      <c r="AT598" s="1"/>
      <c r="AU598" s="1">
        <v>40868.403608217603</v>
      </c>
      <c r="AV598" s="1">
        <v>40868.386995023153</v>
      </c>
      <c r="AW598" s="1"/>
      <c r="AX598" s="1">
        <v>44144.49261346065</v>
      </c>
      <c r="AZ598">
        <v>136</v>
      </c>
      <c r="BA598">
        <v>72</v>
      </c>
      <c r="BB598" s="2">
        <v>0</v>
      </c>
      <c r="BC598">
        <f t="shared" si="36"/>
        <v>10.067654017657727</v>
      </c>
      <c r="BD598">
        <v>139</v>
      </c>
      <c r="BE598">
        <v>4.7999999999999901</v>
      </c>
      <c r="BF598">
        <v>3.6</v>
      </c>
      <c r="BG598">
        <v>10.8</v>
      </c>
      <c r="BH598">
        <v>290</v>
      </c>
      <c r="BI598">
        <v>6.04</v>
      </c>
      <c r="BJ598">
        <v>8.9</v>
      </c>
      <c r="BK598">
        <v>5.2999999999999901</v>
      </c>
      <c r="BL598">
        <v>9.5999999999999908</v>
      </c>
      <c r="BM598">
        <v>70.040000000000006</v>
      </c>
      <c r="BN598">
        <v>5.5999999999999899</v>
      </c>
    </row>
    <row r="599" spans="1:66" x14ac:dyDescent="0.3">
      <c r="A599">
        <v>598</v>
      </c>
      <c r="B599" s="2" t="s">
        <v>430</v>
      </c>
      <c r="C599" s="2" t="s">
        <v>448</v>
      </c>
      <c r="D599">
        <v>84.889192886456101</v>
      </c>
      <c r="E599" s="3">
        <v>43641.245138888888</v>
      </c>
      <c r="F599" s="1">
        <v>43082</v>
      </c>
      <c r="G599" s="1">
        <v>43041.434224537043</v>
      </c>
      <c r="H599" t="s">
        <v>15</v>
      </c>
      <c r="I599" t="s">
        <v>78</v>
      </c>
      <c r="J599" t="s">
        <v>15</v>
      </c>
      <c r="L599">
        <v>65</v>
      </c>
      <c r="M599" t="s">
        <v>451</v>
      </c>
      <c r="N599" t="s">
        <v>451</v>
      </c>
      <c r="O599" t="s">
        <v>17</v>
      </c>
      <c r="P599" t="s">
        <v>75</v>
      </c>
      <c r="Q599" t="s">
        <v>18</v>
      </c>
      <c r="S599" t="s">
        <v>75</v>
      </c>
      <c r="T599" t="s">
        <v>23</v>
      </c>
      <c r="V599" t="s">
        <v>451</v>
      </c>
      <c r="W599" t="s">
        <v>19</v>
      </c>
      <c r="X599" t="s">
        <v>87</v>
      </c>
      <c r="Y599">
        <v>4.4299998283386204</v>
      </c>
      <c r="Z599">
        <v>2.5499999523162802</v>
      </c>
      <c r="AA599">
        <v>1.37000000476837</v>
      </c>
      <c r="AB599">
        <v>1.3200000524520801</v>
      </c>
      <c r="AC599">
        <v>228.57284545898401</v>
      </c>
      <c r="AD599">
        <v>128</v>
      </c>
      <c r="AE599">
        <v>1</v>
      </c>
      <c r="AF599">
        <v>47</v>
      </c>
      <c r="AG599">
        <v>122</v>
      </c>
      <c r="AH599">
        <v>5.2699999809265101</v>
      </c>
      <c r="AI599">
        <v>3.8099999427795401</v>
      </c>
      <c r="AJ599">
        <v>32.020000457763601</v>
      </c>
      <c r="AK599">
        <v>8.3500003814697195</v>
      </c>
      <c r="AL599">
        <v>7.2199997901916504</v>
      </c>
      <c r="AM599">
        <v>16.899999618530199</v>
      </c>
      <c r="AN599" t="s">
        <v>867</v>
      </c>
      <c r="AO599">
        <v>68</v>
      </c>
      <c r="AP599">
        <v>24.382372978593711</v>
      </c>
      <c r="AS599" s="1"/>
      <c r="AT599" s="1"/>
      <c r="AU599" s="1">
        <v>41841.453713506948</v>
      </c>
      <c r="AV599" s="1">
        <v>41841.453713506948</v>
      </c>
      <c r="AW599" s="1"/>
      <c r="AX599" s="1"/>
      <c r="AZ599">
        <v>170</v>
      </c>
      <c r="BA599">
        <v>80</v>
      </c>
      <c r="BB599" s="2">
        <v>3</v>
      </c>
      <c r="BC599">
        <f t="shared" si="36"/>
        <v>9.4291839868181153</v>
      </c>
      <c r="BD599">
        <v>136</v>
      </c>
      <c r="BE599">
        <v>5.4</v>
      </c>
      <c r="BF599">
        <v>4.2999999999999901</v>
      </c>
      <c r="BG599">
        <v>13.5</v>
      </c>
      <c r="BH599">
        <v>296</v>
      </c>
      <c r="BI599">
        <v>5.5199999999999898</v>
      </c>
      <c r="BJ599">
        <v>7.5</v>
      </c>
      <c r="BK599">
        <v>7.7999999999999901</v>
      </c>
      <c r="BL599">
        <v>7.7999999999999901</v>
      </c>
      <c r="BM599">
        <v>4.12</v>
      </c>
      <c r="BN599">
        <v>5.7999999999999901</v>
      </c>
    </row>
    <row r="600" spans="1:66" x14ac:dyDescent="0.3">
      <c r="A600">
        <v>599</v>
      </c>
      <c r="B600" s="2" t="s">
        <v>430</v>
      </c>
      <c r="C600" s="2" t="s">
        <v>449</v>
      </c>
      <c r="D600">
        <v>82.878248974008002</v>
      </c>
      <c r="E600" s="3">
        <v>44592.334722222222</v>
      </c>
      <c r="F600" s="1">
        <v>44538</v>
      </c>
      <c r="G600" s="1">
        <v>44290.695277777777</v>
      </c>
      <c r="H600" t="s">
        <v>15</v>
      </c>
      <c r="I600" t="s">
        <v>451</v>
      </c>
      <c r="J600" t="s">
        <v>15</v>
      </c>
      <c r="K600" t="s">
        <v>145</v>
      </c>
      <c r="L600">
        <v>55</v>
      </c>
      <c r="M600" t="s">
        <v>15</v>
      </c>
      <c r="N600" t="s">
        <v>15</v>
      </c>
      <c r="O600" t="s">
        <v>25</v>
      </c>
      <c r="P600" t="s">
        <v>124</v>
      </c>
      <c r="Q600" t="s">
        <v>451</v>
      </c>
      <c r="R600" t="s">
        <v>488</v>
      </c>
      <c r="S600" t="s">
        <v>451</v>
      </c>
      <c r="T600" t="s">
        <v>19</v>
      </c>
      <c r="U600" t="s">
        <v>132</v>
      </c>
      <c r="V600" t="s">
        <v>451</v>
      </c>
      <c r="W600" t="s">
        <v>19</v>
      </c>
      <c r="X600" t="s">
        <v>78</v>
      </c>
      <c r="Y600">
        <v>5.2600002288818297</v>
      </c>
      <c r="Z600">
        <v>3.8900001049041699</v>
      </c>
      <c r="AA600">
        <v>1.20000004768371</v>
      </c>
      <c r="AB600">
        <v>1.0299999713897701</v>
      </c>
      <c r="AC600">
        <v>229.11560058593699</v>
      </c>
      <c r="AD600">
        <v>120</v>
      </c>
      <c r="AE600">
        <v>1</v>
      </c>
      <c r="AF600">
        <v>47</v>
      </c>
      <c r="AG600">
        <v>130</v>
      </c>
      <c r="AH600">
        <v>4.7899999618530202</v>
      </c>
      <c r="AI600">
        <v>5</v>
      </c>
      <c r="AJ600">
        <v>26</v>
      </c>
      <c r="AK600">
        <v>5.3299999237060502</v>
      </c>
      <c r="AL600">
        <v>8.2700004577636701</v>
      </c>
      <c r="AM600">
        <v>15.7200002670288</v>
      </c>
      <c r="AN600" t="s">
        <v>868</v>
      </c>
      <c r="AO600">
        <v>85</v>
      </c>
      <c r="AP600">
        <v>34.049030604069863</v>
      </c>
      <c r="AS600" s="1">
        <v>40212.342055520843</v>
      </c>
      <c r="AT600" s="1">
        <v>43532.583269178242</v>
      </c>
      <c r="AU600" s="1">
        <v>40212.341361226849</v>
      </c>
      <c r="AV600" s="1">
        <v>40212.341240127324</v>
      </c>
      <c r="AW600" s="1"/>
      <c r="AX600" s="1">
        <v>40212.342370405087</v>
      </c>
      <c r="AZ600">
        <v>105</v>
      </c>
      <c r="BA600">
        <v>59</v>
      </c>
      <c r="BB600" s="2">
        <v>0</v>
      </c>
      <c r="BC600">
        <f t="shared" si="36"/>
        <v>17.115583887511747</v>
      </c>
      <c r="BD600">
        <v>137</v>
      </c>
      <c r="BE600">
        <v>5.5</v>
      </c>
      <c r="BF600">
        <v>2.7999999999999901</v>
      </c>
      <c r="BG600">
        <v>10.3</v>
      </c>
      <c r="BH600">
        <v>224</v>
      </c>
      <c r="BI600">
        <v>3.9399999999999902</v>
      </c>
      <c r="BJ600">
        <v>8.9</v>
      </c>
      <c r="BK600">
        <v>7.4</v>
      </c>
      <c r="BL600">
        <v>14.1999999999999</v>
      </c>
      <c r="BM600">
        <v>4.3899999999999899</v>
      </c>
      <c r="BN600">
        <v>6.2</v>
      </c>
    </row>
    <row r="601" spans="1:66" x14ac:dyDescent="0.3">
      <c r="A601">
        <v>600</v>
      </c>
      <c r="B601" s="2" t="s">
        <v>430</v>
      </c>
      <c r="C601" s="2" t="s">
        <v>448</v>
      </c>
      <c r="D601">
        <v>71.972640218877899</v>
      </c>
      <c r="E601" s="3">
        <v>43964.876388888893</v>
      </c>
      <c r="F601" s="1">
        <v>42744</v>
      </c>
      <c r="G601" s="1">
        <v>42743.526747685188</v>
      </c>
      <c r="H601" t="s">
        <v>451</v>
      </c>
      <c r="I601" t="s">
        <v>451</v>
      </c>
      <c r="J601" t="s">
        <v>451</v>
      </c>
      <c r="K601" t="s">
        <v>74</v>
      </c>
      <c r="L601">
        <v>60</v>
      </c>
      <c r="M601" t="s">
        <v>451</v>
      </c>
      <c r="N601" t="s">
        <v>451</v>
      </c>
      <c r="O601" t="s">
        <v>17</v>
      </c>
      <c r="P601" t="s">
        <v>75</v>
      </c>
      <c r="Q601" t="s">
        <v>451</v>
      </c>
      <c r="S601" t="s">
        <v>451</v>
      </c>
      <c r="T601" t="s">
        <v>18</v>
      </c>
      <c r="V601" t="s">
        <v>451</v>
      </c>
      <c r="W601" t="s">
        <v>19</v>
      </c>
      <c r="X601" t="s">
        <v>78</v>
      </c>
      <c r="Y601">
        <v>4.8499999046325604</v>
      </c>
      <c r="Z601">
        <v>3.5099999904632502</v>
      </c>
      <c r="AA601">
        <v>1.0599999427795399</v>
      </c>
      <c r="AB601">
        <v>1.12000000476837</v>
      </c>
      <c r="AC601">
        <v>194.74287414550699</v>
      </c>
      <c r="AD601">
        <v>101</v>
      </c>
      <c r="AE601">
        <v>1</v>
      </c>
      <c r="AF601">
        <v>32</v>
      </c>
      <c r="AG601">
        <v>123</v>
      </c>
      <c r="AH601">
        <v>7.0999999046325604</v>
      </c>
      <c r="AI601">
        <v>7.4099998474120996</v>
      </c>
      <c r="AJ601">
        <v>16.600000381469702</v>
      </c>
      <c r="AK601">
        <v>6.8600001335143999</v>
      </c>
      <c r="AL601">
        <v>7.4899997711181596</v>
      </c>
      <c r="AM601">
        <v>16.420000076293899</v>
      </c>
      <c r="AN601" t="s">
        <v>869</v>
      </c>
      <c r="AO601">
        <v>81.099999999999895</v>
      </c>
      <c r="AP601">
        <v>28.062283737024185</v>
      </c>
      <c r="AS601" s="1"/>
      <c r="AT601" s="1"/>
      <c r="AU601" s="1">
        <v>42638.425166284716</v>
      </c>
      <c r="AV601" s="1">
        <v>42638.425166284716</v>
      </c>
      <c r="AW601" s="1">
        <v>42638.425166284716</v>
      </c>
      <c r="AX601" s="1"/>
      <c r="AZ601">
        <v>104</v>
      </c>
      <c r="BA601">
        <v>51</v>
      </c>
      <c r="BB601" s="2">
        <v>3</v>
      </c>
      <c r="BC601">
        <f t="shared" si="36"/>
        <v>10.149041350715605</v>
      </c>
      <c r="BD601">
        <v>135</v>
      </c>
      <c r="BE601">
        <v>5</v>
      </c>
      <c r="BF601">
        <v>2.6</v>
      </c>
      <c r="BG601">
        <v>11.8</v>
      </c>
      <c r="BH601">
        <v>356</v>
      </c>
      <c r="BI601">
        <v>7.5499999999999901</v>
      </c>
      <c r="BJ601">
        <v>7</v>
      </c>
      <c r="BK601">
        <v>10</v>
      </c>
      <c r="BL601">
        <v>9.9</v>
      </c>
      <c r="BM601">
        <v>73.64</v>
      </c>
      <c r="BN601">
        <v>5.5999999999999899</v>
      </c>
    </row>
    <row r="602" spans="1:66" x14ac:dyDescent="0.3">
      <c r="A602">
        <v>601</v>
      </c>
      <c r="B602" s="2" t="s">
        <v>430</v>
      </c>
      <c r="C602" s="2" t="s">
        <v>448</v>
      </c>
      <c r="D602">
        <v>74.336525307797004</v>
      </c>
      <c r="E602" s="3">
        <v>45772.309027777781</v>
      </c>
      <c r="F602" s="1">
        <v>45524</v>
      </c>
      <c r="G602" s="1">
        <v>45306.697881944441</v>
      </c>
      <c r="H602" t="s">
        <v>17</v>
      </c>
      <c r="I602" t="s">
        <v>15</v>
      </c>
      <c r="J602" t="s">
        <v>30</v>
      </c>
      <c r="L602">
        <v>30</v>
      </c>
      <c r="M602" t="s">
        <v>15</v>
      </c>
      <c r="N602" t="s">
        <v>451</v>
      </c>
      <c r="O602" t="s">
        <v>17</v>
      </c>
      <c r="P602" t="s">
        <v>75</v>
      </c>
      <c r="Q602" t="s">
        <v>19</v>
      </c>
      <c r="S602" t="s">
        <v>451</v>
      </c>
      <c r="T602" t="s">
        <v>19</v>
      </c>
      <c r="V602" t="s">
        <v>451</v>
      </c>
      <c r="W602" t="s">
        <v>19</v>
      </c>
      <c r="Y602">
        <v>6.0300002098083398</v>
      </c>
      <c r="Z602">
        <v>5.1399998664855904</v>
      </c>
      <c r="AA602">
        <v>0.97000002861022905</v>
      </c>
      <c r="AB602">
        <v>0.93999999761581399</v>
      </c>
      <c r="AC602">
        <v>234.64988708496</v>
      </c>
      <c r="AD602">
        <v>141</v>
      </c>
      <c r="AE602">
        <v>2.1900000572204501</v>
      </c>
      <c r="AF602">
        <v>57</v>
      </c>
      <c r="AG602">
        <v>112</v>
      </c>
      <c r="AI602">
        <v>3.4800000190734801</v>
      </c>
      <c r="AJ602">
        <v>32.180000305175703</v>
      </c>
      <c r="AK602">
        <v>5.8000001907348597</v>
      </c>
      <c r="AL602">
        <v>3.67000007629394</v>
      </c>
      <c r="AM602">
        <v>30.520000457763601</v>
      </c>
      <c r="AN602" t="s">
        <v>870</v>
      </c>
      <c r="AO602">
        <v>69.099999999999895</v>
      </c>
      <c r="AP602">
        <v>26.329827770156946</v>
      </c>
      <c r="AQ602" s="1">
        <v>40544</v>
      </c>
      <c r="AS602" s="1">
        <v>40588.678846180563</v>
      </c>
      <c r="AT602" s="1"/>
      <c r="AU602" s="1">
        <v>40588.678846180563</v>
      </c>
      <c r="AV602" s="1">
        <v>43211.272020601849</v>
      </c>
      <c r="AW602" s="1">
        <v>41121.511622650462</v>
      </c>
      <c r="AX602" s="1">
        <v>42736.948049502324</v>
      </c>
      <c r="AY602" t="s">
        <v>21</v>
      </c>
      <c r="AZ602">
        <v>128</v>
      </c>
      <c r="BA602">
        <v>65</v>
      </c>
      <c r="BB602" s="2">
        <v>5</v>
      </c>
      <c r="BC602">
        <f t="shared" si="36"/>
        <v>12.429723047422803</v>
      </c>
      <c r="BD602">
        <v>138</v>
      </c>
      <c r="BE602">
        <v>5.2999999999999901</v>
      </c>
      <c r="BF602">
        <v>3.3999999999999901</v>
      </c>
      <c r="BG602">
        <v>8.4</v>
      </c>
      <c r="BH602">
        <v>219</v>
      </c>
      <c r="BI602">
        <v>5.07</v>
      </c>
      <c r="BJ602">
        <v>8.4</v>
      </c>
      <c r="BK602">
        <v>3.6</v>
      </c>
      <c r="BL602">
        <v>12.8</v>
      </c>
      <c r="BM602">
        <v>5.0199999999999898</v>
      </c>
      <c r="BN602">
        <v>6.5</v>
      </c>
    </row>
    <row r="603" spans="1:66" x14ac:dyDescent="0.3">
      <c r="A603">
        <v>602</v>
      </c>
      <c r="B603" s="2" t="s">
        <v>430</v>
      </c>
      <c r="C603" s="2" t="s">
        <v>448</v>
      </c>
      <c r="D603">
        <v>89.614227086183107</v>
      </c>
      <c r="E603" s="3"/>
      <c r="F603" s="1">
        <v>45539</v>
      </c>
      <c r="G603" s="1">
        <v>45531.470127314817</v>
      </c>
      <c r="H603" t="s">
        <v>17</v>
      </c>
      <c r="I603" t="s">
        <v>451</v>
      </c>
      <c r="J603" t="s">
        <v>14</v>
      </c>
      <c r="K603" t="s">
        <v>475</v>
      </c>
      <c r="L603">
        <v>40</v>
      </c>
      <c r="M603" t="s">
        <v>451</v>
      </c>
      <c r="N603" t="s">
        <v>451</v>
      </c>
      <c r="O603" t="s">
        <v>17</v>
      </c>
      <c r="P603" t="s">
        <v>75</v>
      </c>
      <c r="Q603" t="s">
        <v>18</v>
      </c>
      <c r="S603" t="s">
        <v>451</v>
      </c>
      <c r="T603" t="s">
        <v>23</v>
      </c>
      <c r="V603" t="s">
        <v>451</v>
      </c>
      <c r="W603" t="s">
        <v>23</v>
      </c>
      <c r="X603" t="s">
        <v>87</v>
      </c>
      <c r="Y603">
        <v>5.6999998092651296</v>
      </c>
      <c r="Z603">
        <v>3.4000000953674299</v>
      </c>
      <c r="AA603">
        <v>1.20000004768371</v>
      </c>
      <c r="AB603">
        <v>0.80000001192092796</v>
      </c>
      <c r="AC603">
        <v>226.35487365722599</v>
      </c>
      <c r="AE603">
        <v>1.87999999523162</v>
      </c>
      <c r="AF603">
        <v>53</v>
      </c>
      <c r="AG603">
        <v>96</v>
      </c>
      <c r="AN603" t="s">
        <v>871</v>
      </c>
      <c r="AS603" s="1"/>
      <c r="AT603" s="1"/>
      <c r="AU603" s="1">
        <v>45324.833617789351</v>
      </c>
      <c r="AV603" s="1"/>
      <c r="AW603" s="1">
        <v>45324.833617789351</v>
      </c>
      <c r="AX603" s="1"/>
      <c r="AY603" t="s">
        <v>21</v>
      </c>
      <c r="BA603">
        <v>74</v>
      </c>
      <c r="BB603" s="2">
        <v>1</v>
      </c>
      <c r="BC603">
        <v>10.6</v>
      </c>
      <c r="BD603">
        <v>142</v>
      </c>
      <c r="BE603">
        <v>3.2999999999999901</v>
      </c>
      <c r="BF603">
        <v>3.7999999999999901</v>
      </c>
      <c r="BG603">
        <v>8.8000000000000007</v>
      </c>
      <c r="BH603">
        <v>252</v>
      </c>
      <c r="BI603">
        <v>5.15</v>
      </c>
      <c r="BJ603">
        <v>8.9</v>
      </c>
      <c r="BK603">
        <v>6.0999999999999899</v>
      </c>
      <c r="BL603">
        <v>11.5</v>
      </c>
      <c r="BM603">
        <v>10.1199999999999</v>
      </c>
      <c r="BN603">
        <v>5.5</v>
      </c>
    </row>
    <row r="604" spans="1:66" x14ac:dyDescent="0.3">
      <c r="A604">
        <v>603</v>
      </c>
      <c r="B604" s="2" t="s">
        <v>430</v>
      </c>
      <c r="C604" s="2" t="s">
        <v>449</v>
      </c>
      <c r="D604">
        <v>80.982216142270104</v>
      </c>
      <c r="E604" s="3">
        <v>43807.85833333333</v>
      </c>
      <c r="F604" s="1">
        <v>42019</v>
      </c>
      <c r="G604" s="1">
        <v>42031.422071759262</v>
      </c>
      <c r="H604" t="s">
        <v>15</v>
      </c>
      <c r="I604" t="s">
        <v>15</v>
      </c>
      <c r="J604" t="s">
        <v>453</v>
      </c>
      <c r="L604">
        <v>55</v>
      </c>
      <c r="M604" t="s">
        <v>451</v>
      </c>
      <c r="N604" t="s">
        <v>451</v>
      </c>
      <c r="O604" t="s">
        <v>17</v>
      </c>
      <c r="P604" t="s">
        <v>479</v>
      </c>
      <c r="Q604" t="s">
        <v>18</v>
      </c>
      <c r="S604" t="s">
        <v>451</v>
      </c>
      <c r="T604" t="s">
        <v>19</v>
      </c>
      <c r="V604" t="s">
        <v>451</v>
      </c>
      <c r="W604" t="s">
        <v>451</v>
      </c>
      <c r="X604" t="s">
        <v>78</v>
      </c>
      <c r="Y604">
        <v>4.8000001907348597</v>
      </c>
      <c r="Z604">
        <v>3.2999999523162802</v>
      </c>
      <c r="AA604">
        <v>1</v>
      </c>
      <c r="AB604">
        <v>0.89999997615814198</v>
      </c>
      <c r="AC604">
        <v>158.822265625</v>
      </c>
      <c r="AD604">
        <v>97</v>
      </c>
      <c r="AE604">
        <v>1</v>
      </c>
      <c r="AF604">
        <v>41</v>
      </c>
      <c r="AG604">
        <v>113</v>
      </c>
      <c r="AH604">
        <v>4.92000007629394</v>
      </c>
      <c r="AI604">
        <v>4.8200001716613698</v>
      </c>
      <c r="AJ604">
        <v>23.440000534057599</v>
      </c>
      <c r="AK604">
        <v>6.5900001525878897</v>
      </c>
      <c r="AL604">
        <v>5.9699997901916504</v>
      </c>
      <c r="AM604">
        <v>18.9300003051757</v>
      </c>
      <c r="AN604" t="s">
        <v>872</v>
      </c>
      <c r="AO604">
        <v>62.2</v>
      </c>
      <c r="AP604">
        <v>25.889698231009369</v>
      </c>
      <c r="AS604" s="1">
        <v>41882.659959722223</v>
      </c>
      <c r="AT604" s="1"/>
      <c r="AU604" s="1">
        <v>40696.419354317128</v>
      </c>
      <c r="AV604" s="1">
        <v>40696.419354317128</v>
      </c>
      <c r="AW604" s="1"/>
      <c r="AX604" s="1">
        <v>40696.419354317128</v>
      </c>
      <c r="AZ604">
        <v>133</v>
      </c>
      <c r="BA604">
        <v>65</v>
      </c>
      <c r="BB604" s="2">
        <v>5</v>
      </c>
      <c r="BC604">
        <f t="shared" ref="BC604:BC615" si="37">(140-D604)*AO604/(72*BI604)</f>
        <v>9.337876872076718</v>
      </c>
      <c r="BD604">
        <v>135</v>
      </c>
      <c r="BE604">
        <v>4.2</v>
      </c>
      <c r="BF604">
        <v>2.7</v>
      </c>
      <c r="BG604">
        <v>8.9</v>
      </c>
      <c r="BH604">
        <v>191</v>
      </c>
      <c r="BI604">
        <v>5.46</v>
      </c>
      <c r="BJ604">
        <v>8.0999999999999908</v>
      </c>
      <c r="BK604">
        <v>6.4</v>
      </c>
      <c r="BL604">
        <v>9.5</v>
      </c>
      <c r="BN604">
        <v>5.0999999999999899</v>
      </c>
    </row>
    <row r="605" spans="1:66" x14ac:dyDescent="0.3">
      <c r="A605">
        <v>604</v>
      </c>
      <c r="B605" s="2" t="s">
        <v>430</v>
      </c>
      <c r="C605" s="2" t="s">
        <v>449</v>
      </c>
      <c r="D605">
        <v>79.986320109439006</v>
      </c>
      <c r="E605" s="3">
        <v>43632.208333333343</v>
      </c>
      <c r="F605" s="1">
        <v>43116</v>
      </c>
      <c r="G605" s="1">
        <v>43090.493113425917</v>
      </c>
      <c r="H605" t="s">
        <v>15</v>
      </c>
      <c r="I605" t="s">
        <v>78</v>
      </c>
      <c r="J605" t="s">
        <v>15</v>
      </c>
      <c r="L605">
        <v>60</v>
      </c>
      <c r="M605" t="s">
        <v>451</v>
      </c>
      <c r="N605" t="s">
        <v>451</v>
      </c>
      <c r="O605" t="s">
        <v>17</v>
      </c>
      <c r="P605" t="s">
        <v>75</v>
      </c>
      <c r="Q605" t="s">
        <v>18</v>
      </c>
      <c r="S605" t="s">
        <v>451</v>
      </c>
      <c r="T605" t="s">
        <v>23</v>
      </c>
      <c r="V605" t="s">
        <v>451</v>
      </c>
      <c r="W605" t="s">
        <v>26</v>
      </c>
      <c r="X605" t="s">
        <v>87</v>
      </c>
      <c r="Y605">
        <v>4.6999998092651296</v>
      </c>
      <c r="Z605">
        <v>2.4000000953674299</v>
      </c>
      <c r="AA605">
        <v>1.29999995231628</v>
      </c>
      <c r="AB605">
        <v>0.80000001192092796</v>
      </c>
      <c r="AC605">
        <v>175.82669067382801</v>
      </c>
      <c r="AD605">
        <v>100</v>
      </c>
      <c r="AE605">
        <v>1</v>
      </c>
      <c r="AF605">
        <v>58</v>
      </c>
      <c r="AG605">
        <v>144</v>
      </c>
      <c r="AH605">
        <v>5</v>
      </c>
      <c r="AI605">
        <v>5</v>
      </c>
      <c r="AJ605">
        <v>28.799999237060501</v>
      </c>
      <c r="AK605">
        <v>6</v>
      </c>
      <c r="AL605">
        <v>7</v>
      </c>
      <c r="AM605">
        <v>20.569999694824201</v>
      </c>
      <c r="AN605" t="s">
        <v>873</v>
      </c>
      <c r="AO605">
        <v>85</v>
      </c>
      <c r="AP605">
        <v>36.79016620498615</v>
      </c>
      <c r="AR605" s="1">
        <v>36892</v>
      </c>
      <c r="AS605" s="1">
        <v>39877.677200543978</v>
      </c>
      <c r="AT605" s="1"/>
      <c r="AU605" s="1">
        <v>39877.678819328707</v>
      </c>
      <c r="AV605" s="1">
        <v>39877.678648611109</v>
      </c>
      <c r="AW605" s="1"/>
      <c r="AX605" s="1"/>
      <c r="AY605" t="s">
        <v>21</v>
      </c>
      <c r="BB605" s="2">
        <v>0</v>
      </c>
      <c r="BC605">
        <f t="shared" si="37"/>
        <v>31.629233573274327</v>
      </c>
      <c r="BD605">
        <v>141</v>
      </c>
      <c r="BE605">
        <v>4</v>
      </c>
      <c r="BF605">
        <v>3.2</v>
      </c>
      <c r="BG605">
        <v>9.0999999999999908</v>
      </c>
      <c r="BH605">
        <v>190</v>
      </c>
      <c r="BI605">
        <v>2.2400000000000002</v>
      </c>
      <c r="BJ605">
        <v>8.3000000000000007</v>
      </c>
      <c r="BK605">
        <v>5.2999999999999901</v>
      </c>
      <c r="BL605">
        <v>10.3</v>
      </c>
      <c r="BM605">
        <v>107.06</v>
      </c>
      <c r="BN605">
        <v>8.1999999999999904</v>
      </c>
    </row>
    <row r="606" spans="1:66" x14ac:dyDescent="0.3">
      <c r="A606">
        <v>605</v>
      </c>
      <c r="B606" s="2" t="s">
        <v>430</v>
      </c>
      <c r="C606" s="2" t="s">
        <v>448</v>
      </c>
      <c r="D606">
        <v>73.835841313269</v>
      </c>
      <c r="E606" s="3">
        <v>44172.915277777778</v>
      </c>
      <c r="F606" s="1">
        <v>44155</v>
      </c>
      <c r="G606" s="1">
        <v>44062.41611111111</v>
      </c>
      <c r="H606" t="s">
        <v>15</v>
      </c>
      <c r="I606" t="s">
        <v>87</v>
      </c>
      <c r="J606" t="s">
        <v>28</v>
      </c>
      <c r="L606">
        <v>38</v>
      </c>
      <c r="M606" t="s">
        <v>451</v>
      </c>
      <c r="N606" t="s">
        <v>451</v>
      </c>
      <c r="O606" t="s">
        <v>15</v>
      </c>
      <c r="P606" t="s">
        <v>75</v>
      </c>
      <c r="Q606" t="s">
        <v>18</v>
      </c>
      <c r="S606" t="s">
        <v>92</v>
      </c>
      <c r="T606" t="s">
        <v>23</v>
      </c>
      <c r="V606" t="s">
        <v>451</v>
      </c>
      <c r="W606" t="s">
        <v>18</v>
      </c>
      <c r="Y606">
        <v>4.42000007629394</v>
      </c>
      <c r="Z606">
        <v>3.1099998950958199</v>
      </c>
      <c r="AA606">
        <v>1.2300000190734801</v>
      </c>
      <c r="AB606">
        <v>1.1799999475479099</v>
      </c>
      <c r="AC606">
        <v>193.84123229980401</v>
      </c>
      <c r="AD606">
        <v>98</v>
      </c>
      <c r="AE606">
        <v>2</v>
      </c>
      <c r="AG606">
        <v>109</v>
      </c>
      <c r="AH606">
        <v>4.25</v>
      </c>
      <c r="AI606">
        <v>3.6199998855590798</v>
      </c>
      <c r="AJ606">
        <v>30.110000610351499</v>
      </c>
      <c r="AK606">
        <v>7.4299998283386204</v>
      </c>
      <c r="AL606">
        <v>5.5</v>
      </c>
      <c r="AM606">
        <v>19.819999694824201</v>
      </c>
      <c r="AN606" t="s">
        <v>874</v>
      </c>
      <c r="AO606">
        <v>83.099999999999895</v>
      </c>
      <c r="AS606" s="1">
        <v>44062.023077627317</v>
      </c>
      <c r="AT606" s="1"/>
      <c r="AU606" s="1">
        <v>44062.023077627317</v>
      </c>
      <c r="AV606" s="1">
        <v>44062.023077627317</v>
      </c>
      <c r="AW606" s="1">
        <v>44062.023077627317</v>
      </c>
      <c r="AX606" s="1"/>
      <c r="AZ606">
        <v>133</v>
      </c>
      <c r="BA606">
        <v>71</v>
      </c>
      <c r="BB606" s="2">
        <v>0</v>
      </c>
      <c r="BC606">
        <f t="shared" si="37"/>
        <v>25.886259825175795</v>
      </c>
      <c r="BD606">
        <v>134</v>
      </c>
      <c r="BE606">
        <v>4.9000000000000004</v>
      </c>
      <c r="BF606">
        <v>3.2</v>
      </c>
      <c r="BG606">
        <v>9.0999999999999908</v>
      </c>
      <c r="BH606">
        <v>323</v>
      </c>
      <c r="BI606">
        <v>2.95</v>
      </c>
      <c r="BJ606">
        <v>8.4</v>
      </c>
      <c r="BK606">
        <v>5</v>
      </c>
      <c r="BL606">
        <v>14.3</v>
      </c>
      <c r="BM606">
        <v>114.3</v>
      </c>
      <c r="BN606">
        <v>7.0999999999999899</v>
      </c>
    </row>
    <row r="607" spans="1:66" x14ac:dyDescent="0.3">
      <c r="A607">
        <v>606</v>
      </c>
      <c r="B607" s="2" t="s">
        <v>430</v>
      </c>
      <c r="C607" s="2" t="s">
        <v>448</v>
      </c>
      <c r="D607">
        <v>77.231190150478</v>
      </c>
      <c r="E607" s="3">
        <v>44954.847222222219</v>
      </c>
      <c r="F607" s="1">
        <v>44666</v>
      </c>
      <c r="G607" s="1">
        <v>44588.497812499998</v>
      </c>
      <c r="H607" t="s">
        <v>15</v>
      </c>
      <c r="I607" t="s">
        <v>133</v>
      </c>
      <c r="J607" t="s">
        <v>15</v>
      </c>
      <c r="K607" t="s">
        <v>465</v>
      </c>
      <c r="L607">
        <v>65</v>
      </c>
      <c r="M607" t="s">
        <v>17</v>
      </c>
      <c r="N607" t="s">
        <v>15</v>
      </c>
      <c r="O607" t="s">
        <v>25</v>
      </c>
      <c r="P607" t="s">
        <v>75</v>
      </c>
      <c r="Q607" t="s">
        <v>19</v>
      </c>
      <c r="S607" t="s">
        <v>75</v>
      </c>
      <c r="T607" t="s">
        <v>19</v>
      </c>
      <c r="V607" t="s">
        <v>451</v>
      </c>
      <c r="W607" t="s">
        <v>19</v>
      </c>
      <c r="X607" t="s">
        <v>78</v>
      </c>
      <c r="Y607">
        <v>5</v>
      </c>
      <c r="Z607">
        <v>2.5</v>
      </c>
      <c r="AA607">
        <v>1.29999995231628</v>
      </c>
      <c r="AB607">
        <v>0.89999997615814198</v>
      </c>
      <c r="AC607">
        <v>207.142333984375</v>
      </c>
      <c r="AD607">
        <v>118</v>
      </c>
      <c r="AE607">
        <v>1</v>
      </c>
      <c r="AF607">
        <v>40</v>
      </c>
      <c r="AG607">
        <v>131</v>
      </c>
      <c r="AI607">
        <v>5.6599998474120996</v>
      </c>
      <c r="AJ607">
        <v>23.139999389648398</v>
      </c>
      <c r="AK607">
        <v>10.399999618530201</v>
      </c>
      <c r="AL607">
        <v>7.5100002288818297</v>
      </c>
      <c r="AM607">
        <v>17.440000534057599</v>
      </c>
      <c r="AN607" t="s">
        <v>875</v>
      </c>
      <c r="AO607">
        <v>60</v>
      </c>
      <c r="AP607">
        <v>23.4375</v>
      </c>
      <c r="AS607" s="1"/>
      <c r="AT607" s="1">
        <v>44589.610749305553</v>
      </c>
      <c r="AU607" s="1">
        <v>43977.492044756953</v>
      </c>
      <c r="AV607" s="1"/>
      <c r="AW607" s="1"/>
      <c r="AX607" s="1"/>
      <c r="AZ607">
        <v>123</v>
      </c>
      <c r="BA607">
        <v>61</v>
      </c>
      <c r="BB607" s="2">
        <v>0</v>
      </c>
      <c r="BC607">
        <f t="shared" si="37"/>
        <v>15.030845270479407</v>
      </c>
      <c r="BD607">
        <v>142</v>
      </c>
      <c r="BE607">
        <v>4.7999999999999901</v>
      </c>
      <c r="BF607">
        <v>3</v>
      </c>
      <c r="BG607">
        <v>7.7999999999999901</v>
      </c>
      <c r="BH607">
        <v>246</v>
      </c>
      <c r="BI607">
        <v>3.48</v>
      </c>
      <c r="BJ607">
        <v>8</v>
      </c>
      <c r="BK607">
        <v>5</v>
      </c>
      <c r="BL607">
        <v>8.3000000000000007</v>
      </c>
      <c r="BM607">
        <v>81.06</v>
      </c>
      <c r="BN607">
        <v>6.2</v>
      </c>
    </row>
    <row r="608" spans="1:66" x14ac:dyDescent="0.3">
      <c r="A608">
        <v>607</v>
      </c>
      <c r="B608" s="2" t="s">
        <v>430</v>
      </c>
      <c r="C608" s="2" t="s">
        <v>448</v>
      </c>
      <c r="D608">
        <v>75.058823529411001</v>
      </c>
      <c r="E608" s="3">
        <v>42898.450694444437</v>
      </c>
      <c r="F608" s="1">
        <v>42776</v>
      </c>
      <c r="G608" s="1">
        <v>42755.452673611107</v>
      </c>
      <c r="H608" t="s">
        <v>15</v>
      </c>
      <c r="I608" t="s">
        <v>451</v>
      </c>
      <c r="J608" t="s">
        <v>22</v>
      </c>
      <c r="L608">
        <v>40</v>
      </c>
      <c r="M608" t="s">
        <v>15</v>
      </c>
      <c r="N608" t="s">
        <v>14</v>
      </c>
      <c r="O608" t="s">
        <v>17</v>
      </c>
      <c r="P608" t="s">
        <v>451</v>
      </c>
      <c r="Q608" t="s">
        <v>18</v>
      </c>
      <c r="S608" t="s">
        <v>451</v>
      </c>
      <c r="T608" t="s">
        <v>29</v>
      </c>
      <c r="V608" t="s">
        <v>451</v>
      </c>
      <c r="W608" t="s">
        <v>19</v>
      </c>
      <c r="X608" t="s">
        <v>90</v>
      </c>
      <c r="Y608">
        <v>5.4000000953674299</v>
      </c>
      <c r="Z608">
        <v>3.7799999713897701</v>
      </c>
      <c r="AA608">
        <v>0.68999999761581399</v>
      </c>
      <c r="AB608">
        <v>0.82999998331069902</v>
      </c>
      <c r="AC608">
        <v>145.29302978515599</v>
      </c>
      <c r="AD608">
        <v>88</v>
      </c>
      <c r="AE608">
        <v>1.5599999427795399</v>
      </c>
      <c r="AF608">
        <v>63</v>
      </c>
      <c r="AG608">
        <v>100.559997558593</v>
      </c>
      <c r="AH608">
        <v>6</v>
      </c>
      <c r="AI608">
        <v>4</v>
      </c>
      <c r="AJ608">
        <v>25.139999389648398</v>
      </c>
      <c r="AK608">
        <v>5</v>
      </c>
      <c r="AL608">
        <v>5</v>
      </c>
      <c r="AM608">
        <v>20.110000610351499</v>
      </c>
      <c r="AN608" t="s">
        <v>876</v>
      </c>
      <c r="AO608">
        <v>70</v>
      </c>
      <c r="AP608">
        <v>22.857142857142858</v>
      </c>
      <c r="AR608" s="1">
        <v>37622</v>
      </c>
      <c r="AS608" s="1">
        <v>42674.015030208328</v>
      </c>
      <c r="AT608" s="1"/>
      <c r="AU608" s="1">
        <v>42673.965686342592</v>
      </c>
      <c r="AV608" s="1">
        <v>41778.564295914352</v>
      </c>
      <c r="AW608" s="1"/>
      <c r="AX608" s="1"/>
      <c r="AZ608">
        <v>147</v>
      </c>
      <c r="BA608">
        <v>61</v>
      </c>
      <c r="BB608" s="2">
        <v>0</v>
      </c>
      <c r="BC608">
        <f t="shared" si="37"/>
        <v>12.11847502916728</v>
      </c>
      <c r="BD608">
        <v>129</v>
      </c>
      <c r="BE608">
        <v>5</v>
      </c>
      <c r="BF608">
        <v>2.5</v>
      </c>
      <c r="BG608">
        <v>9.1999999999999904</v>
      </c>
      <c r="BH608">
        <v>233</v>
      </c>
      <c r="BI608">
        <v>5.21</v>
      </c>
      <c r="BJ608">
        <v>7.2999999999999901</v>
      </c>
      <c r="BK608">
        <v>6.0999999999999899</v>
      </c>
      <c r="BL608">
        <v>9.6999999999999904</v>
      </c>
      <c r="BM608">
        <v>68.400000000000006</v>
      </c>
      <c r="BN608">
        <v>6.2</v>
      </c>
    </row>
    <row r="609" spans="1:66" x14ac:dyDescent="0.3">
      <c r="A609">
        <v>608</v>
      </c>
      <c r="B609" s="2" t="s">
        <v>430</v>
      </c>
      <c r="C609" s="2" t="s">
        <v>448</v>
      </c>
      <c r="D609">
        <v>63.610337817297001</v>
      </c>
      <c r="E609" s="3">
        <v>44049.838888888888</v>
      </c>
      <c r="F609" s="1">
        <v>41148.578472222223</v>
      </c>
      <c r="G609" s="1">
        <v>41059.397777777784</v>
      </c>
      <c r="H609" t="s">
        <v>17</v>
      </c>
      <c r="I609" t="s">
        <v>78</v>
      </c>
      <c r="J609" t="s">
        <v>15</v>
      </c>
      <c r="L609">
        <v>60</v>
      </c>
      <c r="M609" t="s">
        <v>17</v>
      </c>
      <c r="N609" t="s">
        <v>14</v>
      </c>
      <c r="O609" t="s">
        <v>25</v>
      </c>
      <c r="P609" t="s">
        <v>75</v>
      </c>
      <c r="Q609" t="s">
        <v>451</v>
      </c>
      <c r="S609" t="s">
        <v>92</v>
      </c>
      <c r="T609" t="s">
        <v>23</v>
      </c>
      <c r="V609" t="s">
        <v>159</v>
      </c>
      <c r="W609" t="s">
        <v>18</v>
      </c>
      <c r="X609" t="s">
        <v>87</v>
      </c>
      <c r="Y609">
        <v>5.5799999237060502</v>
      </c>
      <c r="Z609">
        <v>3.5499999523162802</v>
      </c>
      <c r="AA609">
        <v>1.29999995231628</v>
      </c>
      <c r="AB609">
        <v>1.20000004768371</v>
      </c>
      <c r="AC609">
        <v>294.93914794921801</v>
      </c>
      <c r="AD609">
        <v>131</v>
      </c>
      <c r="AE609">
        <v>1</v>
      </c>
      <c r="AF609">
        <v>54</v>
      </c>
      <c r="AG609">
        <v>141.55000305175699</v>
      </c>
      <c r="AN609" t="s">
        <v>877</v>
      </c>
      <c r="AO609">
        <v>122.5</v>
      </c>
      <c r="AP609">
        <v>43.924127792319553</v>
      </c>
      <c r="AS609" s="1"/>
      <c r="AT609" s="1">
        <v>40622.114770173612</v>
      </c>
      <c r="AU609" s="1">
        <v>40623.494988425933</v>
      </c>
      <c r="AV609" s="1">
        <v>39530.929392743063</v>
      </c>
      <c r="AW609" s="1"/>
      <c r="AX609" s="1"/>
      <c r="AZ609">
        <v>108</v>
      </c>
      <c r="BA609">
        <v>60</v>
      </c>
      <c r="BB609" s="2">
        <v>4</v>
      </c>
      <c r="BC609">
        <f t="shared" si="37"/>
        <v>27.304311441938427</v>
      </c>
      <c r="BD609">
        <v>136</v>
      </c>
      <c r="BE609">
        <v>4.5</v>
      </c>
      <c r="BF609">
        <v>4.4000000000000004</v>
      </c>
      <c r="BG609">
        <v>11.1</v>
      </c>
      <c r="BH609">
        <v>230</v>
      </c>
      <c r="BI609">
        <v>4.75999999999999</v>
      </c>
      <c r="BJ609">
        <v>9.4</v>
      </c>
      <c r="BK609">
        <v>4.7999999999999901</v>
      </c>
      <c r="BL609">
        <v>11.1</v>
      </c>
      <c r="BM609">
        <v>11.15</v>
      </c>
      <c r="BN609">
        <v>7.2999999999999901</v>
      </c>
    </row>
    <row r="610" spans="1:66" x14ac:dyDescent="0.3">
      <c r="A610">
        <v>609</v>
      </c>
      <c r="B610" s="2" t="s">
        <v>430</v>
      </c>
      <c r="C610" s="2" t="s">
        <v>449</v>
      </c>
      <c r="D610">
        <v>86.853625170998001</v>
      </c>
      <c r="E610" s="3">
        <v>43790.354861111111</v>
      </c>
      <c r="F610" s="1">
        <v>43069</v>
      </c>
      <c r="G610" s="1">
        <v>42873.766886574071</v>
      </c>
      <c r="H610" t="s">
        <v>15</v>
      </c>
      <c r="I610" t="s">
        <v>78</v>
      </c>
      <c r="J610" t="s">
        <v>15</v>
      </c>
      <c r="L610">
        <v>65</v>
      </c>
      <c r="M610" t="s">
        <v>17</v>
      </c>
      <c r="N610" t="s">
        <v>15</v>
      </c>
      <c r="O610" t="s">
        <v>31</v>
      </c>
      <c r="P610" t="s">
        <v>75</v>
      </c>
      <c r="R610" t="s">
        <v>127</v>
      </c>
      <c r="S610" t="s">
        <v>451</v>
      </c>
      <c r="T610" t="s">
        <v>26</v>
      </c>
      <c r="U610" t="s">
        <v>266</v>
      </c>
      <c r="V610" t="s">
        <v>451</v>
      </c>
      <c r="W610" t="s">
        <v>34</v>
      </c>
      <c r="X610" t="s">
        <v>90</v>
      </c>
      <c r="Y610">
        <v>4.7300000190734801</v>
      </c>
      <c r="Z610">
        <v>3.63000011444091</v>
      </c>
      <c r="AA610">
        <v>1.29999995231628</v>
      </c>
      <c r="AB610">
        <v>1</v>
      </c>
      <c r="AC610">
        <v>201.61544799804599</v>
      </c>
      <c r="AD610">
        <v>142</v>
      </c>
      <c r="AE610">
        <v>1</v>
      </c>
      <c r="AF610">
        <v>60</v>
      </c>
      <c r="AG610">
        <v>150</v>
      </c>
      <c r="AH610">
        <v>3.92000007629394</v>
      </c>
      <c r="AI610">
        <v>4.0300002098083398</v>
      </c>
      <c r="AJ610">
        <v>37.220001220703097</v>
      </c>
      <c r="AK610">
        <v>6.0900001525878897</v>
      </c>
      <c r="AL610">
        <v>5.5500001907348597</v>
      </c>
      <c r="AM610">
        <v>27.030000686645501</v>
      </c>
      <c r="AN610" t="s">
        <v>878</v>
      </c>
      <c r="AO610">
        <v>53</v>
      </c>
      <c r="AP610">
        <v>22.06035379812695</v>
      </c>
      <c r="AR610" s="1">
        <v>36892</v>
      </c>
      <c r="AS610" s="1">
        <v>39932.755914351852</v>
      </c>
      <c r="AT610" s="1"/>
      <c r="AU610" s="1">
        <v>39932.755357141214</v>
      </c>
      <c r="AV610" s="1">
        <v>39932.755132673607</v>
      </c>
      <c r="AW610" s="1"/>
      <c r="AX610" s="1"/>
      <c r="AZ610">
        <v>118</v>
      </c>
      <c r="BA610">
        <v>59</v>
      </c>
      <c r="BB610" s="2">
        <v>1</v>
      </c>
      <c r="BC610">
        <f t="shared" si="37"/>
        <v>8.3237525589157979</v>
      </c>
      <c r="BD610">
        <v>132</v>
      </c>
      <c r="BE610">
        <v>5.4</v>
      </c>
      <c r="BF610">
        <v>4.4000000000000004</v>
      </c>
      <c r="BG610">
        <v>7.5</v>
      </c>
      <c r="BH610">
        <v>324</v>
      </c>
      <c r="BI610">
        <v>4.7</v>
      </c>
      <c r="BJ610">
        <v>9.0999999999999908</v>
      </c>
      <c r="BK610">
        <v>6.5</v>
      </c>
      <c r="BL610">
        <v>11</v>
      </c>
      <c r="BM610">
        <v>8.6699999999999893</v>
      </c>
      <c r="BN610">
        <v>6.4</v>
      </c>
    </row>
    <row r="611" spans="1:66" x14ac:dyDescent="0.3">
      <c r="A611">
        <v>610</v>
      </c>
      <c r="B611" s="2" t="s">
        <v>434</v>
      </c>
      <c r="C611" s="2" t="s">
        <v>448</v>
      </c>
      <c r="D611">
        <v>63.893296853625003</v>
      </c>
      <c r="E611" s="3">
        <v>43409</v>
      </c>
      <c r="F611" s="1">
        <v>41711</v>
      </c>
      <c r="G611" s="1">
        <v>41382.533032407409</v>
      </c>
      <c r="H611" t="s">
        <v>15</v>
      </c>
      <c r="I611" t="s">
        <v>87</v>
      </c>
      <c r="J611" t="s">
        <v>28</v>
      </c>
      <c r="K611" t="s">
        <v>244</v>
      </c>
      <c r="L611">
        <v>35</v>
      </c>
      <c r="M611" t="s">
        <v>15</v>
      </c>
      <c r="N611" t="s">
        <v>15</v>
      </c>
      <c r="O611" t="s">
        <v>17</v>
      </c>
      <c r="P611" t="s">
        <v>75</v>
      </c>
      <c r="Q611" t="s">
        <v>18</v>
      </c>
      <c r="S611" t="s">
        <v>92</v>
      </c>
      <c r="T611" t="s">
        <v>19</v>
      </c>
      <c r="V611" t="s">
        <v>451</v>
      </c>
      <c r="W611" t="s">
        <v>18</v>
      </c>
      <c r="X611" t="s">
        <v>78</v>
      </c>
      <c r="Y611">
        <v>5.0999999046325604</v>
      </c>
      <c r="Z611">
        <v>2.9000000953674299</v>
      </c>
      <c r="AA611">
        <v>1.5</v>
      </c>
      <c r="AB611">
        <v>1.20000004768371</v>
      </c>
      <c r="AC611">
        <v>285.06164550781199</v>
      </c>
      <c r="AD611">
        <v>138</v>
      </c>
      <c r="AE611">
        <v>1.87999999523162</v>
      </c>
      <c r="AF611">
        <v>41</v>
      </c>
      <c r="AG611">
        <v>83.900001525878906</v>
      </c>
      <c r="AH611">
        <v>5.8499999046325604</v>
      </c>
      <c r="AI611">
        <v>4.5199999809265101</v>
      </c>
      <c r="AJ611">
        <v>18.559999465942301</v>
      </c>
      <c r="AK611">
        <v>4.6799998283386204</v>
      </c>
      <c r="AL611">
        <v>5.38000011444091</v>
      </c>
      <c r="AM611">
        <v>15.5900001525878</v>
      </c>
      <c r="AN611" t="s">
        <v>879</v>
      </c>
      <c r="AO611">
        <v>99.099999999999895</v>
      </c>
      <c r="AP611">
        <v>33.111697684519996</v>
      </c>
      <c r="AR611" s="1">
        <v>35796</v>
      </c>
      <c r="AS611" s="1">
        <v>40802.738808136572</v>
      </c>
      <c r="AT611" s="1">
        <v>41240.564355405091</v>
      </c>
      <c r="AU611" s="1">
        <v>40802.738808136572</v>
      </c>
      <c r="AV611" s="1">
        <v>40780.444011805557</v>
      </c>
      <c r="AW611" s="1">
        <v>40780.444011805557</v>
      </c>
      <c r="AX611" s="1"/>
      <c r="BB611" s="2">
        <v>9</v>
      </c>
      <c r="BC611">
        <f t="shared" si="37"/>
        <v>36.626720482739806</v>
      </c>
      <c r="BD611">
        <v>129</v>
      </c>
      <c r="BE611">
        <v>5.5</v>
      </c>
      <c r="BF611">
        <v>2.8999999999999901</v>
      </c>
      <c r="BG611">
        <v>11.3</v>
      </c>
      <c r="BH611">
        <v>211</v>
      </c>
      <c r="BI611">
        <v>2.8599999999999901</v>
      </c>
      <c r="BJ611">
        <v>8.0999999999999908</v>
      </c>
      <c r="BK611">
        <v>4.5</v>
      </c>
      <c r="BL611">
        <v>14.3</v>
      </c>
      <c r="BM611">
        <v>158.34</v>
      </c>
      <c r="BN611">
        <v>7.2</v>
      </c>
    </row>
    <row r="612" spans="1:66" x14ac:dyDescent="0.3">
      <c r="A612">
        <v>611</v>
      </c>
      <c r="B612" s="2" t="s">
        <v>430</v>
      </c>
      <c r="C612" s="2" t="s">
        <v>448</v>
      </c>
      <c r="D612">
        <v>77.132694938439897</v>
      </c>
      <c r="E612" s="3"/>
      <c r="F612" s="1">
        <v>45360</v>
      </c>
      <c r="G612" s="1">
        <v>45018.472037037027</v>
      </c>
      <c r="H612" t="s">
        <v>451</v>
      </c>
      <c r="I612" t="s">
        <v>451</v>
      </c>
      <c r="J612" t="s">
        <v>451</v>
      </c>
      <c r="L612">
        <v>55</v>
      </c>
      <c r="M612" t="s">
        <v>451</v>
      </c>
      <c r="N612" t="s">
        <v>451</v>
      </c>
      <c r="O612" t="s">
        <v>451</v>
      </c>
      <c r="P612" t="s">
        <v>451</v>
      </c>
      <c r="Q612" t="s">
        <v>451</v>
      </c>
      <c r="S612" t="s">
        <v>451</v>
      </c>
      <c r="T612" t="s">
        <v>29</v>
      </c>
      <c r="V612" t="s">
        <v>451</v>
      </c>
      <c r="W612" t="s">
        <v>451</v>
      </c>
      <c r="AE612">
        <v>1</v>
      </c>
      <c r="AN612" t="s">
        <v>880</v>
      </c>
      <c r="AO612">
        <v>80</v>
      </c>
      <c r="AP612">
        <v>27.681660899653977</v>
      </c>
      <c r="AS612" s="1"/>
      <c r="AT612" s="1">
        <v>40456.584171296287</v>
      </c>
      <c r="AU612" s="1">
        <v>40456.424555439808</v>
      </c>
      <c r="AV612" s="1"/>
      <c r="AW612" s="1">
        <v>40002.24162079861</v>
      </c>
      <c r="AX612" s="1"/>
      <c r="AY612" t="s">
        <v>21</v>
      </c>
      <c r="AZ612">
        <v>179</v>
      </c>
      <c r="BA612">
        <v>90</v>
      </c>
      <c r="BB612" s="2">
        <v>4</v>
      </c>
      <c r="BC612">
        <f t="shared" si="37"/>
        <v>15.3185441183139</v>
      </c>
      <c r="BD612">
        <v>135</v>
      </c>
      <c r="BE612">
        <v>4.2999999999999901</v>
      </c>
      <c r="BF612">
        <v>3.7</v>
      </c>
      <c r="BG612">
        <v>8.3000000000000007</v>
      </c>
      <c r="BH612">
        <v>140</v>
      </c>
      <c r="BI612">
        <v>4.5599999999999898</v>
      </c>
      <c r="BJ612">
        <v>8.5999999999999908</v>
      </c>
      <c r="BK612">
        <v>5.7999999999999901</v>
      </c>
      <c r="BL612">
        <v>9.5999999999999908</v>
      </c>
      <c r="BM612">
        <v>41.149999999999899</v>
      </c>
      <c r="BN612">
        <v>4.2999999999999901</v>
      </c>
    </row>
    <row r="613" spans="1:66" x14ac:dyDescent="0.3">
      <c r="A613">
        <v>612</v>
      </c>
      <c r="B613" s="2" t="s">
        <v>430</v>
      </c>
      <c r="C613" s="2" t="s">
        <v>449</v>
      </c>
      <c r="D613">
        <v>84.848153214774001</v>
      </c>
      <c r="E613" s="3">
        <v>42146</v>
      </c>
      <c r="F613" s="1">
        <v>42116</v>
      </c>
      <c r="G613" s="1">
        <v>41800.525601851848</v>
      </c>
      <c r="H613" t="s">
        <v>15</v>
      </c>
      <c r="I613" t="s">
        <v>78</v>
      </c>
      <c r="J613" t="s">
        <v>15</v>
      </c>
      <c r="L613">
        <v>75</v>
      </c>
      <c r="M613" t="s">
        <v>451</v>
      </c>
      <c r="N613" t="s">
        <v>451</v>
      </c>
      <c r="O613" t="s">
        <v>25</v>
      </c>
      <c r="P613" t="s">
        <v>75</v>
      </c>
      <c r="Q613" t="s">
        <v>18</v>
      </c>
      <c r="S613" t="s">
        <v>451</v>
      </c>
      <c r="T613" t="s">
        <v>29</v>
      </c>
      <c r="U613" t="s">
        <v>530</v>
      </c>
      <c r="V613" t="s">
        <v>451</v>
      </c>
      <c r="W613" t="s">
        <v>19</v>
      </c>
      <c r="X613" t="s">
        <v>78</v>
      </c>
      <c r="Y613">
        <v>4.9000000953674299</v>
      </c>
      <c r="Z613">
        <v>2.9000000953674299</v>
      </c>
      <c r="AA613">
        <v>1.20000004768371</v>
      </c>
      <c r="AB613">
        <v>1</v>
      </c>
      <c r="AC613">
        <v>200.49798583984301</v>
      </c>
      <c r="AD613">
        <v>103</v>
      </c>
      <c r="AE613">
        <v>1</v>
      </c>
      <c r="AF613">
        <v>41</v>
      </c>
      <c r="AG613">
        <v>113</v>
      </c>
      <c r="AH613">
        <v>6</v>
      </c>
      <c r="AI613">
        <v>3</v>
      </c>
      <c r="AJ613">
        <v>37.669998168945298</v>
      </c>
      <c r="AK613">
        <v>8</v>
      </c>
      <c r="AL613">
        <v>6</v>
      </c>
      <c r="AM613">
        <v>18.829999923706001</v>
      </c>
      <c r="AN613" t="s">
        <v>881</v>
      </c>
      <c r="AO613">
        <v>70</v>
      </c>
      <c r="AS613" s="1">
        <v>41677.014213078714</v>
      </c>
      <c r="AT613" s="1">
        <v>41730.457290590282</v>
      </c>
      <c r="AU613" s="1">
        <v>41592.860566898147</v>
      </c>
      <c r="AV613" s="1"/>
      <c r="AW613" s="1">
        <v>41592.860566898147</v>
      </c>
      <c r="AX613" s="1"/>
      <c r="AZ613">
        <v>122</v>
      </c>
      <c r="BA613">
        <v>66</v>
      </c>
      <c r="BB613" s="2">
        <v>0</v>
      </c>
      <c r="BC613">
        <f t="shared" si="37"/>
        <v>12.354804387371445</v>
      </c>
      <c r="BD613">
        <v>134</v>
      </c>
      <c r="BE613">
        <v>3.7</v>
      </c>
      <c r="BF613">
        <v>3.7</v>
      </c>
      <c r="BG613">
        <v>10.1999999999999</v>
      </c>
      <c r="BH613">
        <v>259</v>
      </c>
      <c r="BI613">
        <v>4.3399999999999901</v>
      </c>
      <c r="BJ613">
        <v>9.5</v>
      </c>
      <c r="BK613">
        <v>3.8999999999999901</v>
      </c>
      <c r="BL613">
        <v>17.5</v>
      </c>
      <c r="BM613">
        <v>37.689999999999898</v>
      </c>
      <c r="BN613">
        <v>5.7</v>
      </c>
    </row>
    <row r="614" spans="1:66" x14ac:dyDescent="0.3">
      <c r="A614">
        <v>613</v>
      </c>
      <c r="B614" s="2" t="s">
        <v>430</v>
      </c>
      <c r="C614" s="2" t="s">
        <v>449</v>
      </c>
      <c r="D614">
        <v>90.248974008207</v>
      </c>
      <c r="E614" s="3">
        <v>44404</v>
      </c>
      <c r="F614" s="1">
        <v>43986</v>
      </c>
      <c r="G614" s="1">
        <v>43969.486747685187</v>
      </c>
      <c r="H614" t="s">
        <v>15</v>
      </c>
      <c r="I614" t="s">
        <v>15</v>
      </c>
      <c r="J614" t="s">
        <v>22</v>
      </c>
      <c r="L614">
        <v>40</v>
      </c>
      <c r="M614" t="s">
        <v>17</v>
      </c>
      <c r="N614" t="s">
        <v>15</v>
      </c>
      <c r="O614" t="s">
        <v>25</v>
      </c>
      <c r="P614" t="s">
        <v>75</v>
      </c>
      <c r="S614" t="s">
        <v>75</v>
      </c>
      <c r="T614" t="s">
        <v>19</v>
      </c>
      <c r="V614" t="s">
        <v>451</v>
      </c>
      <c r="W614" t="s">
        <v>34</v>
      </c>
      <c r="X614" t="s">
        <v>90</v>
      </c>
      <c r="Y614">
        <v>4.6999998092651296</v>
      </c>
      <c r="Z614">
        <v>4</v>
      </c>
      <c r="AA614">
        <v>0.80000001192092796</v>
      </c>
      <c r="AB614">
        <v>0.80000001192092796</v>
      </c>
      <c r="AC614">
        <v>122.2583694458</v>
      </c>
      <c r="AD614">
        <v>71</v>
      </c>
      <c r="AE614">
        <v>1.37999999523162</v>
      </c>
      <c r="AF614">
        <v>67</v>
      </c>
      <c r="AG614">
        <v>129</v>
      </c>
      <c r="AH614">
        <v>5.4000000953674299</v>
      </c>
      <c r="AI614">
        <v>4.8000001907348597</v>
      </c>
      <c r="AJ614">
        <v>26.879999160766602</v>
      </c>
      <c r="AK614">
        <v>6.3000001907348597</v>
      </c>
      <c r="AL614">
        <v>6.5999999046325604</v>
      </c>
      <c r="AM614">
        <v>19.549999237060501</v>
      </c>
      <c r="AN614" t="s">
        <v>882</v>
      </c>
      <c r="AO614">
        <v>58</v>
      </c>
      <c r="AP614">
        <v>22.65625</v>
      </c>
      <c r="AS614" s="1">
        <v>43965.613377511567</v>
      </c>
      <c r="AT614" s="1">
        <v>40157.083011030103</v>
      </c>
      <c r="AU614" s="1"/>
      <c r="AV614" s="1"/>
      <c r="AW614" s="1"/>
      <c r="AX614" s="1"/>
      <c r="AY614" t="s">
        <v>21</v>
      </c>
      <c r="AZ614">
        <v>119</v>
      </c>
      <c r="BA614">
        <v>61</v>
      </c>
      <c r="BB614" s="2">
        <v>3</v>
      </c>
      <c r="BC614">
        <f t="shared" si="37"/>
        <v>6.1000327826906684</v>
      </c>
      <c r="BD614">
        <v>141</v>
      </c>
      <c r="BE614">
        <v>4.2999999999999901</v>
      </c>
      <c r="BF614">
        <v>2.7999999999999901</v>
      </c>
      <c r="BG614">
        <v>8.5</v>
      </c>
      <c r="BH614">
        <v>239</v>
      </c>
      <c r="BI614">
        <v>6.57</v>
      </c>
      <c r="BJ614">
        <v>8.3000000000000007</v>
      </c>
      <c r="BK614">
        <v>8.9</v>
      </c>
      <c r="BL614">
        <v>10.3</v>
      </c>
      <c r="BM614">
        <v>44.14</v>
      </c>
      <c r="BN614">
        <v>4</v>
      </c>
    </row>
    <row r="615" spans="1:66" x14ac:dyDescent="0.3">
      <c r="A615">
        <v>614</v>
      </c>
      <c r="B615" s="2" t="s">
        <v>434</v>
      </c>
      <c r="C615" s="2" t="s">
        <v>448</v>
      </c>
      <c r="D615">
        <v>81.283173734610003</v>
      </c>
      <c r="E615" s="3">
        <v>43189.920138888891</v>
      </c>
      <c r="F615" s="1">
        <v>42859</v>
      </c>
      <c r="G615" s="1">
        <v>42849.597118055557</v>
      </c>
      <c r="H615" t="s">
        <v>15</v>
      </c>
      <c r="I615" t="s">
        <v>78</v>
      </c>
      <c r="J615" t="s">
        <v>15</v>
      </c>
      <c r="L615">
        <v>55</v>
      </c>
      <c r="M615" t="s">
        <v>451</v>
      </c>
      <c r="N615" t="s">
        <v>451</v>
      </c>
      <c r="O615" t="s">
        <v>25</v>
      </c>
      <c r="P615" t="s">
        <v>112</v>
      </c>
      <c r="Q615" t="s">
        <v>18</v>
      </c>
      <c r="S615" t="s">
        <v>451</v>
      </c>
      <c r="T615" t="s">
        <v>18</v>
      </c>
      <c r="U615" t="s">
        <v>96</v>
      </c>
      <c r="V615" t="s">
        <v>451</v>
      </c>
      <c r="W615" t="s">
        <v>19</v>
      </c>
      <c r="X615" t="s">
        <v>87</v>
      </c>
      <c r="Y615">
        <v>4.5999999046325604</v>
      </c>
      <c r="Z615">
        <v>2.8599998950958199</v>
      </c>
      <c r="AA615">
        <v>1.28999996185302</v>
      </c>
      <c r="AB615">
        <v>1</v>
      </c>
      <c r="AC615">
        <v>191.74931335449199</v>
      </c>
      <c r="AD615">
        <v>104</v>
      </c>
      <c r="AE615">
        <v>1</v>
      </c>
      <c r="AF615">
        <v>51</v>
      </c>
      <c r="AG615">
        <v>93.800003051757798</v>
      </c>
      <c r="AH615">
        <v>5.9299998283386204</v>
      </c>
      <c r="AI615">
        <v>4.5100002288818297</v>
      </c>
      <c r="AJ615">
        <v>20.799999237060501</v>
      </c>
      <c r="AK615">
        <v>6.7699999809265101</v>
      </c>
      <c r="AL615">
        <v>3.5899999141693102</v>
      </c>
      <c r="AM615">
        <v>26.129999160766602</v>
      </c>
      <c r="AN615" t="s">
        <v>883</v>
      </c>
      <c r="AO615">
        <v>73</v>
      </c>
      <c r="AP615">
        <v>22.530864197530864</v>
      </c>
      <c r="AQ615" s="1">
        <v>42278</v>
      </c>
      <c r="AS615" s="1">
        <v>41252.412781597217</v>
      </c>
      <c r="AT615" s="1"/>
      <c r="AU615" s="1">
        <v>41252.412781597217</v>
      </c>
      <c r="AV615" s="1">
        <v>41252.412781597217</v>
      </c>
      <c r="AW615" s="1"/>
      <c r="AX615" s="1"/>
      <c r="BB615" s="2">
        <v>2</v>
      </c>
      <c r="BC615">
        <f t="shared" si="37"/>
        <v>8.7805807878020925</v>
      </c>
      <c r="BD615">
        <v>145</v>
      </c>
      <c r="BE615">
        <v>4.5</v>
      </c>
      <c r="BF615">
        <v>3.7</v>
      </c>
      <c r="BG615">
        <v>10.6999999999999</v>
      </c>
      <c r="BH615">
        <v>223</v>
      </c>
      <c r="BI615">
        <v>6.78</v>
      </c>
      <c r="BJ615">
        <v>9.1999999999999904</v>
      </c>
      <c r="BK615">
        <v>5</v>
      </c>
      <c r="BL615">
        <v>8.8000000000000007</v>
      </c>
      <c r="BM615">
        <v>71.260000000000005</v>
      </c>
      <c r="BN615">
        <v>5.7999999999999901</v>
      </c>
    </row>
    <row r="616" spans="1:66" x14ac:dyDescent="0.3">
      <c r="A616">
        <v>615</v>
      </c>
      <c r="B616" s="2" t="s">
        <v>430</v>
      </c>
      <c r="C616" s="2" t="s">
        <v>448</v>
      </c>
      <c r="D616">
        <v>83.064295485635895</v>
      </c>
      <c r="E616" s="3">
        <v>42794.040277777778</v>
      </c>
      <c r="F616" s="1">
        <v>42780</v>
      </c>
      <c r="G616" s="1">
        <v>42596.426481481481</v>
      </c>
      <c r="H616" t="s">
        <v>15</v>
      </c>
      <c r="I616" t="s">
        <v>78</v>
      </c>
      <c r="J616" t="s">
        <v>15</v>
      </c>
      <c r="L616">
        <v>60</v>
      </c>
      <c r="M616" t="s">
        <v>451</v>
      </c>
      <c r="N616" t="s">
        <v>451</v>
      </c>
      <c r="O616" t="s">
        <v>25</v>
      </c>
      <c r="P616" t="s">
        <v>479</v>
      </c>
      <c r="S616" t="s">
        <v>451</v>
      </c>
      <c r="T616" t="s">
        <v>19</v>
      </c>
      <c r="V616" t="s">
        <v>15</v>
      </c>
      <c r="W616" t="s">
        <v>19</v>
      </c>
      <c r="X616" t="s">
        <v>78</v>
      </c>
      <c r="Y616">
        <v>4.6999998092651296</v>
      </c>
      <c r="Z616">
        <v>3.20000004768371</v>
      </c>
      <c r="AA616">
        <v>1.29999995231628</v>
      </c>
      <c r="AB616">
        <v>1.3999999761581401</v>
      </c>
      <c r="AC616">
        <v>251.365631103515</v>
      </c>
      <c r="AD616">
        <v>145</v>
      </c>
      <c r="AE616">
        <v>1</v>
      </c>
      <c r="AF616">
        <v>42</v>
      </c>
      <c r="AG616">
        <v>113</v>
      </c>
      <c r="AH616">
        <v>6</v>
      </c>
      <c r="AI616">
        <v>6</v>
      </c>
      <c r="AJ616">
        <v>18.829999923706001</v>
      </c>
      <c r="AK616">
        <v>7</v>
      </c>
      <c r="AL616">
        <v>10</v>
      </c>
      <c r="AM616">
        <v>11.300000190734799</v>
      </c>
      <c r="AN616" t="s">
        <v>884</v>
      </c>
      <c r="AS616" s="1"/>
      <c r="AT616" s="1"/>
      <c r="AU616" s="1">
        <v>40730.626893090281</v>
      </c>
      <c r="AV616" s="1">
        <v>40730.626893090281</v>
      </c>
      <c r="AW616" s="1"/>
      <c r="AX616" s="1"/>
      <c r="AZ616">
        <v>120</v>
      </c>
      <c r="BA616">
        <v>60</v>
      </c>
      <c r="BB616" s="2">
        <v>0</v>
      </c>
      <c r="BC616">
        <v>11</v>
      </c>
      <c r="BD616">
        <v>139</v>
      </c>
      <c r="BE616">
        <v>5.2</v>
      </c>
      <c r="BF616">
        <v>2.2000000000000002</v>
      </c>
      <c r="BG616">
        <v>7.2</v>
      </c>
      <c r="BH616">
        <v>257</v>
      </c>
      <c r="BI616">
        <v>5.07</v>
      </c>
      <c r="BJ616">
        <v>7.4</v>
      </c>
      <c r="BK616">
        <v>8</v>
      </c>
      <c r="BL616">
        <v>5.5</v>
      </c>
      <c r="BM616">
        <v>45.909999999999897</v>
      </c>
      <c r="BN616">
        <v>6</v>
      </c>
    </row>
    <row r="617" spans="1:66" x14ac:dyDescent="0.3">
      <c r="A617">
        <v>616</v>
      </c>
      <c r="B617" s="2" t="s">
        <v>434</v>
      </c>
      <c r="C617" s="2" t="s">
        <v>449</v>
      </c>
      <c r="D617">
        <v>67.975376196989998</v>
      </c>
      <c r="E617" s="3">
        <v>42056</v>
      </c>
      <c r="F617" s="1">
        <v>41910</v>
      </c>
      <c r="G617" s="1">
        <v>41892.496562499997</v>
      </c>
      <c r="H617" t="s">
        <v>15</v>
      </c>
      <c r="I617" t="s">
        <v>87</v>
      </c>
      <c r="J617" t="s">
        <v>15</v>
      </c>
      <c r="L617">
        <v>65</v>
      </c>
      <c r="M617" t="s">
        <v>15</v>
      </c>
      <c r="N617" t="s">
        <v>28</v>
      </c>
      <c r="O617" t="s">
        <v>17</v>
      </c>
      <c r="P617" t="s">
        <v>124</v>
      </c>
      <c r="Q617" t="s">
        <v>19</v>
      </c>
      <c r="R617" t="s">
        <v>500</v>
      </c>
      <c r="S617" t="s">
        <v>451</v>
      </c>
      <c r="T617" t="s">
        <v>18</v>
      </c>
      <c r="V617" t="s">
        <v>451</v>
      </c>
      <c r="W617" t="s">
        <v>23</v>
      </c>
      <c r="X617" t="s">
        <v>90</v>
      </c>
      <c r="Y617">
        <v>4</v>
      </c>
      <c r="Z617">
        <v>2.4000000953674299</v>
      </c>
      <c r="AA617">
        <v>1.5</v>
      </c>
      <c r="AB617">
        <v>1.29999995231628</v>
      </c>
      <c r="AC617">
        <v>208.95942687988199</v>
      </c>
      <c r="AD617">
        <v>120</v>
      </c>
      <c r="AE617">
        <v>1</v>
      </c>
      <c r="AF617">
        <v>71</v>
      </c>
      <c r="AG617">
        <v>63</v>
      </c>
      <c r="AH617">
        <v>6</v>
      </c>
      <c r="AI617">
        <v>7</v>
      </c>
      <c r="AJ617">
        <v>9</v>
      </c>
      <c r="AK617">
        <v>9</v>
      </c>
      <c r="AL617">
        <v>9</v>
      </c>
      <c r="AM617">
        <v>7</v>
      </c>
      <c r="AN617" t="s">
        <v>885</v>
      </c>
      <c r="AO617">
        <v>73</v>
      </c>
      <c r="AP617">
        <v>28.515625</v>
      </c>
      <c r="AR617" s="1">
        <v>40689</v>
      </c>
      <c r="AS617" s="1">
        <v>40574.503544097221</v>
      </c>
      <c r="AT617" s="1"/>
      <c r="AU617" s="1">
        <v>40631.636516203696</v>
      </c>
      <c r="AV617" s="1">
        <v>40510.644924571759</v>
      </c>
      <c r="AW617" s="1"/>
      <c r="AX617" s="1">
        <v>40631.636516203696</v>
      </c>
      <c r="BB617" s="2">
        <v>2</v>
      </c>
      <c r="BC617">
        <f>(140-D617)*AO617/(72*BI617)</f>
        <v>9.0940181569457188</v>
      </c>
      <c r="BD617">
        <v>133</v>
      </c>
      <c r="BE617">
        <v>4.5</v>
      </c>
      <c r="BF617">
        <v>2.2999999999999901</v>
      </c>
      <c r="BG617">
        <v>9.3000000000000007</v>
      </c>
      <c r="BH617">
        <v>122</v>
      </c>
      <c r="BI617">
        <v>8.0299999999999905</v>
      </c>
      <c r="BJ617">
        <v>7.9</v>
      </c>
      <c r="BK617">
        <v>9.0999999999999908</v>
      </c>
      <c r="BL617">
        <v>6</v>
      </c>
      <c r="BM617">
        <v>53.74</v>
      </c>
      <c r="BN617">
        <v>5.5999999999999899</v>
      </c>
    </row>
    <row r="618" spans="1:66" x14ac:dyDescent="0.3">
      <c r="A618">
        <v>617</v>
      </c>
      <c r="B618" s="2" t="s">
        <v>430</v>
      </c>
      <c r="C618" s="2" t="s">
        <v>448</v>
      </c>
      <c r="D618">
        <v>62.010943912447999</v>
      </c>
      <c r="E618" s="3"/>
      <c r="F618" s="1">
        <v>45666</v>
      </c>
      <c r="G618" s="1">
        <v>45342.622743055559</v>
      </c>
      <c r="H618" t="s">
        <v>451</v>
      </c>
      <c r="I618" t="s">
        <v>451</v>
      </c>
      <c r="J618" t="s">
        <v>451</v>
      </c>
      <c r="K618" t="s">
        <v>476</v>
      </c>
      <c r="L618">
        <v>55</v>
      </c>
      <c r="M618" t="s">
        <v>451</v>
      </c>
      <c r="N618" t="s">
        <v>451</v>
      </c>
      <c r="O618" t="s">
        <v>451</v>
      </c>
      <c r="P618" t="s">
        <v>451</v>
      </c>
      <c r="Q618" t="s">
        <v>451</v>
      </c>
      <c r="R618" t="s">
        <v>501</v>
      </c>
      <c r="S618" t="s">
        <v>451</v>
      </c>
      <c r="T618" t="s">
        <v>18</v>
      </c>
      <c r="U618" t="s">
        <v>531</v>
      </c>
      <c r="V618" t="s">
        <v>15</v>
      </c>
      <c r="W618" t="s">
        <v>18</v>
      </c>
      <c r="Y618">
        <v>6.3099999427795401</v>
      </c>
      <c r="Z618">
        <v>3.2899999618530198</v>
      </c>
      <c r="AA618">
        <v>0.82999998331069902</v>
      </c>
      <c r="AB618">
        <v>1</v>
      </c>
      <c r="AC618">
        <v>240.31047058105401</v>
      </c>
      <c r="AD618">
        <v>111</v>
      </c>
      <c r="AE618">
        <v>1</v>
      </c>
      <c r="AG618">
        <v>136</v>
      </c>
      <c r="AI618">
        <v>5.8699998855590803</v>
      </c>
      <c r="AJ618">
        <v>23.170000076293899</v>
      </c>
      <c r="AK618">
        <v>10.6000003814697</v>
      </c>
      <c r="AL618">
        <v>9.1400003433227504</v>
      </c>
      <c r="AM618">
        <v>14.8800001144409</v>
      </c>
      <c r="AN618" t="s">
        <v>886</v>
      </c>
      <c r="AO618">
        <v>114.7</v>
      </c>
      <c r="AP618">
        <v>43.70522786160646</v>
      </c>
      <c r="AS618" s="1"/>
      <c r="AT618" s="1">
        <v>40645.352524421287</v>
      </c>
      <c r="AU618" s="1">
        <v>40610.371450312501</v>
      </c>
      <c r="AV618" s="1">
        <v>42351.552599421288</v>
      </c>
      <c r="AW618" s="1"/>
      <c r="AX618" s="1"/>
      <c r="AY618" t="s">
        <v>21</v>
      </c>
      <c r="BA618">
        <v>67</v>
      </c>
      <c r="BB618" s="2">
        <v>1</v>
      </c>
      <c r="BC618">
        <f>(140-D618)*AO618/(72*BI618)</f>
        <v>23.485992263290839</v>
      </c>
      <c r="BD618">
        <v>137</v>
      </c>
      <c r="BE618">
        <v>4.5999999999999899</v>
      </c>
      <c r="BF618">
        <v>3.7999999999999901</v>
      </c>
      <c r="BG618">
        <v>8.0999999999999908</v>
      </c>
      <c r="BH618">
        <v>291</v>
      </c>
      <c r="BI618">
        <v>5.29</v>
      </c>
      <c r="BJ618">
        <v>8.5999999999999908</v>
      </c>
      <c r="BK618">
        <v>7.7999999999999901</v>
      </c>
      <c r="BL618">
        <v>9.0999999999999908</v>
      </c>
      <c r="BM618">
        <v>14.9</v>
      </c>
      <c r="BN618">
        <v>5.2</v>
      </c>
    </row>
    <row r="619" spans="1:66" x14ac:dyDescent="0.3">
      <c r="A619">
        <v>618</v>
      </c>
      <c r="B619" s="2" t="s">
        <v>430</v>
      </c>
      <c r="C619" s="2" t="s">
        <v>448</v>
      </c>
      <c r="D619">
        <v>64.686730506155001</v>
      </c>
      <c r="E619" s="3">
        <v>42523.072916666657</v>
      </c>
      <c r="F619" s="1">
        <v>41417</v>
      </c>
      <c r="G619" s="1">
        <v>41114.665532407409</v>
      </c>
      <c r="H619" t="s">
        <v>15</v>
      </c>
      <c r="I619" t="s">
        <v>78</v>
      </c>
      <c r="J619" t="s">
        <v>15</v>
      </c>
      <c r="L619">
        <v>65</v>
      </c>
      <c r="M619" t="s">
        <v>451</v>
      </c>
      <c r="N619" t="s">
        <v>451</v>
      </c>
      <c r="O619" t="s">
        <v>17</v>
      </c>
      <c r="P619" t="s">
        <v>479</v>
      </c>
      <c r="Q619" t="s">
        <v>451</v>
      </c>
      <c r="S619" t="s">
        <v>92</v>
      </c>
      <c r="V619" t="s">
        <v>451</v>
      </c>
      <c r="W619" t="s">
        <v>18</v>
      </c>
      <c r="X619" t="s">
        <v>78</v>
      </c>
      <c r="Y619">
        <v>4.4000000953674299</v>
      </c>
      <c r="Z619">
        <v>2.9000000953674299</v>
      </c>
      <c r="AA619">
        <v>1.20000004768371</v>
      </c>
      <c r="AB619">
        <v>1.20000004768371</v>
      </c>
      <c r="AC619">
        <v>191.33433532714801</v>
      </c>
      <c r="AD619">
        <v>108</v>
      </c>
      <c r="AE619">
        <v>1</v>
      </c>
      <c r="AF619">
        <v>40</v>
      </c>
      <c r="AG619">
        <v>113</v>
      </c>
      <c r="AH619">
        <v>6</v>
      </c>
      <c r="AI619">
        <v>7</v>
      </c>
      <c r="AJ619">
        <v>16.139999389648398</v>
      </c>
      <c r="AK619">
        <v>7</v>
      </c>
      <c r="AL619">
        <v>11</v>
      </c>
      <c r="AM619">
        <v>10.270000457763601</v>
      </c>
      <c r="AN619" t="s">
        <v>887</v>
      </c>
      <c r="AO619">
        <v>71</v>
      </c>
      <c r="AP619">
        <v>25.155895691609977</v>
      </c>
      <c r="AS619" s="1"/>
      <c r="AT619" s="1"/>
      <c r="AU619" s="1">
        <v>40554.656079166663</v>
      </c>
      <c r="AV619" s="1">
        <v>40647.442513391201</v>
      </c>
      <c r="AW619" s="1"/>
      <c r="AX619" s="1"/>
      <c r="BB619" s="2">
        <v>3</v>
      </c>
      <c r="BC619">
        <f>(140-D619)*AO619/(72*BI619)</f>
        <v>19.699536302914069</v>
      </c>
      <c r="BD619">
        <v>139</v>
      </c>
      <c r="BE619">
        <v>4.7</v>
      </c>
      <c r="BF619">
        <v>2.6</v>
      </c>
      <c r="BG619">
        <v>10.5</v>
      </c>
      <c r="BH619">
        <v>109</v>
      </c>
      <c r="BI619">
        <v>3.77</v>
      </c>
      <c r="BJ619">
        <v>6.2999999999999901</v>
      </c>
      <c r="BK619">
        <v>4.7999999999999901</v>
      </c>
      <c r="BL619">
        <v>6.7999999999999901</v>
      </c>
      <c r="BM619">
        <v>1.8</v>
      </c>
      <c r="BN619">
        <v>6.0999999999999899</v>
      </c>
    </row>
    <row r="620" spans="1:66" x14ac:dyDescent="0.3">
      <c r="A620">
        <v>619</v>
      </c>
      <c r="B620" s="2" t="s">
        <v>430</v>
      </c>
      <c r="C620" s="2" t="s">
        <v>448</v>
      </c>
      <c r="D620">
        <v>81.948016415867897</v>
      </c>
      <c r="E620" s="3"/>
      <c r="F620" s="1">
        <v>45736</v>
      </c>
      <c r="G620" s="1">
        <v>45483.506724537037</v>
      </c>
      <c r="H620" t="s">
        <v>451</v>
      </c>
      <c r="I620" t="s">
        <v>451</v>
      </c>
      <c r="J620" t="s">
        <v>451</v>
      </c>
      <c r="K620" t="s">
        <v>74</v>
      </c>
      <c r="L620">
        <v>55</v>
      </c>
      <c r="M620" t="s">
        <v>451</v>
      </c>
      <c r="N620" t="s">
        <v>451</v>
      </c>
      <c r="O620" t="s">
        <v>17</v>
      </c>
      <c r="P620" t="s">
        <v>124</v>
      </c>
      <c r="Q620" t="s">
        <v>18</v>
      </c>
      <c r="S620" t="s">
        <v>75</v>
      </c>
      <c r="T620" t="s">
        <v>19</v>
      </c>
      <c r="V620" t="s">
        <v>451</v>
      </c>
      <c r="W620" t="s">
        <v>19</v>
      </c>
      <c r="X620" t="s">
        <v>15</v>
      </c>
      <c r="Y620">
        <v>4.5</v>
      </c>
      <c r="Z620">
        <v>2.4000000953674299</v>
      </c>
      <c r="AA620">
        <v>1</v>
      </c>
      <c r="AB620">
        <v>0.80000001192092796</v>
      </c>
      <c r="AC620">
        <v>132.82310485839801</v>
      </c>
      <c r="AD620">
        <v>75</v>
      </c>
      <c r="AE620">
        <v>1</v>
      </c>
      <c r="AF620">
        <v>30</v>
      </c>
      <c r="AG620">
        <v>103</v>
      </c>
      <c r="AI620">
        <v>3.8299999237060498</v>
      </c>
      <c r="AJ620">
        <v>26.889999389648398</v>
      </c>
      <c r="AK620">
        <v>4.6100001335143999</v>
      </c>
      <c r="AL620">
        <v>8.4399995803833008</v>
      </c>
      <c r="AM620">
        <v>12.199999809265099</v>
      </c>
      <c r="AN620" t="s">
        <v>888</v>
      </c>
      <c r="AO620">
        <v>69</v>
      </c>
      <c r="AP620">
        <v>23.875432525951556</v>
      </c>
      <c r="AS620" s="1">
        <v>43072.54073645833</v>
      </c>
      <c r="AT620" s="1">
        <v>42764.662640011571</v>
      </c>
      <c r="AU620" s="1"/>
      <c r="AV620" s="1">
        <v>43072.54073645833</v>
      </c>
      <c r="AW620" s="1">
        <v>43552.70220590278</v>
      </c>
      <c r="AX620" s="1"/>
      <c r="AZ620">
        <v>152</v>
      </c>
      <c r="BA620">
        <v>76</v>
      </c>
      <c r="BB620" s="2">
        <v>2</v>
      </c>
      <c r="BC620">
        <f>(140-D620)*AO620/(72*BI620)</f>
        <v>6.5068012789231888</v>
      </c>
      <c r="BD620">
        <v>142</v>
      </c>
      <c r="BE620">
        <v>4.2</v>
      </c>
      <c r="BF620">
        <v>2.3999999999999901</v>
      </c>
      <c r="BG620">
        <v>9.8000000000000007</v>
      </c>
      <c r="BH620">
        <v>194</v>
      </c>
      <c r="BI620">
        <v>8.5500000000000007</v>
      </c>
      <c r="BJ620">
        <v>8.6999999999999904</v>
      </c>
      <c r="BK620">
        <v>8</v>
      </c>
      <c r="BL620">
        <v>6.9</v>
      </c>
      <c r="BM620">
        <v>50.35</v>
      </c>
      <c r="BN620">
        <v>8.5</v>
      </c>
    </row>
    <row r="621" spans="1:66" x14ac:dyDescent="0.3">
      <c r="A621">
        <v>620</v>
      </c>
      <c r="B621" s="2" t="s">
        <v>430</v>
      </c>
      <c r="C621" s="2" t="s">
        <v>448</v>
      </c>
      <c r="D621">
        <v>78.673050615595002</v>
      </c>
      <c r="E621" s="3">
        <v>44211.78125</v>
      </c>
      <c r="F621" s="1">
        <v>44170</v>
      </c>
      <c r="G621" s="1">
        <v>44109.48777777778</v>
      </c>
      <c r="H621" t="s">
        <v>17</v>
      </c>
      <c r="I621" t="s">
        <v>78</v>
      </c>
      <c r="J621" t="s">
        <v>15</v>
      </c>
      <c r="L621">
        <v>55</v>
      </c>
      <c r="M621" t="s">
        <v>451</v>
      </c>
      <c r="N621" t="s">
        <v>451</v>
      </c>
      <c r="O621" t="s">
        <v>17</v>
      </c>
      <c r="P621" t="s">
        <v>75</v>
      </c>
      <c r="Q621" t="s">
        <v>451</v>
      </c>
      <c r="S621" t="s">
        <v>451</v>
      </c>
      <c r="T621" t="s">
        <v>23</v>
      </c>
      <c r="U621" t="s">
        <v>132</v>
      </c>
      <c r="V621" t="s">
        <v>451</v>
      </c>
      <c r="W621" t="s">
        <v>18</v>
      </c>
      <c r="X621" t="s">
        <v>87</v>
      </c>
      <c r="Y621">
        <v>5.9000000953674299</v>
      </c>
      <c r="Z621">
        <v>4</v>
      </c>
      <c r="AA621">
        <v>1.3999999761581401</v>
      </c>
      <c r="AB621">
        <v>0.89999997615814198</v>
      </c>
      <c r="AC621">
        <v>288.46286010742102</v>
      </c>
      <c r="AD621">
        <v>140</v>
      </c>
      <c r="AE621">
        <v>1.1900000572204501</v>
      </c>
      <c r="AF621">
        <v>51</v>
      </c>
      <c r="AG621">
        <v>121</v>
      </c>
      <c r="AH621">
        <v>6.6399998664855904</v>
      </c>
      <c r="AI621">
        <v>6.42000007629394</v>
      </c>
      <c r="AJ621">
        <v>18.850000381469702</v>
      </c>
      <c r="AK621">
        <v>8.3800001144409109</v>
      </c>
      <c r="AL621">
        <v>11.199999809265099</v>
      </c>
      <c r="AM621">
        <v>10.800000190734799</v>
      </c>
      <c r="AN621" t="s">
        <v>889</v>
      </c>
      <c r="AS621" s="1">
        <v>41526.579203553243</v>
      </c>
      <c r="AT621" s="1">
        <v>40498.89936747685</v>
      </c>
      <c r="AU621" s="1">
        <v>41526.579203553243</v>
      </c>
      <c r="AV621" s="1">
        <v>41526.579203553243</v>
      </c>
      <c r="AW621" s="1"/>
      <c r="AX621" s="1"/>
      <c r="AZ621">
        <v>126</v>
      </c>
      <c r="BA621">
        <v>64</v>
      </c>
      <c r="BB621" s="2">
        <v>0</v>
      </c>
      <c r="BC621">
        <v>13.4</v>
      </c>
      <c r="BD621">
        <v>151</v>
      </c>
      <c r="BE621">
        <v>3.8999999999999901</v>
      </c>
      <c r="BF621">
        <v>2.7999999999999901</v>
      </c>
      <c r="BG621">
        <v>10.1</v>
      </c>
      <c r="BH621">
        <v>222</v>
      </c>
      <c r="BI621">
        <v>4.3099999999999898</v>
      </c>
      <c r="BJ621">
        <v>7.9</v>
      </c>
      <c r="BK621">
        <v>6.4</v>
      </c>
      <c r="BL621">
        <v>11.5</v>
      </c>
      <c r="BM621">
        <v>103.52</v>
      </c>
      <c r="BN621">
        <v>6.5999999999999899</v>
      </c>
    </row>
    <row r="622" spans="1:66" x14ac:dyDescent="0.3">
      <c r="A622">
        <v>621</v>
      </c>
      <c r="B622" s="2" t="s">
        <v>434</v>
      </c>
      <c r="C622" s="2" t="s">
        <v>449</v>
      </c>
      <c r="D622">
        <v>62.344733242133898</v>
      </c>
      <c r="E622" s="3">
        <v>40971</v>
      </c>
      <c r="F622" s="1">
        <v>40902</v>
      </c>
      <c r="G622" s="1">
        <v>40587.610231481478</v>
      </c>
      <c r="H622" t="s">
        <v>31</v>
      </c>
      <c r="I622" t="s">
        <v>451</v>
      </c>
      <c r="J622" t="s">
        <v>35</v>
      </c>
      <c r="L622">
        <v>28.5</v>
      </c>
      <c r="M622" t="s">
        <v>79</v>
      </c>
      <c r="N622" t="s">
        <v>35</v>
      </c>
      <c r="O622" t="s">
        <v>25</v>
      </c>
      <c r="P622" t="s">
        <v>479</v>
      </c>
      <c r="Q622" t="s">
        <v>19</v>
      </c>
      <c r="S622" t="s">
        <v>451</v>
      </c>
      <c r="T622" t="s">
        <v>451</v>
      </c>
      <c r="U622" t="s">
        <v>272</v>
      </c>
      <c r="V622" t="s">
        <v>451</v>
      </c>
      <c r="W622" t="s">
        <v>19</v>
      </c>
      <c r="X622" t="s">
        <v>78</v>
      </c>
      <c r="Y622">
        <v>6.6599998474120996</v>
      </c>
      <c r="Z622">
        <v>5.9499998092651296</v>
      </c>
      <c r="AA622">
        <v>0.87999999523162797</v>
      </c>
      <c r="AB622">
        <v>0.88999998569488503</v>
      </c>
      <c r="AC622">
        <v>253.25245666503901</v>
      </c>
      <c r="AD622">
        <v>146</v>
      </c>
      <c r="AE622">
        <v>2.6900000572204501</v>
      </c>
      <c r="AF622">
        <v>43</v>
      </c>
      <c r="AG622">
        <v>114</v>
      </c>
      <c r="AN622" t="s">
        <v>890</v>
      </c>
      <c r="AO622">
        <v>60</v>
      </c>
      <c r="AP622">
        <v>22.862368541380889</v>
      </c>
      <c r="AS622" s="1"/>
      <c r="AT622" s="1">
        <v>39902.622842673612</v>
      </c>
      <c r="AU622" s="1"/>
      <c r="AV622" s="1"/>
      <c r="AW622" s="1">
        <v>39902.63439540509</v>
      </c>
      <c r="AX622" s="1"/>
      <c r="BB622" s="2">
        <v>4</v>
      </c>
      <c r="BC622">
        <f t="shared" ref="BC622:BC635" si="38">(140-D622)*AO622/(72*BI622)</f>
        <v>36.978698456126715</v>
      </c>
      <c r="BD622">
        <v>133</v>
      </c>
      <c r="BE622">
        <v>3.1</v>
      </c>
      <c r="BF622">
        <v>4.2</v>
      </c>
      <c r="BH622">
        <v>102</v>
      </c>
      <c r="BI622">
        <v>1.75</v>
      </c>
      <c r="BJ622">
        <v>9</v>
      </c>
      <c r="BK622">
        <v>2.7999999999999901</v>
      </c>
      <c r="BL622">
        <v>10.1999999999999</v>
      </c>
      <c r="BM622">
        <v>58.399999999999899</v>
      </c>
    </row>
    <row r="623" spans="1:66" x14ac:dyDescent="0.3">
      <c r="A623">
        <v>622</v>
      </c>
      <c r="B623" s="2" t="s">
        <v>434</v>
      </c>
      <c r="C623" s="2" t="s">
        <v>448</v>
      </c>
      <c r="D623">
        <v>64.9876880984949</v>
      </c>
      <c r="E623" s="3">
        <v>42177.972222222219</v>
      </c>
      <c r="F623" s="1">
        <v>42151</v>
      </c>
      <c r="G623" s="1">
        <v>41926.34884259259</v>
      </c>
      <c r="H623" t="s">
        <v>31</v>
      </c>
      <c r="I623" t="s">
        <v>15</v>
      </c>
      <c r="J623" t="s">
        <v>35</v>
      </c>
      <c r="L623">
        <v>10</v>
      </c>
      <c r="M623" t="s">
        <v>79</v>
      </c>
      <c r="N623" t="s">
        <v>35</v>
      </c>
      <c r="O623" t="s">
        <v>25</v>
      </c>
      <c r="P623" t="s">
        <v>75</v>
      </c>
      <c r="Q623" t="s">
        <v>451</v>
      </c>
      <c r="S623" t="s">
        <v>451</v>
      </c>
      <c r="T623" t="s">
        <v>34</v>
      </c>
      <c r="V623" t="s">
        <v>451</v>
      </c>
      <c r="W623" t="s">
        <v>26</v>
      </c>
      <c r="X623" t="s">
        <v>90</v>
      </c>
      <c r="Y623">
        <v>6.9899997711181596</v>
      </c>
      <c r="Z623">
        <v>6.1900000572204501</v>
      </c>
      <c r="AA623">
        <v>1.04999995231628</v>
      </c>
      <c r="AB623">
        <v>0.92000001668929998</v>
      </c>
      <c r="AC623">
        <v>314.92214965820301</v>
      </c>
      <c r="AD623">
        <v>151</v>
      </c>
      <c r="AE623">
        <v>2.6199998855590798</v>
      </c>
      <c r="AF623">
        <v>69</v>
      </c>
      <c r="AG623">
        <v>91.800003051757798</v>
      </c>
      <c r="AH623">
        <v>3.9300000667571999</v>
      </c>
      <c r="AI623">
        <v>4.5100002288818297</v>
      </c>
      <c r="AJ623">
        <v>20.350000381469702</v>
      </c>
      <c r="AK623">
        <v>3.5099999904632502</v>
      </c>
      <c r="AL623">
        <v>5.2600002288818297</v>
      </c>
      <c r="AM623">
        <v>17.4500007629394</v>
      </c>
      <c r="AN623" t="s">
        <v>891</v>
      </c>
      <c r="AO623">
        <v>88.5</v>
      </c>
      <c r="AQ623" s="1">
        <v>35796</v>
      </c>
      <c r="AR623" s="1">
        <v>35796</v>
      </c>
      <c r="AS623" s="1">
        <v>40336.434597025473</v>
      </c>
      <c r="AT623" s="1">
        <v>40336.435305208332</v>
      </c>
      <c r="AU623" s="1"/>
      <c r="AV623" s="1"/>
      <c r="AW623" s="1">
        <v>40336.435869328707</v>
      </c>
      <c r="AX623" s="1"/>
      <c r="BB623" s="2">
        <v>0</v>
      </c>
      <c r="BC623">
        <f t="shared" si="38"/>
        <v>36.300249361784786</v>
      </c>
      <c r="BD623">
        <v>136</v>
      </c>
      <c r="BE623">
        <v>3.6</v>
      </c>
      <c r="BF623">
        <v>3</v>
      </c>
      <c r="BH623">
        <v>100</v>
      </c>
      <c r="BI623">
        <v>2.54</v>
      </c>
      <c r="BJ623">
        <v>8.9</v>
      </c>
      <c r="BK623">
        <v>5.0999999999999899</v>
      </c>
      <c r="BL623">
        <v>11.1999999999999</v>
      </c>
      <c r="BM623">
        <v>10.19</v>
      </c>
      <c r="BN623">
        <v>6.0999999999999899</v>
      </c>
    </row>
    <row r="624" spans="1:66" x14ac:dyDescent="0.3">
      <c r="A624">
        <v>623</v>
      </c>
      <c r="B624" s="2" t="s">
        <v>430</v>
      </c>
      <c r="C624" s="2" t="s">
        <v>449</v>
      </c>
      <c r="D624">
        <v>85.923392612859004</v>
      </c>
      <c r="E624" s="3">
        <v>43586.791666666657</v>
      </c>
      <c r="F624" s="1">
        <v>43508</v>
      </c>
      <c r="G624" s="1">
        <v>43502.580821759257</v>
      </c>
      <c r="H624" t="s">
        <v>15</v>
      </c>
      <c r="I624" t="s">
        <v>15</v>
      </c>
      <c r="J624" t="s">
        <v>15</v>
      </c>
      <c r="L624">
        <v>55</v>
      </c>
      <c r="M624" t="s">
        <v>79</v>
      </c>
      <c r="N624" t="s">
        <v>15</v>
      </c>
      <c r="O624" t="s">
        <v>17</v>
      </c>
      <c r="P624" t="s">
        <v>75</v>
      </c>
      <c r="Q624" t="s">
        <v>23</v>
      </c>
      <c r="R624" t="s">
        <v>499</v>
      </c>
      <c r="S624" t="s">
        <v>451</v>
      </c>
      <c r="T624" t="s">
        <v>19</v>
      </c>
      <c r="U624" t="s">
        <v>147</v>
      </c>
      <c r="V624" t="s">
        <v>451</v>
      </c>
      <c r="W624" t="s">
        <v>34</v>
      </c>
      <c r="X624" t="s">
        <v>90</v>
      </c>
      <c r="Y624">
        <v>4.4000000953674299</v>
      </c>
      <c r="Z624">
        <v>2.20000004768371</v>
      </c>
      <c r="AA624">
        <v>1</v>
      </c>
      <c r="AB624">
        <v>1</v>
      </c>
      <c r="AC624">
        <v>147.83071899414</v>
      </c>
      <c r="AE624">
        <v>1</v>
      </c>
      <c r="AF624">
        <v>67</v>
      </c>
      <c r="AG624">
        <v>142</v>
      </c>
      <c r="AH624">
        <v>7.3000001907348597</v>
      </c>
      <c r="AI624">
        <v>6.5</v>
      </c>
      <c r="AJ624">
        <v>21.850000381469702</v>
      </c>
      <c r="AK624">
        <v>7.8000001907348597</v>
      </c>
      <c r="AL624">
        <v>9.3999996185302699</v>
      </c>
      <c r="AM624">
        <v>15.1099996566772</v>
      </c>
      <c r="AN624" t="s">
        <v>892</v>
      </c>
      <c r="AO624">
        <v>65.5</v>
      </c>
      <c r="AP624">
        <v>27.263267429760667</v>
      </c>
      <c r="AS624" s="1"/>
      <c r="AT624" s="1">
        <v>41079.57180795139</v>
      </c>
      <c r="AU624" s="1">
        <v>39681.372367627308</v>
      </c>
      <c r="AV624" s="1">
        <v>39681.371319097219</v>
      </c>
      <c r="AW624" s="1">
        <v>43039.539303969897</v>
      </c>
      <c r="AX624" s="1"/>
      <c r="AY624" t="s">
        <v>21</v>
      </c>
      <c r="AZ624">
        <v>147</v>
      </c>
      <c r="BA624">
        <v>50</v>
      </c>
      <c r="BB624" s="2">
        <v>4</v>
      </c>
      <c r="BC624">
        <f t="shared" si="38"/>
        <v>27.793610984445504</v>
      </c>
      <c r="BD624">
        <v>147</v>
      </c>
      <c r="BE624">
        <v>3.7</v>
      </c>
      <c r="BF624">
        <v>3.2</v>
      </c>
      <c r="BG624">
        <v>7.2999999999999901</v>
      </c>
      <c r="BH624">
        <v>331</v>
      </c>
      <c r="BI624">
        <v>1.77</v>
      </c>
      <c r="BJ624">
        <v>9.5</v>
      </c>
      <c r="BK624">
        <v>4.5</v>
      </c>
      <c r="BL624">
        <v>6.9</v>
      </c>
      <c r="BM624">
        <v>10.18</v>
      </c>
      <c r="BN624">
        <v>7.7</v>
      </c>
    </row>
    <row r="625" spans="1:66" x14ac:dyDescent="0.3">
      <c r="A625">
        <v>624</v>
      </c>
      <c r="B625" s="2" t="s">
        <v>430</v>
      </c>
      <c r="C625" s="2" t="s">
        <v>448</v>
      </c>
      <c r="D625">
        <v>80</v>
      </c>
      <c r="E625" s="3">
        <v>42994</v>
      </c>
      <c r="F625" s="1">
        <v>42808</v>
      </c>
      <c r="G625" s="1">
        <v>42690.539641203701</v>
      </c>
      <c r="H625" t="s">
        <v>15</v>
      </c>
      <c r="I625" t="s">
        <v>451</v>
      </c>
      <c r="J625" t="s">
        <v>15</v>
      </c>
      <c r="L625">
        <v>55</v>
      </c>
      <c r="M625" t="s">
        <v>17</v>
      </c>
      <c r="N625" t="s">
        <v>15</v>
      </c>
      <c r="O625" t="s">
        <v>31</v>
      </c>
      <c r="P625" t="s">
        <v>75</v>
      </c>
      <c r="Q625" t="s">
        <v>19</v>
      </c>
      <c r="R625" t="s">
        <v>98</v>
      </c>
      <c r="S625" t="s">
        <v>92</v>
      </c>
      <c r="T625" t="s">
        <v>26</v>
      </c>
      <c r="V625" t="s">
        <v>451</v>
      </c>
      <c r="W625" t="s">
        <v>34</v>
      </c>
      <c r="X625" t="s">
        <v>87</v>
      </c>
      <c r="Y625">
        <v>5.2899999618530202</v>
      </c>
      <c r="Z625">
        <v>3.8599998950958199</v>
      </c>
      <c r="AA625">
        <v>1.1100000143051101</v>
      </c>
      <c r="AB625">
        <v>1.03999996185302</v>
      </c>
      <c r="AC625">
        <v>220.07734680175699</v>
      </c>
      <c r="AD625">
        <v>122</v>
      </c>
      <c r="AE625">
        <v>1</v>
      </c>
      <c r="AF625">
        <v>53</v>
      </c>
      <c r="AG625">
        <v>107</v>
      </c>
      <c r="AH625">
        <v>5.6799998283386204</v>
      </c>
      <c r="AI625">
        <v>6.3499999046325604</v>
      </c>
      <c r="AJ625">
        <v>16.850000381469702</v>
      </c>
      <c r="AK625">
        <v>6.5999999046325604</v>
      </c>
      <c r="AL625">
        <v>9.3599996566772408</v>
      </c>
      <c r="AM625">
        <v>11.4300003051757</v>
      </c>
      <c r="AN625" t="s">
        <v>893</v>
      </c>
      <c r="AO625">
        <v>80</v>
      </c>
      <c r="AP625">
        <v>29.38475665748393</v>
      </c>
      <c r="AS625" s="1"/>
      <c r="AT625" s="1">
        <v>42527.39494471065</v>
      </c>
      <c r="AU625" s="1"/>
      <c r="AV625" s="1"/>
      <c r="AW625" s="1"/>
      <c r="AX625" s="1"/>
      <c r="AZ625">
        <v>95</v>
      </c>
      <c r="BA625">
        <v>54</v>
      </c>
      <c r="BB625" s="2">
        <v>0</v>
      </c>
      <c r="BC625">
        <f t="shared" si="38"/>
        <v>36.83241252302026</v>
      </c>
      <c r="BD625">
        <v>135.4</v>
      </c>
      <c r="BE625">
        <v>3.72</v>
      </c>
      <c r="BF625">
        <v>2.6</v>
      </c>
      <c r="BH625">
        <v>178</v>
      </c>
      <c r="BI625">
        <v>1.81</v>
      </c>
      <c r="BJ625">
        <v>8.5</v>
      </c>
      <c r="BK625">
        <v>4.2999999999999901</v>
      </c>
      <c r="BL625">
        <v>3.3999999999999901</v>
      </c>
      <c r="BM625">
        <v>13.44</v>
      </c>
    </row>
    <row r="626" spans="1:66" x14ac:dyDescent="0.3">
      <c r="A626">
        <v>625</v>
      </c>
      <c r="B626" s="2" t="s">
        <v>430</v>
      </c>
      <c r="C626" s="2" t="s">
        <v>448</v>
      </c>
      <c r="D626">
        <v>84.632010943912107</v>
      </c>
      <c r="E626" s="3">
        <v>45649.09375</v>
      </c>
      <c r="F626" s="1">
        <v>44556</v>
      </c>
      <c r="G626" s="1">
        <v>44558.387025462973</v>
      </c>
      <c r="H626" t="s">
        <v>15</v>
      </c>
      <c r="I626" t="s">
        <v>15</v>
      </c>
      <c r="J626" t="s">
        <v>14</v>
      </c>
      <c r="L626">
        <v>45</v>
      </c>
      <c r="M626" t="s">
        <v>451</v>
      </c>
      <c r="N626" t="s">
        <v>451</v>
      </c>
      <c r="O626" t="s">
        <v>17</v>
      </c>
      <c r="P626" t="s">
        <v>75</v>
      </c>
      <c r="Q626" t="s">
        <v>19</v>
      </c>
      <c r="R626" t="s">
        <v>173</v>
      </c>
      <c r="S626" t="s">
        <v>92</v>
      </c>
      <c r="T626" t="s">
        <v>19</v>
      </c>
      <c r="U626" t="s">
        <v>96</v>
      </c>
      <c r="V626" t="s">
        <v>451</v>
      </c>
      <c r="W626" t="s">
        <v>18</v>
      </c>
      <c r="X626" t="s">
        <v>78</v>
      </c>
      <c r="Y626">
        <v>5.0599999427795401</v>
      </c>
      <c r="Z626">
        <v>4.5399999618530202</v>
      </c>
      <c r="AA626">
        <v>0.79000002145767201</v>
      </c>
      <c r="AB626">
        <v>0.75</v>
      </c>
      <c r="AC626">
        <v>132.007568359375</v>
      </c>
      <c r="AD626">
        <v>76</v>
      </c>
      <c r="AE626">
        <v>1.62000000476837</v>
      </c>
      <c r="AF626">
        <v>44</v>
      </c>
      <c r="AG626">
        <v>144</v>
      </c>
      <c r="AI626">
        <v>5.5100002288818297</v>
      </c>
      <c r="AJ626">
        <v>26.129999160766602</v>
      </c>
      <c r="AK626">
        <v>8.8000001907348597</v>
      </c>
      <c r="AL626">
        <v>5.71000003814697</v>
      </c>
      <c r="AM626">
        <v>25.2199993133544</v>
      </c>
      <c r="AN626" t="s">
        <v>894</v>
      </c>
      <c r="AO626">
        <v>67</v>
      </c>
      <c r="AP626">
        <v>25.529644871208657</v>
      </c>
      <c r="AQ626" s="1">
        <v>44531</v>
      </c>
      <c r="AR626" s="1">
        <v>35796</v>
      </c>
      <c r="AS626" s="1">
        <v>40055.304531944443</v>
      </c>
      <c r="AT626" s="1">
        <v>42791.824171956017</v>
      </c>
      <c r="AU626" s="1">
        <v>40055.304418483793</v>
      </c>
      <c r="AV626" s="1">
        <v>40055.304302199067</v>
      </c>
      <c r="AW626" s="1"/>
      <c r="AX626" s="1"/>
      <c r="AZ626">
        <v>160</v>
      </c>
      <c r="BA626">
        <v>85</v>
      </c>
      <c r="BB626" s="2">
        <v>0</v>
      </c>
      <c r="BC626">
        <f t="shared" si="38"/>
        <v>6.9344535418683533</v>
      </c>
      <c r="BD626">
        <v>133</v>
      </c>
      <c r="BE626">
        <v>5.0999999999999899</v>
      </c>
      <c r="BF626">
        <v>2.8999999999999901</v>
      </c>
      <c r="BG626">
        <v>7.2999999999999901</v>
      </c>
      <c r="BH626">
        <v>267</v>
      </c>
      <c r="BI626">
        <v>7.4299999999999899</v>
      </c>
      <c r="BJ626">
        <v>9.1999999999999904</v>
      </c>
      <c r="BK626">
        <v>6.2999999999999901</v>
      </c>
      <c r="BL626">
        <v>7.7999999999999901</v>
      </c>
      <c r="BM626">
        <v>17.170000000000002</v>
      </c>
      <c r="BN626">
        <v>5.2</v>
      </c>
    </row>
    <row r="627" spans="1:66" x14ac:dyDescent="0.3">
      <c r="A627">
        <v>626</v>
      </c>
      <c r="B627" s="2" t="s">
        <v>430</v>
      </c>
      <c r="C627" s="2" t="s">
        <v>449</v>
      </c>
      <c r="D627">
        <v>78.429548563610894</v>
      </c>
      <c r="E627" s="3"/>
      <c r="F627" s="1">
        <v>44929</v>
      </c>
      <c r="G627" s="1">
        <v>44923.520752314813</v>
      </c>
      <c r="H627" t="s">
        <v>452</v>
      </c>
      <c r="I627" t="s">
        <v>15</v>
      </c>
      <c r="J627" t="s">
        <v>15</v>
      </c>
      <c r="L627">
        <v>65</v>
      </c>
      <c r="M627" t="s">
        <v>451</v>
      </c>
      <c r="N627" t="s">
        <v>451</v>
      </c>
      <c r="O627" t="s">
        <v>25</v>
      </c>
      <c r="P627" t="s">
        <v>124</v>
      </c>
      <c r="Q627" t="s">
        <v>451</v>
      </c>
      <c r="R627" t="s">
        <v>494</v>
      </c>
      <c r="S627" t="s">
        <v>92</v>
      </c>
      <c r="T627" t="s">
        <v>18</v>
      </c>
      <c r="U627" t="s">
        <v>96</v>
      </c>
      <c r="V627" t="s">
        <v>451</v>
      </c>
      <c r="W627" t="s">
        <v>19</v>
      </c>
      <c r="X627" t="s">
        <v>90</v>
      </c>
      <c r="Y627">
        <v>3.5999999046325599</v>
      </c>
      <c r="Z627">
        <v>2.2999999523162802</v>
      </c>
      <c r="AA627">
        <v>1.1000000238418499</v>
      </c>
      <c r="AB627">
        <v>0.89999997615814198</v>
      </c>
      <c r="AC627">
        <v>107.894721984863</v>
      </c>
      <c r="AD627">
        <v>60</v>
      </c>
      <c r="AE627">
        <v>1</v>
      </c>
      <c r="AF627">
        <v>61</v>
      </c>
      <c r="AG627">
        <v>143</v>
      </c>
      <c r="AI627">
        <v>6.96000003814697</v>
      </c>
      <c r="AJ627">
        <v>20.549999237060501</v>
      </c>
      <c r="AL627">
        <v>5.2199997901916504</v>
      </c>
      <c r="AM627">
        <v>27.389999389648398</v>
      </c>
      <c r="AN627" t="s">
        <v>895</v>
      </c>
      <c r="AO627">
        <v>83</v>
      </c>
      <c r="AS627" s="1"/>
      <c r="AT627" s="1"/>
      <c r="AU627" s="1"/>
      <c r="AV627" s="1">
        <v>44255.152902349539</v>
      </c>
      <c r="AW627" s="1"/>
      <c r="AX627" s="1"/>
      <c r="AZ627">
        <v>141</v>
      </c>
      <c r="BA627">
        <v>78</v>
      </c>
      <c r="BB627" s="2">
        <v>0</v>
      </c>
      <c r="BC627">
        <f t="shared" si="38"/>
        <v>13.755241896049464</v>
      </c>
      <c r="BD627">
        <v>144</v>
      </c>
      <c r="BE627">
        <v>3.7</v>
      </c>
      <c r="BF627">
        <v>3.6</v>
      </c>
      <c r="BG627">
        <v>7.9</v>
      </c>
      <c r="BH627">
        <v>240</v>
      </c>
      <c r="BI627">
        <v>5.16</v>
      </c>
      <c r="BJ627">
        <v>9.1999999999999904</v>
      </c>
      <c r="BK627">
        <v>6.2</v>
      </c>
      <c r="BL627">
        <v>9.8000000000000007</v>
      </c>
      <c r="BM627">
        <v>20.579999999999899</v>
      </c>
      <c r="BN627">
        <v>5.9</v>
      </c>
    </row>
    <row r="628" spans="1:66" x14ac:dyDescent="0.3">
      <c r="A628">
        <v>627</v>
      </c>
      <c r="B628" s="2" t="s">
        <v>434</v>
      </c>
      <c r="C628" s="2" t="s">
        <v>449</v>
      </c>
      <c r="D628">
        <v>86.248974008207</v>
      </c>
      <c r="E628" s="3">
        <v>45220</v>
      </c>
      <c r="F628" s="1">
        <v>44888</v>
      </c>
      <c r="G628" s="1">
        <v>44554.376134259262</v>
      </c>
      <c r="H628" t="s">
        <v>15</v>
      </c>
      <c r="I628" t="s">
        <v>451</v>
      </c>
      <c r="J628" t="s">
        <v>15</v>
      </c>
      <c r="L628">
        <v>60</v>
      </c>
      <c r="M628" t="s">
        <v>15</v>
      </c>
      <c r="N628" t="s">
        <v>15</v>
      </c>
      <c r="O628" t="s">
        <v>17</v>
      </c>
      <c r="P628" t="s">
        <v>451</v>
      </c>
      <c r="Q628" t="s">
        <v>19</v>
      </c>
      <c r="S628" t="s">
        <v>137</v>
      </c>
      <c r="T628" t="s">
        <v>23</v>
      </c>
      <c r="V628" t="s">
        <v>451</v>
      </c>
      <c r="W628" t="s">
        <v>34</v>
      </c>
      <c r="X628" t="s">
        <v>78</v>
      </c>
      <c r="Y628">
        <v>4.4000000953674299</v>
      </c>
      <c r="Z628">
        <v>3.5</v>
      </c>
      <c r="AA628">
        <v>1.1000000238418499</v>
      </c>
      <c r="AB628">
        <v>0.89999997615814198</v>
      </c>
      <c r="AC628">
        <v>147.83071899414</v>
      </c>
      <c r="AD628">
        <v>84</v>
      </c>
      <c r="AE628">
        <v>1</v>
      </c>
      <c r="AF628">
        <v>46</v>
      </c>
      <c r="AG628">
        <v>114</v>
      </c>
      <c r="AN628" t="s">
        <v>896</v>
      </c>
      <c r="AO628">
        <v>75</v>
      </c>
      <c r="AP628">
        <v>31.217481789802289</v>
      </c>
      <c r="AQ628" s="1">
        <v>40544</v>
      </c>
      <c r="AR628" s="1">
        <v>40555</v>
      </c>
      <c r="AS628" s="1">
        <v>40548.012246724538</v>
      </c>
      <c r="AT628" s="1">
        <v>40625.441734525462</v>
      </c>
      <c r="AU628" s="1">
        <v>40542.751377314817</v>
      </c>
      <c r="AV628" s="1">
        <v>40625.403297800927</v>
      </c>
      <c r="AW628" s="1">
        <v>40625.403297800927</v>
      </c>
      <c r="AX628" s="1"/>
      <c r="AY628" t="s">
        <v>21</v>
      </c>
      <c r="BB628" s="2">
        <v>1</v>
      </c>
      <c r="BC628">
        <f t="shared" si="38"/>
        <v>17.831417858211584</v>
      </c>
      <c r="BD628">
        <v>137</v>
      </c>
      <c r="BE628">
        <v>4.0999999999999899</v>
      </c>
      <c r="BF628">
        <v>3.5</v>
      </c>
      <c r="BG628">
        <v>11.6999999999999</v>
      </c>
      <c r="BH628">
        <v>244</v>
      </c>
      <c r="BI628">
        <v>3.14</v>
      </c>
      <c r="BJ628">
        <v>9</v>
      </c>
      <c r="BK628">
        <v>5.4</v>
      </c>
      <c r="BL628">
        <v>11.6</v>
      </c>
      <c r="BM628">
        <v>4.46999999999999</v>
      </c>
      <c r="BN628">
        <v>8.5</v>
      </c>
    </row>
    <row r="629" spans="1:66" x14ac:dyDescent="0.3">
      <c r="A629">
        <v>628</v>
      </c>
      <c r="B629" s="2" t="s">
        <v>430</v>
      </c>
      <c r="C629" s="2" t="s">
        <v>448</v>
      </c>
      <c r="D629">
        <v>67.143638850889005</v>
      </c>
      <c r="E629" s="3"/>
      <c r="F629" s="1">
        <v>42764</v>
      </c>
      <c r="G629" s="1">
        <v>42757.443726851852</v>
      </c>
      <c r="H629" t="s">
        <v>15</v>
      </c>
      <c r="I629" t="s">
        <v>15</v>
      </c>
      <c r="J629" t="s">
        <v>15</v>
      </c>
      <c r="L629">
        <v>60</v>
      </c>
      <c r="M629" t="s">
        <v>451</v>
      </c>
      <c r="N629" t="s">
        <v>451</v>
      </c>
      <c r="O629" t="s">
        <v>15</v>
      </c>
      <c r="P629" t="s">
        <v>75</v>
      </c>
      <c r="Q629" t="s">
        <v>18</v>
      </c>
      <c r="S629" t="s">
        <v>451</v>
      </c>
      <c r="T629" t="s">
        <v>451</v>
      </c>
      <c r="V629" t="s">
        <v>451</v>
      </c>
      <c r="W629" t="s">
        <v>18</v>
      </c>
      <c r="Y629">
        <v>4.6900000572204501</v>
      </c>
      <c r="Z629">
        <v>2.5399999618530198</v>
      </c>
      <c r="AA629">
        <v>1.1399999856948799</v>
      </c>
      <c r="AB629">
        <v>0.89999997615814198</v>
      </c>
      <c r="AC629">
        <v>168.38070678710901</v>
      </c>
      <c r="AD629">
        <v>84</v>
      </c>
      <c r="AE629">
        <v>1</v>
      </c>
      <c r="AG629">
        <v>68.400001525878906</v>
      </c>
      <c r="AH629">
        <v>5.4400000572204501</v>
      </c>
      <c r="AI629">
        <v>7.8299999237060502</v>
      </c>
      <c r="AJ629">
        <v>8.7399997711181605</v>
      </c>
      <c r="AK629">
        <v>5.9800000190734801</v>
      </c>
      <c r="AL629">
        <v>5.2199997901916504</v>
      </c>
      <c r="AM629">
        <v>13.1000003814697</v>
      </c>
      <c r="AN629" t="s">
        <v>897</v>
      </c>
      <c r="AO629">
        <v>90</v>
      </c>
      <c r="AP629">
        <v>31.887755102040817</v>
      </c>
      <c r="AS629" s="1"/>
      <c r="AT629" s="1"/>
      <c r="AU629" s="1"/>
      <c r="AV629" s="1">
        <v>42215.43169135417</v>
      </c>
      <c r="AW629" s="1"/>
      <c r="AX629" s="1">
        <v>42761.469527777779</v>
      </c>
      <c r="AY629" t="s">
        <v>21</v>
      </c>
      <c r="AZ629">
        <v>157</v>
      </c>
      <c r="BA629">
        <v>67</v>
      </c>
      <c r="BB629" s="2">
        <v>1</v>
      </c>
      <c r="BC629">
        <f t="shared" si="38"/>
        <v>14.010838682521346</v>
      </c>
      <c r="BD629">
        <v>129.80000000000001</v>
      </c>
      <c r="BE629">
        <v>4.41</v>
      </c>
      <c r="BF629">
        <v>3.7999999999999901</v>
      </c>
      <c r="BG629">
        <v>9.5</v>
      </c>
      <c r="BH629">
        <v>174</v>
      </c>
      <c r="BI629">
        <v>6.5</v>
      </c>
      <c r="BJ629">
        <v>8.6999999999999904</v>
      </c>
      <c r="BK629">
        <v>7.0999999999999899</v>
      </c>
      <c r="BL629">
        <v>11.6999999999999</v>
      </c>
      <c r="BM629">
        <v>122.06</v>
      </c>
      <c r="BN629">
        <v>6.2999999999999901</v>
      </c>
    </row>
    <row r="630" spans="1:66" x14ac:dyDescent="0.3">
      <c r="A630">
        <v>629</v>
      </c>
      <c r="B630" s="2" t="s">
        <v>430</v>
      </c>
      <c r="C630" s="2" t="s">
        <v>448</v>
      </c>
      <c r="D630">
        <v>42.049247606019001</v>
      </c>
      <c r="E630" s="3">
        <v>45004</v>
      </c>
      <c r="F630" s="1">
        <v>42668</v>
      </c>
      <c r="G630" s="1">
        <v>42652.701342592591</v>
      </c>
      <c r="H630" t="s">
        <v>15</v>
      </c>
      <c r="I630" t="s">
        <v>451</v>
      </c>
      <c r="J630" t="s">
        <v>28</v>
      </c>
      <c r="L630">
        <v>35</v>
      </c>
      <c r="M630" t="s">
        <v>15</v>
      </c>
      <c r="N630" t="s">
        <v>15</v>
      </c>
      <c r="O630" t="s">
        <v>17</v>
      </c>
      <c r="P630" t="s">
        <v>451</v>
      </c>
      <c r="Q630" t="s">
        <v>451</v>
      </c>
      <c r="S630" t="s">
        <v>451</v>
      </c>
      <c r="T630" t="s">
        <v>19</v>
      </c>
      <c r="V630" t="s">
        <v>451</v>
      </c>
      <c r="W630" t="s">
        <v>23</v>
      </c>
      <c r="X630" t="s">
        <v>78</v>
      </c>
      <c r="Y630">
        <v>5.5199999809265101</v>
      </c>
      <c r="Z630">
        <v>4.1500000953674299</v>
      </c>
      <c r="AA630">
        <v>0.91000002622604304</v>
      </c>
      <c r="AB630">
        <v>0.81999999284744196</v>
      </c>
      <c r="AC630">
        <v>177.71742248535099</v>
      </c>
      <c r="AD630">
        <v>91</v>
      </c>
      <c r="AE630">
        <v>1.75</v>
      </c>
      <c r="AF630">
        <v>45</v>
      </c>
      <c r="AG630">
        <v>123</v>
      </c>
      <c r="AH630">
        <v>3.8299999237060498</v>
      </c>
      <c r="AI630">
        <v>3.0899999141693102</v>
      </c>
      <c r="AJ630">
        <v>39.810001373291001</v>
      </c>
      <c r="AK630">
        <v>5.8499999046325604</v>
      </c>
      <c r="AL630">
        <v>9.5100002288818306</v>
      </c>
      <c r="AM630">
        <v>12.9300003051757</v>
      </c>
      <c r="AN630" t="s">
        <v>898</v>
      </c>
      <c r="AO630">
        <v>76</v>
      </c>
      <c r="AP630">
        <v>23.456790123456791</v>
      </c>
      <c r="AR630" s="1">
        <v>42005</v>
      </c>
      <c r="AS630" s="1">
        <v>42132.434181516197</v>
      </c>
      <c r="AT630" s="1"/>
      <c r="AU630" s="1">
        <v>42132.851039270827</v>
      </c>
      <c r="AV630" s="1">
        <v>42132.851039270827</v>
      </c>
      <c r="AW630" s="1"/>
      <c r="AX630" s="1"/>
      <c r="AZ630">
        <v>149</v>
      </c>
      <c r="BA630">
        <v>92</v>
      </c>
      <c r="BB630" s="2">
        <v>0</v>
      </c>
      <c r="BC630">
        <f t="shared" si="38"/>
        <v>16.569304625050204</v>
      </c>
      <c r="BD630">
        <v>138</v>
      </c>
      <c r="BE630">
        <v>4.5</v>
      </c>
      <c r="BF630">
        <v>4.5999999999999899</v>
      </c>
      <c r="BH630">
        <v>217</v>
      </c>
      <c r="BI630">
        <v>6.24</v>
      </c>
      <c r="BJ630">
        <v>9.5</v>
      </c>
      <c r="BK630">
        <v>5.5999999999999899</v>
      </c>
      <c r="BL630">
        <v>11.1</v>
      </c>
      <c r="BN630">
        <v>6.7999999999999901</v>
      </c>
    </row>
    <row r="631" spans="1:66" x14ac:dyDescent="0.3">
      <c r="A631">
        <v>630</v>
      </c>
      <c r="B631" s="2" t="s">
        <v>434</v>
      </c>
      <c r="C631" s="2" t="s">
        <v>449</v>
      </c>
      <c r="D631">
        <v>57.498016415868001</v>
      </c>
      <c r="E631" s="3">
        <v>44154</v>
      </c>
      <c r="F631" s="1">
        <v>43934.525000000001</v>
      </c>
      <c r="G631" s="1">
        <v>43693.430173611108</v>
      </c>
      <c r="H631" t="s">
        <v>17</v>
      </c>
      <c r="I631" t="s">
        <v>15</v>
      </c>
      <c r="J631" t="s">
        <v>28</v>
      </c>
      <c r="L631">
        <v>38</v>
      </c>
      <c r="M631" t="s">
        <v>79</v>
      </c>
      <c r="N631" t="s">
        <v>28</v>
      </c>
      <c r="O631" t="s">
        <v>31</v>
      </c>
      <c r="P631" t="s">
        <v>451</v>
      </c>
      <c r="Q631" t="s">
        <v>451</v>
      </c>
      <c r="R631" t="s">
        <v>153</v>
      </c>
      <c r="S631" t="s">
        <v>451</v>
      </c>
      <c r="T631" t="s">
        <v>29</v>
      </c>
      <c r="V631" t="s">
        <v>451</v>
      </c>
      <c r="W631" t="s">
        <v>34</v>
      </c>
      <c r="Y631">
        <v>5.4699997901916504</v>
      </c>
      <c r="Z631">
        <v>4.2600002288818297</v>
      </c>
      <c r="AA631">
        <v>0.81999999284744196</v>
      </c>
      <c r="AB631">
        <v>0.85000002384185702</v>
      </c>
      <c r="AC631">
        <v>167.27207946777301</v>
      </c>
      <c r="AD631">
        <v>84</v>
      </c>
      <c r="AE631">
        <v>2.38000011444091</v>
      </c>
      <c r="AF631">
        <v>33</v>
      </c>
      <c r="AG631">
        <v>85.199996948242102</v>
      </c>
      <c r="AH631">
        <v>4.5399999618530202</v>
      </c>
      <c r="AI631">
        <v>6.96000003814697</v>
      </c>
      <c r="AJ631">
        <v>12.2399997711181</v>
      </c>
      <c r="AK631">
        <v>8.2200002670287997</v>
      </c>
      <c r="AL631">
        <v>16.799999237060501</v>
      </c>
      <c r="AM631">
        <v>5.0700001716613698</v>
      </c>
      <c r="AN631" t="s">
        <v>899</v>
      </c>
      <c r="AO631">
        <v>81.7</v>
      </c>
      <c r="AP631">
        <v>30.376264128494945</v>
      </c>
      <c r="AS631" s="1">
        <v>40016.496653506947</v>
      </c>
      <c r="AT631" s="1">
        <v>40016.497466400462</v>
      </c>
      <c r="AU631" s="1">
        <v>40339.520766319452</v>
      </c>
      <c r="AV631" s="1">
        <v>41030.423492939823</v>
      </c>
      <c r="AW631" s="1">
        <v>40016.49682792824</v>
      </c>
      <c r="AX631" s="1"/>
      <c r="AY631" t="s">
        <v>21</v>
      </c>
      <c r="BB631" s="2">
        <v>1</v>
      </c>
      <c r="BC631">
        <f t="shared" si="38"/>
        <v>30.896644934101612</v>
      </c>
      <c r="BD631">
        <v>137</v>
      </c>
      <c r="BE631">
        <v>3.7999999999999901</v>
      </c>
      <c r="BF631">
        <v>4</v>
      </c>
      <c r="BG631">
        <v>9.5999999999999908</v>
      </c>
      <c r="BH631">
        <v>269</v>
      </c>
      <c r="BI631">
        <v>3.02999999999999</v>
      </c>
      <c r="BJ631">
        <v>9.4</v>
      </c>
      <c r="BK631">
        <v>5.0999999999999899</v>
      </c>
      <c r="BL631">
        <v>17.5</v>
      </c>
      <c r="BM631">
        <v>10.47</v>
      </c>
      <c r="BN631">
        <v>5.7</v>
      </c>
    </row>
    <row r="632" spans="1:66" x14ac:dyDescent="0.3">
      <c r="A632">
        <v>631</v>
      </c>
      <c r="B632" s="2" t="s">
        <v>430</v>
      </c>
      <c r="C632" s="2" t="s">
        <v>448</v>
      </c>
      <c r="D632">
        <v>79.570451436387899</v>
      </c>
      <c r="E632" s="3">
        <v>43218</v>
      </c>
      <c r="F632" s="1">
        <v>42307</v>
      </c>
      <c r="G632" s="1">
        <v>42185.470983796287</v>
      </c>
      <c r="H632" t="s">
        <v>15</v>
      </c>
      <c r="I632" t="s">
        <v>78</v>
      </c>
      <c r="J632" t="s">
        <v>15</v>
      </c>
      <c r="L632">
        <v>65</v>
      </c>
      <c r="M632" t="s">
        <v>15</v>
      </c>
      <c r="N632" t="s">
        <v>15</v>
      </c>
      <c r="O632" t="s">
        <v>17</v>
      </c>
      <c r="P632" t="s">
        <v>75</v>
      </c>
      <c r="Q632" t="s">
        <v>451</v>
      </c>
      <c r="S632" t="s">
        <v>451</v>
      </c>
      <c r="T632" t="s">
        <v>19</v>
      </c>
      <c r="U632" t="s">
        <v>111</v>
      </c>
      <c r="V632" t="s">
        <v>451</v>
      </c>
      <c r="W632" t="s">
        <v>23</v>
      </c>
      <c r="X632" t="s">
        <v>90</v>
      </c>
      <c r="Y632">
        <v>5.5</v>
      </c>
      <c r="Z632">
        <v>3.20000004768371</v>
      </c>
      <c r="AA632">
        <v>1.20000004768371</v>
      </c>
      <c r="AB632">
        <v>0.89999997615814198</v>
      </c>
      <c r="AC632">
        <v>227.404037475585</v>
      </c>
      <c r="AD632">
        <v>107</v>
      </c>
      <c r="AE632">
        <v>1</v>
      </c>
      <c r="AF632">
        <v>60</v>
      </c>
      <c r="AG632">
        <v>105</v>
      </c>
      <c r="AK632">
        <v>8</v>
      </c>
      <c r="AL632">
        <v>8</v>
      </c>
      <c r="AM632">
        <v>13.119999885559</v>
      </c>
      <c r="AN632" t="s">
        <v>900</v>
      </c>
      <c r="AO632">
        <v>100</v>
      </c>
      <c r="AP632">
        <v>33.802055164954027</v>
      </c>
      <c r="AS632" s="1"/>
      <c r="AT632" s="1"/>
      <c r="AU632" s="1">
        <v>42185.152931168981</v>
      </c>
      <c r="AV632" s="1">
        <v>42185.152931168981</v>
      </c>
      <c r="AW632" s="1">
        <v>42185.152931168981</v>
      </c>
      <c r="AX632" s="1">
        <v>42184.930772766202</v>
      </c>
      <c r="AY632" t="s">
        <v>21</v>
      </c>
      <c r="BB632" s="2">
        <v>0</v>
      </c>
      <c r="BC632">
        <f t="shared" si="38"/>
        <v>12.234683463640286</v>
      </c>
      <c r="BD632">
        <v>129</v>
      </c>
      <c r="BE632">
        <v>4.7999999999999901</v>
      </c>
      <c r="BF632">
        <v>2.5</v>
      </c>
      <c r="BH632">
        <v>204</v>
      </c>
      <c r="BI632">
        <v>6.86</v>
      </c>
      <c r="BJ632">
        <v>7.4</v>
      </c>
      <c r="BK632">
        <v>4.4000000000000004</v>
      </c>
      <c r="BL632">
        <v>9.9</v>
      </c>
      <c r="BM632">
        <v>146.13</v>
      </c>
      <c r="BN632">
        <v>8.1999999999999904</v>
      </c>
    </row>
    <row r="633" spans="1:66" x14ac:dyDescent="0.3">
      <c r="A633">
        <v>632</v>
      </c>
      <c r="B633" s="2" t="s">
        <v>430</v>
      </c>
      <c r="C633" s="2" t="s">
        <v>449</v>
      </c>
      <c r="D633">
        <v>77.099863201093896</v>
      </c>
      <c r="E633" s="3"/>
      <c r="F633" s="1">
        <v>45363</v>
      </c>
      <c r="G633" s="1">
        <v>45362.459814814807</v>
      </c>
      <c r="H633" t="s">
        <v>15</v>
      </c>
      <c r="I633" t="s">
        <v>78</v>
      </c>
      <c r="J633" t="s">
        <v>15</v>
      </c>
      <c r="L633">
        <v>65</v>
      </c>
      <c r="M633" t="s">
        <v>451</v>
      </c>
      <c r="N633" t="s">
        <v>451</v>
      </c>
      <c r="O633" t="s">
        <v>17</v>
      </c>
      <c r="P633" t="s">
        <v>75</v>
      </c>
      <c r="Q633" t="s">
        <v>23</v>
      </c>
      <c r="R633" t="s">
        <v>502</v>
      </c>
      <c r="S633" t="s">
        <v>92</v>
      </c>
      <c r="T633" t="s">
        <v>19</v>
      </c>
      <c r="V633" t="s">
        <v>451</v>
      </c>
      <c r="W633" t="s">
        <v>18</v>
      </c>
      <c r="Y633">
        <v>4.3499999046325604</v>
      </c>
      <c r="Z633">
        <v>3.0999999046325599</v>
      </c>
      <c r="AA633">
        <v>1.2799999713897701</v>
      </c>
      <c r="AB633">
        <v>1.2300000190734801</v>
      </c>
      <c r="AC633">
        <v>200.70928955078099</v>
      </c>
      <c r="AD633">
        <v>119</v>
      </c>
      <c r="AE633">
        <v>1</v>
      </c>
      <c r="AG633">
        <v>113</v>
      </c>
      <c r="AI633">
        <v>5.1100001335143999</v>
      </c>
      <c r="AJ633">
        <v>22.110000610351499</v>
      </c>
      <c r="AK633">
        <v>5.3299999237060502</v>
      </c>
      <c r="AL633">
        <v>6.3099999427795401</v>
      </c>
      <c r="AM633">
        <v>17.909999847412099</v>
      </c>
      <c r="AN633" t="s">
        <v>901</v>
      </c>
      <c r="AO633">
        <v>68</v>
      </c>
      <c r="AP633">
        <v>27.587326057852245</v>
      </c>
      <c r="AS633" s="1"/>
      <c r="AT633" s="1"/>
      <c r="AU633" s="1">
        <v>42478.730280057869</v>
      </c>
      <c r="AV633" s="1">
        <v>42478.730280057869</v>
      </c>
      <c r="AW633" s="1">
        <v>43622.089469363433</v>
      </c>
      <c r="AX633" s="1"/>
      <c r="AY633" t="s">
        <v>21</v>
      </c>
      <c r="AZ633">
        <v>95</v>
      </c>
      <c r="BA633">
        <v>46</v>
      </c>
      <c r="BB633" s="2">
        <v>2</v>
      </c>
      <c r="BC633">
        <f t="shared" si="38"/>
        <v>16.012313950006046</v>
      </c>
      <c r="BD633">
        <v>136</v>
      </c>
      <c r="BE633">
        <v>4.0999999999999899</v>
      </c>
      <c r="BF633">
        <v>2.7999999999999901</v>
      </c>
      <c r="BG633">
        <v>9.4</v>
      </c>
      <c r="BH633">
        <v>91</v>
      </c>
      <c r="BI633">
        <v>3.71</v>
      </c>
      <c r="BJ633">
        <v>8.8000000000000007</v>
      </c>
      <c r="BK633">
        <v>3.6</v>
      </c>
      <c r="BL633">
        <v>4.5999999999999899</v>
      </c>
      <c r="BM633">
        <v>152.94</v>
      </c>
      <c r="BN633">
        <v>5.7999999999999901</v>
      </c>
    </row>
    <row r="634" spans="1:66" x14ac:dyDescent="0.3">
      <c r="A634">
        <v>633</v>
      </c>
      <c r="B634" s="2" t="s">
        <v>430</v>
      </c>
      <c r="C634" s="2" t="s">
        <v>449</v>
      </c>
      <c r="D634">
        <v>68.853625170998001</v>
      </c>
      <c r="E634" s="3">
        <v>42542</v>
      </c>
      <c r="F634" s="1">
        <v>42290</v>
      </c>
      <c r="G634" s="1">
        <v>42243.484791666669</v>
      </c>
      <c r="H634" t="s">
        <v>451</v>
      </c>
      <c r="I634" t="s">
        <v>451</v>
      </c>
      <c r="J634" t="s">
        <v>451</v>
      </c>
      <c r="L634">
        <v>50</v>
      </c>
      <c r="M634" t="s">
        <v>451</v>
      </c>
      <c r="N634" t="s">
        <v>451</v>
      </c>
      <c r="O634" t="s">
        <v>451</v>
      </c>
      <c r="P634" t="s">
        <v>451</v>
      </c>
      <c r="Q634" t="s">
        <v>451</v>
      </c>
      <c r="S634" t="s">
        <v>451</v>
      </c>
      <c r="T634" t="s">
        <v>451</v>
      </c>
      <c r="V634" t="s">
        <v>451</v>
      </c>
      <c r="W634" t="s">
        <v>451</v>
      </c>
      <c r="AE634">
        <v>1</v>
      </c>
      <c r="AN634" t="s">
        <v>902</v>
      </c>
      <c r="AO634">
        <v>100</v>
      </c>
      <c r="AP634">
        <v>36.73094582185491</v>
      </c>
      <c r="AS634" s="1"/>
      <c r="AT634" s="1">
        <v>41737.63791041667</v>
      </c>
      <c r="AU634" s="1">
        <v>42271.65016203704</v>
      </c>
      <c r="AV634" s="1"/>
      <c r="AW634" s="1"/>
      <c r="AX634" s="1"/>
      <c r="AZ634">
        <v>106</v>
      </c>
      <c r="BA634">
        <v>52</v>
      </c>
      <c r="BB634" s="2">
        <v>0</v>
      </c>
      <c r="BC634">
        <f t="shared" si="38"/>
        <v>59.887520899833696</v>
      </c>
      <c r="BD634">
        <v>132</v>
      </c>
      <c r="BE634">
        <v>4.4000000000000004</v>
      </c>
      <c r="BF634">
        <v>2.8999999999999901</v>
      </c>
      <c r="BG634">
        <v>8.5999999999999908</v>
      </c>
      <c r="BH634">
        <v>143</v>
      </c>
      <c r="BI634">
        <v>1.6499999999999899</v>
      </c>
      <c r="BJ634">
        <v>8.5</v>
      </c>
      <c r="BK634">
        <v>5.2999999999999901</v>
      </c>
      <c r="BL634">
        <v>6.2</v>
      </c>
      <c r="BM634">
        <v>25.6999999999999</v>
      </c>
      <c r="BN634">
        <v>5.2999999999999901</v>
      </c>
    </row>
    <row r="635" spans="1:66" x14ac:dyDescent="0.3">
      <c r="A635">
        <v>634</v>
      </c>
      <c r="B635" s="2" t="s">
        <v>430</v>
      </c>
      <c r="C635" s="2" t="s">
        <v>448</v>
      </c>
      <c r="D635">
        <v>80.049247606018994</v>
      </c>
      <c r="E635" s="3">
        <v>43646</v>
      </c>
      <c r="F635" s="1">
        <v>42159</v>
      </c>
      <c r="G635" s="1">
        <v>42093.369618055563</v>
      </c>
      <c r="H635" t="s">
        <v>17</v>
      </c>
      <c r="I635" t="s">
        <v>87</v>
      </c>
      <c r="J635" t="s">
        <v>28</v>
      </c>
      <c r="L635">
        <v>37</v>
      </c>
      <c r="M635" t="s">
        <v>451</v>
      </c>
      <c r="N635" t="s">
        <v>451</v>
      </c>
      <c r="O635" t="s">
        <v>25</v>
      </c>
      <c r="P635" t="s">
        <v>75</v>
      </c>
      <c r="Q635" t="s">
        <v>19</v>
      </c>
      <c r="S635" t="s">
        <v>451</v>
      </c>
      <c r="T635" t="s">
        <v>19</v>
      </c>
      <c r="V635" t="s">
        <v>451</v>
      </c>
      <c r="W635" t="s">
        <v>18</v>
      </c>
      <c r="X635" t="s">
        <v>78</v>
      </c>
      <c r="Y635">
        <v>5.8000001907348597</v>
      </c>
      <c r="Z635">
        <v>4.5</v>
      </c>
      <c r="AA635">
        <v>1.70000004768371</v>
      </c>
      <c r="AB635">
        <v>1.5</v>
      </c>
      <c r="AC635">
        <v>444.794830322265</v>
      </c>
      <c r="AD635">
        <v>230</v>
      </c>
      <c r="AE635">
        <v>1</v>
      </c>
      <c r="AF635">
        <v>38</v>
      </c>
      <c r="AG635">
        <v>75.300003051757798</v>
      </c>
      <c r="AH635">
        <v>6</v>
      </c>
      <c r="AI635">
        <v>4</v>
      </c>
      <c r="AJ635">
        <v>18.819999694824201</v>
      </c>
      <c r="AK635">
        <v>5</v>
      </c>
      <c r="AL635">
        <v>9</v>
      </c>
      <c r="AM635">
        <v>8.3699998855590803</v>
      </c>
      <c r="AN635" t="s">
        <v>903</v>
      </c>
      <c r="AO635">
        <v>79</v>
      </c>
      <c r="AP635">
        <v>26.703623580313682</v>
      </c>
      <c r="AS635" s="1">
        <v>42091.650291122693</v>
      </c>
      <c r="AT635" s="1"/>
      <c r="AU635" s="1">
        <v>42091.650291122693</v>
      </c>
      <c r="AV635" s="1">
        <v>42091.650291122693</v>
      </c>
      <c r="AW635" s="1"/>
      <c r="AX635" s="1"/>
      <c r="BB635" s="2">
        <v>0</v>
      </c>
      <c r="BC635">
        <f t="shared" si="38"/>
        <v>10.012069675132123</v>
      </c>
      <c r="BD635">
        <v>136</v>
      </c>
      <c r="BE635">
        <v>4.2</v>
      </c>
      <c r="BF635">
        <v>3.7</v>
      </c>
      <c r="BH635">
        <v>272</v>
      </c>
      <c r="BI635">
        <v>6.57</v>
      </c>
      <c r="BJ635">
        <v>8.3000000000000007</v>
      </c>
      <c r="BK635">
        <v>7</v>
      </c>
      <c r="BL635">
        <v>8.1999999999999904</v>
      </c>
      <c r="BM635">
        <v>9.5399999999999903</v>
      </c>
      <c r="BN635">
        <v>5</v>
      </c>
    </row>
    <row r="636" spans="1:66" x14ac:dyDescent="0.3">
      <c r="A636">
        <v>635</v>
      </c>
      <c r="B636" s="2" t="s">
        <v>430</v>
      </c>
      <c r="C636" s="2" t="s">
        <v>448</v>
      </c>
      <c r="D636">
        <v>82.960328317372898</v>
      </c>
      <c r="E636" s="3"/>
      <c r="F636" s="1">
        <v>41696</v>
      </c>
      <c r="G636" s="1">
        <v>41645.570092592592</v>
      </c>
      <c r="H636" t="s">
        <v>17</v>
      </c>
      <c r="I636" t="s">
        <v>451</v>
      </c>
      <c r="J636" t="s">
        <v>15</v>
      </c>
      <c r="K636" t="s">
        <v>454</v>
      </c>
      <c r="L636">
        <v>60</v>
      </c>
      <c r="M636" t="s">
        <v>451</v>
      </c>
      <c r="N636" t="s">
        <v>451</v>
      </c>
      <c r="O636" t="s">
        <v>25</v>
      </c>
      <c r="P636" t="s">
        <v>75</v>
      </c>
      <c r="Q636" t="s">
        <v>19</v>
      </c>
      <c r="R636" t="s">
        <v>493</v>
      </c>
      <c r="S636" t="s">
        <v>75</v>
      </c>
      <c r="T636" t="s">
        <v>23</v>
      </c>
      <c r="V636" t="s">
        <v>451</v>
      </c>
      <c r="W636" t="s">
        <v>18</v>
      </c>
      <c r="X636" t="s">
        <v>87</v>
      </c>
      <c r="Y636">
        <v>5.9000000953674299</v>
      </c>
      <c r="Z636">
        <v>3.5999999046325599</v>
      </c>
      <c r="AA636">
        <v>1.3999999761581401</v>
      </c>
      <c r="AB636">
        <v>1</v>
      </c>
      <c r="AC636">
        <v>305.45144653320301</v>
      </c>
      <c r="AD636">
        <v>179</v>
      </c>
      <c r="AE636">
        <v>1</v>
      </c>
      <c r="AF636">
        <v>53</v>
      </c>
      <c r="AG636">
        <v>123</v>
      </c>
      <c r="AH636">
        <v>7</v>
      </c>
      <c r="AI636">
        <v>7</v>
      </c>
      <c r="AJ636">
        <v>17.569999694824201</v>
      </c>
      <c r="AK636">
        <v>11</v>
      </c>
      <c r="AL636">
        <v>9</v>
      </c>
      <c r="AM636">
        <v>13.670000076293899</v>
      </c>
      <c r="AN636" t="s">
        <v>904</v>
      </c>
      <c r="AQ636" s="1">
        <v>41640</v>
      </c>
      <c r="AS636" s="1">
        <v>41647.3534028125</v>
      </c>
      <c r="AT636" s="1"/>
      <c r="AU636" s="1">
        <v>40212.069327083344</v>
      </c>
      <c r="AV636" s="1"/>
      <c r="AW636" s="1"/>
      <c r="AX636" s="1"/>
      <c r="AY636" t="s">
        <v>21</v>
      </c>
      <c r="BB636" s="2">
        <v>0</v>
      </c>
      <c r="BC636">
        <v>23.3</v>
      </c>
      <c r="BD636">
        <v>138</v>
      </c>
      <c r="BE636">
        <v>6.0999999999999899</v>
      </c>
      <c r="BF636">
        <v>2.3999999999999901</v>
      </c>
      <c r="BG636">
        <v>14.5</v>
      </c>
      <c r="BH636">
        <v>137</v>
      </c>
      <c r="BI636">
        <v>2.64</v>
      </c>
      <c r="BJ636">
        <v>8.4</v>
      </c>
      <c r="BK636">
        <v>5.0999999999999899</v>
      </c>
      <c r="BL636">
        <v>10.9</v>
      </c>
      <c r="BM636">
        <v>158.5</v>
      </c>
      <c r="BN636">
        <v>5.5</v>
      </c>
    </row>
    <row r="637" spans="1:66" x14ac:dyDescent="0.3">
      <c r="A637">
        <v>636</v>
      </c>
      <c r="B637" s="2" t="s">
        <v>430</v>
      </c>
      <c r="C637" s="2" t="s">
        <v>448</v>
      </c>
      <c r="D637">
        <v>63.466484268125001</v>
      </c>
      <c r="E637" s="3">
        <v>44845.701388888891</v>
      </c>
      <c r="F637" s="1">
        <v>44087</v>
      </c>
      <c r="G637" s="1">
        <v>44049.363611111112</v>
      </c>
      <c r="H637" t="s">
        <v>31</v>
      </c>
      <c r="I637" t="s">
        <v>15</v>
      </c>
      <c r="J637" t="s">
        <v>35</v>
      </c>
      <c r="L637">
        <v>15</v>
      </c>
      <c r="M637" t="s">
        <v>79</v>
      </c>
      <c r="N637" t="s">
        <v>35</v>
      </c>
      <c r="O637" t="s">
        <v>17</v>
      </c>
      <c r="P637" t="s">
        <v>15</v>
      </c>
      <c r="Q637" t="s">
        <v>451</v>
      </c>
      <c r="R637" t="s">
        <v>153</v>
      </c>
      <c r="S637" t="s">
        <v>75</v>
      </c>
      <c r="T637" t="s">
        <v>26</v>
      </c>
      <c r="V637" t="s">
        <v>451</v>
      </c>
      <c r="W637" t="s">
        <v>34</v>
      </c>
      <c r="Y637">
        <v>7.4000000953674299</v>
      </c>
      <c r="Z637">
        <v>5.9800000190734801</v>
      </c>
      <c r="AA637">
        <v>1.20000004768371</v>
      </c>
      <c r="AB637">
        <v>1</v>
      </c>
      <c r="AC637">
        <v>399.55398559570301</v>
      </c>
      <c r="AD637">
        <v>204</v>
      </c>
      <c r="AE637">
        <v>1</v>
      </c>
      <c r="AF637">
        <v>38</v>
      </c>
      <c r="AG637">
        <v>114</v>
      </c>
      <c r="AH637">
        <v>4.7899999618530202</v>
      </c>
      <c r="AI637">
        <v>4.3499999046325604</v>
      </c>
      <c r="AJ637">
        <v>26.209999084472599</v>
      </c>
      <c r="AK637">
        <v>4.7899999618530202</v>
      </c>
      <c r="AL637">
        <v>5.7699999809265101</v>
      </c>
      <c r="AM637">
        <v>19.7600002288818</v>
      </c>
      <c r="AN637" t="s">
        <v>905</v>
      </c>
      <c r="AO637">
        <v>85</v>
      </c>
      <c r="AP637">
        <v>28.075042938300964</v>
      </c>
      <c r="AQ637" s="1">
        <v>34335</v>
      </c>
      <c r="AS637" s="1">
        <v>40344.382769872682</v>
      </c>
      <c r="AT637" s="1"/>
      <c r="AU637" s="1">
        <v>42863.526305324071</v>
      </c>
      <c r="AV637" s="1">
        <v>40344.384374305548</v>
      </c>
      <c r="AW637" s="1">
        <v>40344.383908298609</v>
      </c>
      <c r="AX637" s="1"/>
      <c r="AZ637">
        <v>86</v>
      </c>
      <c r="BA637">
        <v>49</v>
      </c>
      <c r="BB637" s="2">
        <v>4</v>
      </c>
      <c r="BC637">
        <f t="shared" ref="BC637:BC642" si="39">(140-D637)*AO637/(72*BI637)</f>
        <v>12.725643265276574</v>
      </c>
      <c r="BD637">
        <v>137</v>
      </c>
      <c r="BE637">
        <v>5.2</v>
      </c>
      <c r="BF637">
        <v>2.7999999999999901</v>
      </c>
      <c r="BG637">
        <v>10.5</v>
      </c>
      <c r="BH637">
        <v>126</v>
      </c>
      <c r="BI637">
        <v>7.0999999999999899</v>
      </c>
      <c r="BJ637">
        <v>8.6999999999999904</v>
      </c>
      <c r="BK637">
        <v>3.5</v>
      </c>
      <c r="BL637">
        <v>5.0999999999999899</v>
      </c>
      <c r="BM637">
        <v>73.14</v>
      </c>
      <c r="BN637">
        <v>6</v>
      </c>
    </row>
    <row r="638" spans="1:66" x14ac:dyDescent="0.3">
      <c r="A638">
        <v>637</v>
      </c>
      <c r="B638" s="2" t="s">
        <v>430</v>
      </c>
      <c r="C638" s="2" t="s">
        <v>448</v>
      </c>
      <c r="D638">
        <v>85.616963064295007</v>
      </c>
      <c r="E638" s="3">
        <v>45630.491666666669</v>
      </c>
      <c r="F638" s="1">
        <v>45600</v>
      </c>
      <c r="G638" s="1">
        <v>45587.454375000001</v>
      </c>
      <c r="H638" t="s">
        <v>15</v>
      </c>
      <c r="I638" t="s">
        <v>451</v>
      </c>
      <c r="J638" t="s">
        <v>15</v>
      </c>
      <c r="L638">
        <v>60</v>
      </c>
      <c r="M638" t="s">
        <v>17</v>
      </c>
      <c r="N638" t="s">
        <v>15</v>
      </c>
      <c r="O638" t="s">
        <v>31</v>
      </c>
      <c r="P638" t="s">
        <v>479</v>
      </c>
      <c r="Q638" t="s">
        <v>18</v>
      </c>
      <c r="S638" t="s">
        <v>451</v>
      </c>
      <c r="T638" t="s">
        <v>29</v>
      </c>
      <c r="U638" t="s">
        <v>132</v>
      </c>
      <c r="V638" t="s">
        <v>451</v>
      </c>
      <c r="W638" t="s">
        <v>29</v>
      </c>
      <c r="X638" t="s">
        <v>90</v>
      </c>
      <c r="Y638">
        <v>4.5100002288818297</v>
      </c>
      <c r="Z638">
        <v>2.4300000667571999</v>
      </c>
      <c r="AA638">
        <v>1.0299999713897701</v>
      </c>
      <c r="AB638">
        <v>0.99000000953674305</v>
      </c>
      <c r="AC638">
        <v>155.94374084472599</v>
      </c>
      <c r="AD638">
        <v>92</v>
      </c>
      <c r="AE638">
        <v>1</v>
      </c>
      <c r="AF638">
        <v>70</v>
      </c>
      <c r="AG638">
        <v>97</v>
      </c>
      <c r="AH638">
        <v>3.3399999141693102</v>
      </c>
      <c r="AK638">
        <v>7.8899998664855904</v>
      </c>
      <c r="AN638" t="s">
        <v>906</v>
      </c>
      <c r="AO638">
        <v>64.7</v>
      </c>
      <c r="AP638">
        <v>23.764921946740131</v>
      </c>
      <c r="AS638" s="1"/>
      <c r="AT638" s="1">
        <v>44733.519446678241</v>
      </c>
      <c r="AU638" s="1">
        <v>44733.519446678241</v>
      </c>
      <c r="AV638" s="1"/>
      <c r="AW638" s="1"/>
      <c r="AX638" s="1"/>
      <c r="AZ638">
        <v>117</v>
      </c>
      <c r="BA638">
        <v>91</v>
      </c>
      <c r="BB638" s="2">
        <v>1</v>
      </c>
      <c r="BC638">
        <f t="shared" si="39"/>
        <v>9.5261600870157022</v>
      </c>
      <c r="BD638">
        <v>137</v>
      </c>
      <c r="BE638">
        <v>3.7999999999999901</v>
      </c>
      <c r="BF638">
        <v>2.1</v>
      </c>
      <c r="BG638">
        <v>9.5</v>
      </c>
      <c r="BH638">
        <v>172</v>
      </c>
      <c r="BI638">
        <v>5.1299999999999901</v>
      </c>
      <c r="BJ638">
        <v>7.0999999999999899</v>
      </c>
      <c r="BK638">
        <v>7.4</v>
      </c>
      <c r="BL638">
        <v>9.1999999999999904</v>
      </c>
      <c r="BM638">
        <v>28.12</v>
      </c>
      <c r="BN638">
        <v>5.7999999999999901</v>
      </c>
    </row>
    <row r="639" spans="1:66" x14ac:dyDescent="0.3">
      <c r="A639">
        <v>638</v>
      </c>
      <c r="B639" s="2" t="s">
        <v>430</v>
      </c>
      <c r="C639" s="2" t="s">
        <v>448</v>
      </c>
      <c r="D639">
        <v>84.196990424076006</v>
      </c>
      <c r="E639" s="3">
        <v>42728.15347222222</v>
      </c>
      <c r="F639" s="1">
        <v>42527</v>
      </c>
      <c r="G639" s="1">
        <v>42465.421689814822</v>
      </c>
      <c r="H639" t="s">
        <v>15</v>
      </c>
      <c r="I639" t="s">
        <v>15</v>
      </c>
      <c r="J639" t="s">
        <v>15</v>
      </c>
      <c r="L639">
        <v>55</v>
      </c>
      <c r="M639" t="s">
        <v>15</v>
      </c>
      <c r="N639" t="s">
        <v>15</v>
      </c>
      <c r="O639" t="s">
        <v>25</v>
      </c>
      <c r="P639" t="s">
        <v>75</v>
      </c>
      <c r="Q639" t="s">
        <v>23</v>
      </c>
      <c r="R639" t="s">
        <v>499</v>
      </c>
      <c r="S639" t="s">
        <v>75</v>
      </c>
      <c r="T639" t="s">
        <v>29</v>
      </c>
      <c r="U639" t="s">
        <v>96</v>
      </c>
      <c r="V639" t="s">
        <v>451</v>
      </c>
      <c r="W639" t="s">
        <v>29</v>
      </c>
      <c r="X639" t="s">
        <v>90</v>
      </c>
      <c r="Y639">
        <v>5.1999998092651296</v>
      </c>
      <c r="Z639">
        <v>3.5999999046325599</v>
      </c>
      <c r="AA639">
        <v>1.1000000238418499</v>
      </c>
      <c r="AB639">
        <v>1.1000000238418499</v>
      </c>
      <c r="AC639">
        <v>220.76051330566401</v>
      </c>
      <c r="AD639">
        <v>115</v>
      </c>
      <c r="AE639">
        <v>1</v>
      </c>
      <c r="AF639">
        <v>60</v>
      </c>
      <c r="AG639">
        <v>149</v>
      </c>
      <c r="AH639">
        <v>6</v>
      </c>
      <c r="AI639">
        <v>6</v>
      </c>
      <c r="AJ639">
        <v>24.829999923706001</v>
      </c>
      <c r="AK639">
        <v>7</v>
      </c>
      <c r="AL639">
        <v>8</v>
      </c>
      <c r="AM639">
        <v>18.620000839233299</v>
      </c>
      <c r="AN639" t="s">
        <v>907</v>
      </c>
      <c r="AO639">
        <v>69</v>
      </c>
      <c r="AP639">
        <v>22.530612244897959</v>
      </c>
      <c r="AS639" s="1"/>
      <c r="AT639" s="1"/>
      <c r="AU639" s="1"/>
      <c r="AV639" s="1">
        <v>40091.10580636574</v>
      </c>
      <c r="AW639" s="1">
        <v>40091.105942974536</v>
      </c>
      <c r="AX639" s="1">
        <v>40091.084563391203</v>
      </c>
      <c r="BB639" s="2">
        <v>1</v>
      </c>
      <c r="BC639">
        <f t="shared" si="39"/>
        <v>5.0689937608461761</v>
      </c>
      <c r="BD639">
        <v>131</v>
      </c>
      <c r="BE639">
        <v>4.9000000000000004</v>
      </c>
      <c r="BF639">
        <v>3.1</v>
      </c>
      <c r="BG639">
        <v>10.1</v>
      </c>
      <c r="BH639">
        <v>349</v>
      </c>
      <c r="BI639">
        <v>10.55</v>
      </c>
      <c r="BJ639">
        <v>8</v>
      </c>
      <c r="BK639">
        <v>9.5</v>
      </c>
      <c r="BL639">
        <v>9.3000000000000007</v>
      </c>
      <c r="BM639">
        <v>165.69999999999899</v>
      </c>
    </row>
    <row r="640" spans="1:66" x14ac:dyDescent="0.3">
      <c r="A640">
        <v>639</v>
      </c>
      <c r="B640" s="2" t="s">
        <v>430</v>
      </c>
      <c r="C640" s="2" t="s">
        <v>449</v>
      </c>
      <c r="D640">
        <v>73.181942544459105</v>
      </c>
      <c r="E640" s="3">
        <v>43445.125694444447</v>
      </c>
      <c r="F640" s="1">
        <v>42796</v>
      </c>
      <c r="G640" s="1">
        <v>42453.509120370371</v>
      </c>
      <c r="H640" t="s">
        <v>15</v>
      </c>
      <c r="I640" t="s">
        <v>451</v>
      </c>
      <c r="J640" t="s">
        <v>15</v>
      </c>
      <c r="K640" t="s">
        <v>456</v>
      </c>
      <c r="L640">
        <v>60</v>
      </c>
      <c r="M640" t="s">
        <v>451</v>
      </c>
      <c r="N640" t="s">
        <v>451</v>
      </c>
      <c r="O640" t="s">
        <v>17</v>
      </c>
      <c r="P640" t="s">
        <v>451</v>
      </c>
      <c r="Q640" t="s">
        <v>19</v>
      </c>
      <c r="S640" t="s">
        <v>451</v>
      </c>
      <c r="T640" t="s">
        <v>29</v>
      </c>
      <c r="V640" t="s">
        <v>451</v>
      </c>
      <c r="W640" t="s">
        <v>19</v>
      </c>
      <c r="X640" t="s">
        <v>78</v>
      </c>
      <c r="Y640">
        <v>4.25</v>
      </c>
      <c r="Z640">
        <v>2.66000008583068</v>
      </c>
      <c r="AA640">
        <v>1.3099999427795399</v>
      </c>
      <c r="AB640">
        <v>1.1799999475479099</v>
      </c>
      <c r="AC640">
        <v>191.47444152832</v>
      </c>
      <c r="AD640">
        <v>106</v>
      </c>
      <c r="AE640">
        <v>1</v>
      </c>
      <c r="AF640">
        <v>36</v>
      </c>
      <c r="AG640">
        <v>69.599998474120994</v>
      </c>
      <c r="AH640">
        <v>5.3000001907348597</v>
      </c>
      <c r="AI640">
        <v>4.21000003814697</v>
      </c>
      <c r="AJ640">
        <v>16.530000686645501</v>
      </c>
      <c r="AK640">
        <v>5.5399999618530202</v>
      </c>
      <c r="AL640">
        <v>2.5699999332427899</v>
      </c>
      <c r="AM640">
        <v>27.079999923706001</v>
      </c>
      <c r="AN640" t="s">
        <v>908</v>
      </c>
      <c r="AO640">
        <v>76</v>
      </c>
      <c r="AP640">
        <v>30.062101973814329</v>
      </c>
      <c r="AS640" s="1">
        <v>40303.435257442128</v>
      </c>
      <c r="AT640" s="1"/>
      <c r="AU640" s="1">
        <v>40303.435369675928</v>
      </c>
      <c r="AV640" s="1">
        <v>40303.435447418982</v>
      </c>
      <c r="AW640" s="1"/>
      <c r="AX640" s="1">
        <v>40303.443028969908</v>
      </c>
      <c r="AY640" t="s">
        <v>21</v>
      </c>
      <c r="AZ640">
        <v>187</v>
      </c>
      <c r="BA640">
        <v>85</v>
      </c>
      <c r="BB640" s="2">
        <v>9</v>
      </c>
      <c r="BC640">
        <f t="shared" si="39"/>
        <v>14.191181440367535</v>
      </c>
      <c r="BD640">
        <v>141</v>
      </c>
      <c r="BE640">
        <v>4.0999999999999899</v>
      </c>
      <c r="BF640">
        <v>3.2999999999999901</v>
      </c>
      <c r="BG640">
        <v>8.0999999999999908</v>
      </c>
      <c r="BH640">
        <v>198</v>
      </c>
      <c r="BI640">
        <v>4.96999999999999</v>
      </c>
      <c r="BJ640">
        <v>8.8000000000000007</v>
      </c>
      <c r="BK640">
        <v>6.7</v>
      </c>
      <c r="BL640">
        <v>12</v>
      </c>
      <c r="BM640">
        <v>5.23</v>
      </c>
      <c r="BN640">
        <v>5.7</v>
      </c>
    </row>
    <row r="641" spans="1:66" x14ac:dyDescent="0.3">
      <c r="A641">
        <v>640</v>
      </c>
      <c r="B641" s="2" t="s">
        <v>434</v>
      </c>
      <c r="C641" s="2" t="s">
        <v>448</v>
      </c>
      <c r="D641">
        <v>64.901333789329001</v>
      </c>
      <c r="E641" s="3"/>
      <c r="F641" s="1">
        <v>45637.4375</v>
      </c>
      <c r="G641" s="1">
        <v>45273.385740740741</v>
      </c>
      <c r="H641" t="s">
        <v>451</v>
      </c>
      <c r="I641" t="s">
        <v>451</v>
      </c>
      <c r="J641" t="s">
        <v>451</v>
      </c>
      <c r="K641" t="s">
        <v>74</v>
      </c>
      <c r="L641">
        <v>60</v>
      </c>
      <c r="M641" t="s">
        <v>17</v>
      </c>
      <c r="N641" t="s">
        <v>15</v>
      </c>
      <c r="O641" t="s">
        <v>451</v>
      </c>
      <c r="P641" t="s">
        <v>15</v>
      </c>
      <c r="S641" t="s">
        <v>15</v>
      </c>
      <c r="T641" t="s">
        <v>19</v>
      </c>
      <c r="V641" t="s">
        <v>15</v>
      </c>
      <c r="W641" t="s">
        <v>19</v>
      </c>
      <c r="X641" t="s">
        <v>15</v>
      </c>
      <c r="Y641">
        <v>4.6100001335143999</v>
      </c>
      <c r="Z641">
        <v>2.9700000286102202</v>
      </c>
      <c r="AA641">
        <v>1.04999995231628</v>
      </c>
      <c r="AB641">
        <v>0.92000001668929998</v>
      </c>
      <c r="AC641">
        <v>156.11589050292901</v>
      </c>
      <c r="AD641">
        <v>73</v>
      </c>
      <c r="AE641">
        <v>1</v>
      </c>
      <c r="AF641">
        <v>25</v>
      </c>
      <c r="AG641">
        <v>87</v>
      </c>
      <c r="AI641">
        <v>10.199999809265099</v>
      </c>
      <c r="AJ641">
        <v>8.5299997329711896</v>
      </c>
      <c r="AK641">
        <v>9.3599996566772408</v>
      </c>
      <c r="AL641">
        <v>13.300000190734799</v>
      </c>
      <c r="AM641">
        <v>6.5399999618530202</v>
      </c>
      <c r="AN641" t="s">
        <v>909</v>
      </c>
      <c r="AO641">
        <v>102.099999999999</v>
      </c>
      <c r="AP641">
        <v>29.197289027424002</v>
      </c>
      <c r="AS641" s="1">
        <v>45266.48487847222</v>
      </c>
      <c r="AT641" s="1">
        <v>43691.996168981481</v>
      </c>
      <c r="AU641" s="1">
        <v>40338.369308449073</v>
      </c>
      <c r="AV641" s="1">
        <v>45266.48487847222</v>
      </c>
      <c r="AW641" s="1">
        <v>45266.48487847222</v>
      </c>
      <c r="AX641" s="1"/>
      <c r="BB641" s="2">
        <v>0</v>
      </c>
      <c r="BC641">
        <f t="shared" si="39"/>
        <v>36.595904066959875</v>
      </c>
      <c r="BD641">
        <v>142</v>
      </c>
      <c r="BE641">
        <v>5.5</v>
      </c>
      <c r="BF641">
        <v>2.7999999999999901</v>
      </c>
      <c r="BG641">
        <v>10.4</v>
      </c>
      <c r="BH641">
        <v>173</v>
      </c>
      <c r="BI641">
        <v>2.91</v>
      </c>
      <c r="BJ641">
        <v>7.7999999999999901</v>
      </c>
      <c r="BK641">
        <v>5.9</v>
      </c>
      <c r="BL641">
        <v>10.6</v>
      </c>
      <c r="BM641">
        <v>13.31</v>
      </c>
      <c r="BN641">
        <v>5.7999999999999901</v>
      </c>
    </row>
    <row r="642" spans="1:66" x14ac:dyDescent="0.3">
      <c r="A642">
        <v>641</v>
      </c>
      <c r="B642" s="2" t="s">
        <v>434</v>
      </c>
      <c r="C642" s="2" t="s">
        <v>448</v>
      </c>
      <c r="D642">
        <v>61.474692202462002</v>
      </c>
      <c r="E642" s="3">
        <v>42680.587500000001</v>
      </c>
      <c r="F642" s="1">
        <v>41380</v>
      </c>
      <c r="G642" s="1">
        <v>41102.557187500002</v>
      </c>
      <c r="H642" t="s">
        <v>31</v>
      </c>
      <c r="I642" t="s">
        <v>451</v>
      </c>
      <c r="J642" t="s">
        <v>30</v>
      </c>
      <c r="K642" t="s">
        <v>477</v>
      </c>
      <c r="L642">
        <v>15</v>
      </c>
      <c r="M642" t="s">
        <v>79</v>
      </c>
      <c r="N642" t="s">
        <v>28</v>
      </c>
      <c r="O642" t="s">
        <v>31</v>
      </c>
      <c r="P642" t="s">
        <v>75</v>
      </c>
      <c r="Q642" t="s">
        <v>23</v>
      </c>
      <c r="S642" t="s">
        <v>451</v>
      </c>
      <c r="T642" t="s">
        <v>34</v>
      </c>
      <c r="V642" t="s">
        <v>451</v>
      </c>
      <c r="W642" t="s">
        <v>26</v>
      </c>
      <c r="X642" t="s">
        <v>87</v>
      </c>
      <c r="Y642">
        <v>8.3299999237060494</v>
      </c>
      <c r="Z642">
        <v>7.8000001907348597</v>
      </c>
      <c r="AA642">
        <v>1</v>
      </c>
      <c r="AB642">
        <v>1.3999999761581401</v>
      </c>
      <c r="AC642">
        <v>547.52893066406205</v>
      </c>
      <c r="AD642">
        <v>294</v>
      </c>
      <c r="AE642">
        <v>2.5599999427795401</v>
      </c>
      <c r="AF642">
        <v>57</v>
      </c>
      <c r="AG642">
        <v>114.66000366210901</v>
      </c>
      <c r="AH642">
        <v>3</v>
      </c>
      <c r="AI642">
        <v>3</v>
      </c>
      <c r="AJ642">
        <v>38.220001220703097</v>
      </c>
      <c r="AK642">
        <v>4</v>
      </c>
      <c r="AL642">
        <v>6</v>
      </c>
      <c r="AM642">
        <v>19.110000610351499</v>
      </c>
      <c r="AN642" t="s">
        <v>910</v>
      </c>
      <c r="AO642">
        <v>82.2</v>
      </c>
      <c r="AP642">
        <v>28.111213706781577</v>
      </c>
      <c r="AS642" s="1"/>
      <c r="AT642" s="1">
        <v>39990.337692094909</v>
      </c>
      <c r="AU642" s="1"/>
      <c r="AV642" s="1"/>
      <c r="AW642" s="1"/>
      <c r="AX642" s="1"/>
      <c r="AZ642">
        <v>99</v>
      </c>
      <c r="BA642">
        <v>38</v>
      </c>
      <c r="BB642" s="2">
        <v>2</v>
      </c>
      <c r="BC642">
        <f t="shared" si="39"/>
        <v>14.891981129931791</v>
      </c>
      <c r="BD642">
        <v>135</v>
      </c>
      <c r="BE642">
        <v>5.2</v>
      </c>
      <c r="BF642">
        <v>3</v>
      </c>
      <c r="BG642">
        <v>10.4</v>
      </c>
      <c r="BH642">
        <v>298</v>
      </c>
      <c r="BI642">
        <v>6.0199999999999898</v>
      </c>
      <c r="BJ642">
        <v>8.3000000000000007</v>
      </c>
      <c r="BK642">
        <v>5.5999999999999899</v>
      </c>
      <c r="BL642">
        <v>9.5999999999999908</v>
      </c>
      <c r="BM642">
        <v>61.3599999999999</v>
      </c>
      <c r="BN642">
        <v>6</v>
      </c>
    </row>
    <row r="643" spans="1:66" x14ac:dyDescent="0.3">
      <c r="A643">
        <v>642</v>
      </c>
      <c r="B643" s="2" t="s">
        <v>430</v>
      </c>
      <c r="C643" s="2" t="s">
        <v>448</v>
      </c>
      <c r="D643">
        <v>93.127222982215898</v>
      </c>
      <c r="E643" s="3">
        <v>42100</v>
      </c>
      <c r="F643" s="1">
        <v>42075</v>
      </c>
      <c r="G643" s="1">
        <v>41858.490972222222</v>
      </c>
      <c r="H643" t="s">
        <v>15</v>
      </c>
      <c r="I643" t="s">
        <v>87</v>
      </c>
      <c r="J643" t="s">
        <v>15</v>
      </c>
      <c r="L643">
        <v>60</v>
      </c>
      <c r="M643" t="s">
        <v>15</v>
      </c>
      <c r="N643" t="s">
        <v>15</v>
      </c>
      <c r="O643" t="s">
        <v>17</v>
      </c>
      <c r="P643" t="s">
        <v>75</v>
      </c>
      <c r="Q643" t="s">
        <v>19</v>
      </c>
      <c r="R643" t="s">
        <v>289</v>
      </c>
      <c r="S643" t="s">
        <v>451</v>
      </c>
      <c r="T643" t="s">
        <v>19</v>
      </c>
      <c r="U643" t="s">
        <v>132</v>
      </c>
      <c r="V643" t="s">
        <v>451</v>
      </c>
      <c r="W643" t="s">
        <v>23</v>
      </c>
      <c r="X643" t="s">
        <v>87</v>
      </c>
      <c r="Y643">
        <v>4.4000000953674299</v>
      </c>
      <c r="Z643">
        <v>2.9000000953674299</v>
      </c>
      <c r="AA643">
        <v>1.5</v>
      </c>
      <c r="AB643">
        <v>1</v>
      </c>
      <c r="AC643">
        <v>203.04640197753901</v>
      </c>
      <c r="AD643">
        <v>110</v>
      </c>
      <c r="AE643">
        <v>1</v>
      </c>
      <c r="AF643">
        <v>50</v>
      </c>
      <c r="AG643">
        <v>126</v>
      </c>
      <c r="AH643">
        <v>6.1599998474120996</v>
      </c>
      <c r="AI643">
        <v>3.9000000953674299</v>
      </c>
      <c r="AJ643">
        <v>32.310001373291001</v>
      </c>
      <c r="AK643">
        <v>4.9099998474120996</v>
      </c>
      <c r="AL643">
        <v>4.21000003814697</v>
      </c>
      <c r="AM643">
        <v>29.9300003051757</v>
      </c>
      <c r="AN643" t="s">
        <v>911</v>
      </c>
      <c r="AQ643" s="1">
        <v>35065</v>
      </c>
      <c r="AR643" s="1">
        <v>35065</v>
      </c>
      <c r="AS643" s="1">
        <v>40727.528140428243</v>
      </c>
      <c r="AT643" s="1"/>
      <c r="AU643" s="1"/>
      <c r="AV643" s="1">
        <v>40727.528140428243</v>
      </c>
      <c r="AW643" s="1"/>
      <c r="AX643" s="1"/>
      <c r="BB643" s="2">
        <v>0</v>
      </c>
      <c r="BC643">
        <v>9.4</v>
      </c>
      <c r="BD643">
        <v>127</v>
      </c>
      <c r="BE643">
        <v>5.2999999999999901</v>
      </c>
      <c r="BF643">
        <v>2.3999999999999901</v>
      </c>
      <c r="BG643">
        <v>9</v>
      </c>
      <c r="BH643">
        <v>234</v>
      </c>
      <c r="BI643">
        <v>5.15</v>
      </c>
      <c r="BJ643">
        <v>7.7</v>
      </c>
      <c r="BK643">
        <v>7.0999999999999899</v>
      </c>
      <c r="BL643">
        <v>10.4</v>
      </c>
      <c r="BM643">
        <v>66.180000000000007</v>
      </c>
    </row>
    <row r="644" spans="1:66" x14ac:dyDescent="0.3">
      <c r="A644">
        <v>643</v>
      </c>
      <c r="B644" s="2" t="s">
        <v>430</v>
      </c>
      <c r="C644" s="2" t="s">
        <v>448</v>
      </c>
      <c r="D644">
        <v>64.8563611491101</v>
      </c>
      <c r="E644" s="3">
        <v>45127</v>
      </c>
      <c r="F644" s="1">
        <v>43811</v>
      </c>
      <c r="G644" s="1">
        <v>43562.633437500001</v>
      </c>
      <c r="H644" t="s">
        <v>451</v>
      </c>
      <c r="I644" t="s">
        <v>451</v>
      </c>
      <c r="J644" t="s">
        <v>451</v>
      </c>
      <c r="L644">
        <v>20</v>
      </c>
      <c r="M644" t="s">
        <v>451</v>
      </c>
      <c r="N644" t="s">
        <v>451</v>
      </c>
      <c r="O644" t="s">
        <v>451</v>
      </c>
      <c r="P644" t="s">
        <v>451</v>
      </c>
      <c r="Q644" t="s">
        <v>451</v>
      </c>
      <c r="S644" t="s">
        <v>451</v>
      </c>
      <c r="T644" t="s">
        <v>451</v>
      </c>
      <c r="V644" t="s">
        <v>451</v>
      </c>
      <c r="W644" t="s">
        <v>451</v>
      </c>
      <c r="Y644">
        <v>6.5999999046325604</v>
      </c>
      <c r="Z644">
        <v>4.5999999046325604</v>
      </c>
      <c r="AA644">
        <v>1.16999995708465</v>
      </c>
      <c r="AB644">
        <v>0.980000019073486</v>
      </c>
      <c r="AC644">
        <v>318.7783203125</v>
      </c>
      <c r="AD644">
        <v>169</v>
      </c>
      <c r="AE644">
        <v>1</v>
      </c>
      <c r="AN644" t="s">
        <v>912</v>
      </c>
      <c r="AO644">
        <v>65</v>
      </c>
      <c r="AP644">
        <v>20.061728395061731</v>
      </c>
      <c r="AR644" s="1">
        <v>44531</v>
      </c>
      <c r="AS644" s="1">
        <v>43396.448538159719</v>
      </c>
      <c r="AT644" s="1"/>
      <c r="AU644" s="1">
        <v>43810.979217858803</v>
      </c>
      <c r="AV644" s="1"/>
      <c r="AW644" s="1"/>
      <c r="AX644" s="1">
        <v>43810.959225266197</v>
      </c>
      <c r="AZ644">
        <v>154</v>
      </c>
      <c r="BA644">
        <v>95</v>
      </c>
      <c r="BB644" s="2">
        <v>1</v>
      </c>
      <c r="BC644">
        <f>(140-D644)*AO644/(72*BI644)</f>
        <v>8.4480706470662952</v>
      </c>
      <c r="BD644">
        <v>143</v>
      </c>
      <c r="BE644">
        <v>4.95</v>
      </c>
      <c r="BF644">
        <v>3.6</v>
      </c>
      <c r="BG644">
        <v>10.9</v>
      </c>
      <c r="BH644">
        <v>228</v>
      </c>
      <c r="BI644">
        <v>8.0299999999999905</v>
      </c>
      <c r="BJ644">
        <v>7.2999999999999901</v>
      </c>
      <c r="BK644">
        <v>6.5999999999999899</v>
      </c>
      <c r="BL644">
        <v>7.5999999999999899</v>
      </c>
      <c r="BM644">
        <v>7.37</v>
      </c>
      <c r="BN644">
        <v>5.5</v>
      </c>
    </row>
    <row r="645" spans="1:66" x14ac:dyDescent="0.3">
      <c r="A645">
        <v>644</v>
      </c>
      <c r="B645" s="2" t="s">
        <v>434</v>
      </c>
      <c r="C645" s="2" t="s">
        <v>448</v>
      </c>
      <c r="D645">
        <v>79.693570451436202</v>
      </c>
      <c r="E645" s="3"/>
      <c r="F645" s="1">
        <v>44916</v>
      </c>
      <c r="G645" s="1">
        <v>44601.449467592603</v>
      </c>
      <c r="H645" t="s">
        <v>25</v>
      </c>
      <c r="I645" t="s">
        <v>15</v>
      </c>
      <c r="J645" t="s">
        <v>14</v>
      </c>
      <c r="L645">
        <v>50</v>
      </c>
      <c r="M645" t="s">
        <v>451</v>
      </c>
      <c r="N645" t="s">
        <v>451</v>
      </c>
      <c r="O645" t="s">
        <v>451</v>
      </c>
      <c r="P645" t="s">
        <v>451</v>
      </c>
      <c r="Q645" t="s">
        <v>451</v>
      </c>
      <c r="S645" t="s">
        <v>451</v>
      </c>
      <c r="T645" t="s">
        <v>451</v>
      </c>
      <c r="V645" t="s">
        <v>451</v>
      </c>
      <c r="W645" t="s">
        <v>451</v>
      </c>
      <c r="Y645">
        <v>6.46000003814697</v>
      </c>
      <c r="Z645">
        <v>4.13000011444091</v>
      </c>
      <c r="AA645">
        <v>0.93000000715255704</v>
      </c>
      <c r="AB645">
        <v>0.88999998569488503</v>
      </c>
      <c r="AC645">
        <v>248.60040283203099</v>
      </c>
      <c r="AD645">
        <v>109</v>
      </c>
      <c r="AE645">
        <v>1</v>
      </c>
      <c r="AN645" t="s">
        <v>913</v>
      </c>
      <c r="AO645">
        <v>115</v>
      </c>
      <c r="AP645">
        <v>32.886270696902969</v>
      </c>
      <c r="AS645" s="1">
        <v>43826.424052743052</v>
      </c>
      <c r="AT645" s="1">
        <v>43826.424052743052</v>
      </c>
      <c r="AU645" s="1">
        <v>43826.424052743052</v>
      </c>
      <c r="AV645" s="1"/>
      <c r="AW645" s="1">
        <v>43826.424052743052</v>
      </c>
      <c r="AX645" s="1"/>
      <c r="AY645" t="s">
        <v>21</v>
      </c>
      <c r="BB645" s="2">
        <v>0</v>
      </c>
      <c r="BC645">
        <f>(140-D645)*AO645/(72*BI645)</f>
        <v>22.771340287906604</v>
      </c>
      <c r="BD645">
        <v>142</v>
      </c>
      <c r="BE645">
        <v>4.5999999999999899</v>
      </c>
      <c r="BF645">
        <v>3.5</v>
      </c>
      <c r="BG645">
        <v>9.0999999999999908</v>
      </c>
      <c r="BH645">
        <v>126</v>
      </c>
      <c r="BI645">
        <v>4.2300000000000004</v>
      </c>
      <c r="BJ645">
        <v>8.5</v>
      </c>
      <c r="BK645">
        <v>4.4000000000000004</v>
      </c>
      <c r="BL645">
        <v>8.4</v>
      </c>
      <c r="BM645">
        <v>2.7999999999999901</v>
      </c>
      <c r="BN645">
        <v>5.5999999999999899</v>
      </c>
    </row>
    <row r="646" spans="1:66" x14ac:dyDescent="0.3">
      <c r="A646">
        <v>645</v>
      </c>
      <c r="B646" s="2" t="s">
        <v>434</v>
      </c>
      <c r="C646" s="2" t="s">
        <v>448</v>
      </c>
      <c r="D646">
        <v>70.440492476060101</v>
      </c>
      <c r="E646" s="3"/>
      <c r="F646" s="1">
        <v>45799</v>
      </c>
      <c r="G646" s="1">
        <v>45784.519884259258</v>
      </c>
      <c r="H646" t="s">
        <v>15</v>
      </c>
      <c r="I646" t="s">
        <v>78</v>
      </c>
      <c r="J646" t="s">
        <v>28</v>
      </c>
      <c r="L646">
        <v>35</v>
      </c>
      <c r="M646" t="s">
        <v>79</v>
      </c>
      <c r="N646" t="s">
        <v>28</v>
      </c>
      <c r="O646" t="s">
        <v>31</v>
      </c>
      <c r="P646" t="s">
        <v>479</v>
      </c>
      <c r="Q646" t="s">
        <v>18</v>
      </c>
      <c r="S646" t="s">
        <v>92</v>
      </c>
      <c r="T646" t="s">
        <v>34</v>
      </c>
      <c r="V646" t="s">
        <v>451</v>
      </c>
      <c r="W646" t="s">
        <v>23</v>
      </c>
      <c r="X646" t="s">
        <v>90</v>
      </c>
      <c r="Y646">
        <v>5.1999998092651296</v>
      </c>
      <c r="Z646">
        <v>4.5999999046325604</v>
      </c>
      <c r="AA646">
        <v>1.29999995231628</v>
      </c>
      <c r="AB646">
        <v>0.89999997615814198</v>
      </c>
      <c r="AC646">
        <v>220.76051330566401</v>
      </c>
      <c r="AD646">
        <v>108</v>
      </c>
      <c r="AE646">
        <v>1.8099999427795399</v>
      </c>
      <c r="AF646">
        <v>72</v>
      </c>
      <c r="AG646">
        <v>129</v>
      </c>
      <c r="AN646" t="s">
        <v>914</v>
      </c>
      <c r="AO646">
        <v>74</v>
      </c>
      <c r="AP646">
        <v>21.621621621621621</v>
      </c>
      <c r="AS646" s="1"/>
      <c r="AT646" s="1">
        <v>45783.126994293983</v>
      </c>
      <c r="AU646" s="1">
        <v>45762.406612650462</v>
      </c>
      <c r="AV646" s="1"/>
      <c r="AW646" s="1"/>
      <c r="AZ646">
        <v>125</v>
      </c>
      <c r="BA646">
        <v>119</v>
      </c>
      <c r="BB646" s="2">
        <v>3</v>
      </c>
      <c r="BC646">
        <f>(140-D646)*AO646/(72*BI646)</f>
        <v>10.069255783981925</v>
      </c>
      <c r="BD646">
        <v>140</v>
      </c>
      <c r="BE646">
        <v>3.5</v>
      </c>
      <c r="BF646">
        <v>3.7999999999999901</v>
      </c>
      <c r="BG646">
        <v>11.8</v>
      </c>
      <c r="BH646">
        <v>227</v>
      </c>
      <c r="BI646">
        <v>7.0999999999999899</v>
      </c>
      <c r="BJ646">
        <v>9.1999999999999904</v>
      </c>
      <c r="BK646">
        <v>3.7</v>
      </c>
      <c r="BL646">
        <v>12.6</v>
      </c>
      <c r="BM646">
        <v>14.07</v>
      </c>
      <c r="BN646">
        <v>5.5999999999999899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Hochstein</dc:creator>
  <cp:lastModifiedBy>Bar</cp:lastModifiedBy>
  <cp:lastPrinted>2025-07-25T00:24:47Z</cp:lastPrinted>
  <dcterms:created xsi:type="dcterms:W3CDTF">2025-07-17T03:44:43Z</dcterms:created>
  <dcterms:modified xsi:type="dcterms:W3CDTF">2026-02-10T07:29:26Z</dcterms:modified>
</cp:coreProperties>
</file>